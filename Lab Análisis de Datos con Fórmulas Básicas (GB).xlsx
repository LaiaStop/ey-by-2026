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laia_estopanan_moreno_es_ey_com/Documents/Desktop/IRONHACK/Dia 3/"/>
    </mc:Choice>
  </mc:AlternateContent>
  <xr:revisionPtr revIDLastSave="6" documentId="8_{0FDE92F5-B57D-4E28-AE3E-CAE1FC8AD115}" xr6:coauthVersionLast="47" xr6:coauthVersionMax="47" xr10:uidLastSave="{7ADCC2F9-C6C7-410D-80E9-915669EF2A70}"/>
  <bookViews>
    <workbookView xWindow="-110" yWindow="-110" windowWidth="19420" windowHeight="10300" tabRatio="843" activeTab="2" xr2:uid="{00000000-000D-0000-FFFF-FFFF00000000}"/>
  </bookViews>
  <sheets>
    <sheet name="Mathematical Functions" sheetId="2" r:id="rId1"/>
    <sheet name="Logical Functions" sheetId="1" r:id="rId2"/>
    <sheet name="Text Functions" sheetId="3" r:id="rId3"/>
    <sheet name="Date Functions" sheetId="4" r:id="rId4"/>
    <sheet name="LOOKUP" sheetId="6" r:id="rId5"/>
    <sheet name="Assurance data" sheetId="7" r:id="rId6"/>
    <sheet name="Nested Functions" sheetId="5" r:id="rId7"/>
  </sheets>
  <definedNames>
    <definedName name="_xlnm._FilterDatabase" localSheetId="3" hidden="1">'Date Functions'!$A$1:$L$1072</definedName>
    <definedName name="_xlnm._FilterDatabase" localSheetId="1" hidden="1">'Logical Functions'!$A$1:$R$1072</definedName>
    <definedName name="_xlnm._FilterDatabase" localSheetId="0" hidden="1">'Mathematical Functions'!$A$1:$L$1072</definedName>
    <definedName name="_xlnm._FilterDatabase" localSheetId="6" hidden="1">'Nested Functions'!$A$1:$L$1072</definedName>
    <definedName name="_xlnm._FilterDatabase" localSheetId="2" hidden="1">'Text Functions'!$A$1:$L$1072</definedName>
    <definedName name="AssuranceTable">'Assurance data'!$A:$D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72" i="3" l="1"/>
  <c r="X1071" i="3"/>
  <c r="X1070" i="3"/>
  <c r="X1069" i="3"/>
  <c r="X1068" i="3"/>
  <c r="X1067" i="3"/>
  <c r="X1066" i="3"/>
  <c r="X1065" i="3"/>
  <c r="X1064" i="3"/>
  <c r="X1063" i="3"/>
  <c r="X1062" i="3"/>
  <c r="X1061" i="3"/>
  <c r="X1060" i="3"/>
  <c r="X1059" i="3"/>
  <c r="X1058" i="3"/>
  <c r="X1057" i="3"/>
  <c r="X1056" i="3"/>
  <c r="X1055" i="3"/>
  <c r="X1054" i="3"/>
  <c r="X1053" i="3"/>
  <c r="X1052" i="3"/>
  <c r="X1051" i="3"/>
  <c r="X1050" i="3"/>
  <c r="X1049" i="3"/>
  <c r="X1048" i="3"/>
  <c r="X1047" i="3"/>
  <c r="X1046" i="3"/>
  <c r="X1045" i="3"/>
  <c r="X1044" i="3"/>
  <c r="X1043" i="3"/>
  <c r="X1042" i="3"/>
  <c r="X1041" i="3"/>
  <c r="X1040" i="3"/>
  <c r="X1039" i="3"/>
  <c r="X1038" i="3"/>
  <c r="X1037" i="3"/>
  <c r="X1036" i="3"/>
  <c r="X1035" i="3"/>
  <c r="X1034" i="3"/>
  <c r="X1033" i="3"/>
  <c r="X1032" i="3"/>
  <c r="X1031" i="3"/>
  <c r="X1030" i="3"/>
  <c r="X1029" i="3"/>
  <c r="X1028" i="3"/>
  <c r="X1027" i="3"/>
  <c r="X1026" i="3"/>
  <c r="X1025" i="3"/>
  <c r="X1024" i="3"/>
  <c r="X1023" i="3"/>
  <c r="X1022" i="3"/>
  <c r="X1021" i="3"/>
  <c r="X1020" i="3"/>
  <c r="X1019" i="3"/>
  <c r="X1018" i="3"/>
  <c r="X1017" i="3"/>
  <c r="X1016" i="3"/>
  <c r="X1015" i="3"/>
  <c r="X1014" i="3"/>
  <c r="X1013" i="3"/>
  <c r="X1012" i="3"/>
  <c r="X1011" i="3"/>
  <c r="X1010" i="3"/>
  <c r="X1009" i="3"/>
  <c r="X1008" i="3"/>
  <c r="X1007" i="3"/>
  <c r="X1006" i="3"/>
  <c r="X1005" i="3"/>
  <c r="X1004" i="3"/>
  <c r="X1003" i="3"/>
  <c r="X1002" i="3"/>
  <c r="X1001" i="3"/>
  <c r="X1000" i="3"/>
  <c r="X999" i="3"/>
  <c r="X998" i="3"/>
  <c r="X997" i="3"/>
  <c r="X996" i="3"/>
  <c r="X995" i="3"/>
  <c r="X994" i="3"/>
  <c r="X993" i="3"/>
  <c r="X992" i="3"/>
  <c r="X991" i="3"/>
  <c r="X990" i="3"/>
  <c r="X989" i="3"/>
  <c r="X988" i="3"/>
  <c r="X987" i="3"/>
  <c r="X986" i="3"/>
  <c r="X985" i="3"/>
  <c r="X984" i="3"/>
  <c r="X983" i="3"/>
  <c r="X982" i="3"/>
  <c r="X981" i="3"/>
  <c r="X980" i="3"/>
  <c r="X979" i="3"/>
  <c r="X978" i="3"/>
  <c r="X977" i="3"/>
  <c r="X976" i="3"/>
  <c r="X975" i="3"/>
  <c r="X974" i="3"/>
  <c r="X973" i="3"/>
  <c r="X972" i="3"/>
  <c r="X971" i="3"/>
  <c r="X970" i="3"/>
  <c r="X969" i="3"/>
  <c r="X968" i="3"/>
  <c r="X967" i="3"/>
  <c r="X966" i="3"/>
  <c r="X965" i="3"/>
  <c r="X964" i="3"/>
  <c r="X963" i="3"/>
  <c r="X962" i="3"/>
  <c r="X961" i="3"/>
  <c r="X960" i="3"/>
  <c r="X959" i="3"/>
  <c r="X958" i="3"/>
  <c r="X957" i="3"/>
  <c r="X956" i="3"/>
  <c r="X955" i="3"/>
  <c r="X954" i="3"/>
  <c r="X953" i="3"/>
  <c r="X952" i="3"/>
  <c r="X951" i="3"/>
  <c r="X950" i="3"/>
  <c r="X949" i="3"/>
  <c r="X948" i="3"/>
  <c r="X947" i="3"/>
  <c r="X946" i="3"/>
  <c r="X945" i="3"/>
  <c r="X944" i="3"/>
  <c r="X943" i="3"/>
  <c r="X942" i="3"/>
  <c r="X941" i="3"/>
  <c r="X940" i="3"/>
  <c r="X939" i="3"/>
  <c r="X938" i="3"/>
  <c r="X937" i="3"/>
  <c r="X936" i="3"/>
  <c r="X935" i="3"/>
  <c r="X934" i="3"/>
  <c r="X933" i="3"/>
  <c r="X932" i="3"/>
  <c r="X931" i="3"/>
  <c r="X930" i="3"/>
  <c r="X929" i="3"/>
  <c r="X928" i="3"/>
  <c r="X927" i="3"/>
  <c r="X926" i="3"/>
  <c r="X925" i="3"/>
  <c r="X924" i="3"/>
  <c r="X923" i="3"/>
  <c r="X922" i="3"/>
  <c r="X921" i="3"/>
  <c r="X920" i="3"/>
  <c r="X919" i="3"/>
  <c r="X918" i="3"/>
  <c r="X917" i="3"/>
  <c r="X916" i="3"/>
  <c r="X915" i="3"/>
  <c r="X914" i="3"/>
  <c r="X913" i="3"/>
  <c r="X912" i="3"/>
  <c r="X911" i="3"/>
  <c r="X910" i="3"/>
  <c r="X909" i="3"/>
  <c r="X908" i="3"/>
  <c r="X907" i="3"/>
  <c r="X906" i="3"/>
  <c r="X905" i="3"/>
  <c r="X904" i="3"/>
  <c r="X903" i="3"/>
  <c r="X902" i="3"/>
  <c r="X901" i="3"/>
  <c r="X900" i="3"/>
  <c r="X899" i="3"/>
  <c r="X898" i="3"/>
  <c r="X897" i="3"/>
  <c r="X896" i="3"/>
  <c r="X895" i="3"/>
  <c r="X894" i="3"/>
  <c r="X893" i="3"/>
  <c r="X892" i="3"/>
  <c r="X891" i="3"/>
  <c r="X890" i="3"/>
  <c r="X889" i="3"/>
  <c r="X888" i="3"/>
  <c r="X887" i="3"/>
  <c r="X886" i="3"/>
  <c r="X885" i="3"/>
  <c r="X884" i="3"/>
  <c r="X883" i="3"/>
  <c r="X882" i="3"/>
  <c r="X881" i="3"/>
  <c r="X880" i="3"/>
  <c r="X879" i="3"/>
  <c r="X878" i="3"/>
  <c r="X877" i="3"/>
  <c r="X876" i="3"/>
  <c r="X875" i="3"/>
  <c r="X874" i="3"/>
  <c r="X873" i="3"/>
  <c r="X872" i="3"/>
  <c r="X871" i="3"/>
  <c r="X870" i="3"/>
  <c r="X869" i="3"/>
  <c r="X868" i="3"/>
  <c r="X867" i="3"/>
  <c r="X866" i="3"/>
  <c r="X865" i="3"/>
  <c r="X864" i="3"/>
  <c r="X863" i="3"/>
  <c r="X862" i="3"/>
  <c r="X861" i="3"/>
  <c r="X860" i="3"/>
  <c r="X859" i="3"/>
  <c r="X858" i="3"/>
  <c r="X857" i="3"/>
  <c r="X856" i="3"/>
  <c r="X855" i="3"/>
  <c r="X854" i="3"/>
  <c r="X853" i="3"/>
  <c r="X852" i="3"/>
  <c r="X851" i="3"/>
  <c r="X850" i="3"/>
  <c r="X849" i="3"/>
  <c r="X848" i="3"/>
  <c r="X847" i="3"/>
  <c r="X846" i="3"/>
  <c r="X845" i="3"/>
  <c r="X844" i="3"/>
  <c r="X843" i="3"/>
  <c r="X842" i="3"/>
  <c r="X841" i="3"/>
  <c r="X840" i="3"/>
  <c r="X839" i="3"/>
  <c r="X838" i="3"/>
  <c r="X837" i="3"/>
  <c r="X836" i="3"/>
  <c r="X835" i="3"/>
  <c r="X834" i="3"/>
  <c r="X833" i="3"/>
  <c r="X832" i="3"/>
  <c r="X831" i="3"/>
  <c r="X830" i="3"/>
  <c r="X829" i="3"/>
  <c r="X828" i="3"/>
  <c r="X827" i="3"/>
  <c r="X826" i="3"/>
  <c r="X825" i="3"/>
  <c r="X824" i="3"/>
  <c r="X823" i="3"/>
  <c r="X822" i="3"/>
  <c r="X821" i="3"/>
  <c r="X820" i="3"/>
  <c r="X819" i="3"/>
  <c r="X818" i="3"/>
  <c r="X817" i="3"/>
  <c r="X816" i="3"/>
  <c r="X815" i="3"/>
  <c r="X814" i="3"/>
  <c r="X813" i="3"/>
  <c r="X812" i="3"/>
  <c r="X811" i="3"/>
  <c r="X810" i="3"/>
  <c r="X809" i="3"/>
  <c r="X808" i="3"/>
  <c r="X807" i="3"/>
  <c r="X806" i="3"/>
  <c r="X805" i="3"/>
  <c r="X804" i="3"/>
  <c r="X803" i="3"/>
  <c r="X802" i="3"/>
  <c r="X801" i="3"/>
  <c r="X800" i="3"/>
  <c r="X799" i="3"/>
  <c r="X798" i="3"/>
  <c r="X797" i="3"/>
  <c r="X796" i="3"/>
  <c r="X795" i="3"/>
  <c r="X794" i="3"/>
  <c r="X793" i="3"/>
  <c r="X792" i="3"/>
  <c r="X791" i="3"/>
  <c r="X790" i="3"/>
  <c r="X789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50" i="3"/>
  <c r="X749" i="3"/>
  <c r="X748" i="3"/>
  <c r="X747" i="3"/>
  <c r="X746" i="3"/>
  <c r="X745" i="3"/>
  <c r="X744" i="3"/>
  <c r="X743" i="3"/>
  <c r="X742" i="3"/>
  <c r="X741" i="3"/>
  <c r="X740" i="3"/>
  <c r="X739" i="3"/>
  <c r="X738" i="3"/>
  <c r="X737" i="3"/>
  <c r="X736" i="3"/>
  <c r="X735" i="3"/>
  <c r="X734" i="3"/>
  <c r="X733" i="3"/>
  <c r="X732" i="3"/>
  <c r="X731" i="3"/>
  <c r="X730" i="3"/>
  <c r="X729" i="3"/>
  <c r="X728" i="3"/>
  <c r="X727" i="3"/>
  <c r="X726" i="3"/>
  <c r="X725" i="3"/>
  <c r="X724" i="3"/>
  <c r="X723" i="3"/>
  <c r="X722" i="3"/>
  <c r="X721" i="3"/>
  <c r="X720" i="3"/>
  <c r="X719" i="3"/>
  <c r="X718" i="3"/>
  <c r="X717" i="3"/>
  <c r="X716" i="3"/>
  <c r="X715" i="3"/>
  <c r="X714" i="3"/>
  <c r="X713" i="3"/>
  <c r="X712" i="3"/>
  <c r="X711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90" i="3"/>
  <c r="X689" i="3"/>
  <c r="X688" i="3"/>
  <c r="X687" i="3"/>
  <c r="X686" i="3"/>
  <c r="X685" i="3"/>
  <c r="X684" i="3"/>
  <c r="X683" i="3"/>
  <c r="X682" i="3"/>
  <c r="X681" i="3"/>
  <c r="X680" i="3"/>
  <c r="X679" i="3"/>
  <c r="X678" i="3"/>
  <c r="X677" i="3"/>
  <c r="X676" i="3"/>
  <c r="X675" i="3"/>
  <c r="X674" i="3"/>
  <c r="X673" i="3"/>
  <c r="X672" i="3"/>
  <c r="X671" i="3"/>
  <c r="X670" i="3"/>
  <c r="X669" i="3"/>
  <c r="X668" i="3"/>
  <c r="X667" i="3"/>
  <c r="X666" i="3"/>
  <c r="X665" i="3"/>
  <c r="X664" i="3"/>
  <c r="X663" i="3"/>
  <c r="X662" i="3"/>
  <c r="X661" i="3"/>
  <c r="X660" i="3"/>
  <c r="X659" i="3"/>
  <c r="X658" i="3"/>
  <c r="X657" i="3"/>
  <c r="X656" i="3"/>
  <c r="X655" i="3"/>
  <c r="X654" i="3"/>
  <c r="X653" i="3"/>
  <c r="X652" i="3"/>
  <c r="X651" i="3"/>
  <c r="X650" i="3"/>
  <c r="X649" i="3"/>
  <c r="X648" i="3"/>
  <c r="X647" i="3"/>
  <c r="X646" i="3"/>
  <c r="X645" i="3"/>
  <c r="X644" i="3"/>
  <c r="X643" i="3"/>
  <c r="X642" i="3"/>
  <c r="X641" i="3"/>
  <c r="X640" i="3"/>
  <c r="X639" i="3"/>
  <c r="X638" i="3"/>
  <c r="X637" i="3"/>
  <c r="X636" i="3"/>
  <c r="X635" i="3"/>
  <c r="X634" i="3"/>
  <c r="X633" i="3"/>
  <c r="X632" i="3"/>
  <c r="X631" i="3"/>
  <c r="X630" i="3"/>
  <c r="X629" i="3"/>
  <c r="X628" i="3"/>
  <c r="X627" i="3"/>
  <c r="X626" i="3"/>
  <c r="X625" i="3"/>
  <c r="X624" i="3"/>
  <c r="X623" i="3"/>
  <c r="X622" i="3"/>
  <c r="X621" i="3"/>
  <c r="X620" i="3"/>
  <c r="X619" i="3"/>
  <c r="X618" i="3"/>
  <c r="X617" i="3"/>
  <c r="X616" i="3"/>
  <c r="X615" i="3"/>
  <c r="X614" i="3"/>
  <c r="X613" i="3"/>
  <c r="X612" i="3"/>
  <c r="X611" i="3"/>
  <c r="X610" i="3"/>
  <c r="X609" i="3"/>
  <c r="X608" i="3"/>
  <c r="X607" i="3"/>
  <c r="X606" i="3"/>
  <c r="X605" i="3"/>
  <c r="X604" i="3"/>
  <c r="X603" i="3"/>
  <c r="X602" i="3"/>
  <c r="X601" i="3"/>
  <c r="X600" i="3"/>
  <c r="X599" i="3"/>
  <c r="X598" i="3"/>
  <c r="X597" i="3"/>
  <c r="X596" i="3"/>
  <c r="X595" i="3"/>
  <c r="X594" i="3"/>
  <c r="X593" i="3"/>
  <c r="X592" i="3"/>
  <c r="X591" i="3"/>
  <c r="X590" i="3"/>
  <c r="X589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61" i="3"/>
  <c r="X560" i="3"/>
  <c r="X559" i="3"/>
  <c r="X558" i="3"/>
  <c r="X557" i="3"/>
  <c r="X556" i="3"/>
  <c r="X555" i="3"/>
  <c r="X554" i="3"/>
  <c r="X553" i="3"/>
  <c r="X552" i="3"/>
  <c r="X551" i="3"/>
  <c r="X550" i="3"/>
  <c r="X549" i="3"/>
  <c r="X548" i="3"/>
  <c r="X547" i="3"/>
  <c r="X546" i="3"/>
  <c r="X545" i="3"/>
  <c r="X544" i="3"/>
  <c r="X543" i="3"/>
  <c r="X542" i="3"/>
  <c r="X541" i="3"/>
  <c r="X540" i="3"/>
  <c r="X539" i="3"/>
  <c r="X538" i="3"/>
  <c r="X537" i="3"/>
  <c r="X536" i="3"/>
  <c r="X535" i="3"/>
  <c r="X534" i="3"/>
  <c r="X533" i="3"/>
  <c r="X532" i="3"/>
  <c r="X531" i="3"/>
  <c r="X530" i="3"/>
  <c r="X529" i="3"/>
  <c r="X528" i="3"/>
  <c r="X527" i="3"/>
  <c r="X526" i="3"/>
  <c r="X525" i="3"/>
  <c r="X524" i="3"/>
  <c r="X523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10" i="3"/>
  <c r="X509" i="3"/>
  <c r="X508" i="3"/>
  <c r="X507" i="3"/>
  <c r="X506" i="3"/>
  <c r="X505" i="3"/>
  <c r="X504" i="3"/>
  <c r="X503" i="3"/>
  <c r="X502" i="3"/>
  <c r="X501" i="3"/>
  <c r="X500" i="3"/>
  <c r="X499" i="3"/>
  <c r="X498" i="3"/>
  <c r="X497" i="3"/>
  <c r="X496" i="3"/>
  <c r="X495" i="3"/>
  <c r="X494" i="3"/>
  <c r="X493" i="3"/>
  <c r="X492" i="3"/>
  <c r="X491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8" i="3"/>
  <c r="X447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8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W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2" i="3"/>
  <c r="R2" i="1"/>
  <c r="Q2" i="1"/>
  <c r="P2" i="1"/>
  <c r="O2" i="1"/>
  <c r="N2" i="1"/>
  <c r="M2" i="1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2" i="3"/>
  <c r="R2" i="3"/>
  <c r="Q2" i="3"/>
  <c r="P2" i="3"/>
  <c r="O2" i="3"/>
  <c r="N2" i="3"/>
  <c r="M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</calcChain>
</file>

<file path=xl/sharedStrings.xml><?xml version="1.0" encoding="utf-8"?>
<sst xmlns="http://schemas.openxmlformats.org/spreadsheetml/2006/main" count="75186" uniqueCount="9205">
  <si>
    <t>Education</t>
  </si>
  <si>
    <t>ST</t>
  </si>
  <si>
    <t>Master</t>
  </si>
  <si>
    <t>Washington</t>
  </si>
  <si>
    <t>Bachelor</t>
  </si>
  <si>
    <t>Arizona</t>
  </si>
  <si>
    <t>Customer</t>
  </si>
  <si>
    <t>GENDER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</si>
  <si>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</si>
  <si>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</si>
  <si>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</si>
  <si>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</si>
  <si>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</si>
  <si>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</si>
  <si>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</si>
  <si>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</si>
  <si>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</si>
  <si>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NA</t>
  </si>
  <si>
    <t>Personal Auto</t>
  </si>
  <si>
    <t>Four-Door Car</t>
  </si>
  <si>
    <t>QZ44356</t>
  </si>
  <si>
    <t>F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</si>
  <si>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</si>
  <si>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</si>
  <si>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</si>
  <si>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</si>
  <si>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</si>
  <si>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</si>
  <si>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</si>
  <si>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</si>
  <si>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</si>
  <si>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</si>
  <si>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</si>
  <si>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</si>
  <si>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</si>
  <si>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</si>
  <si>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</si>
  <si>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</si>
  <si>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</si>
  <si>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</si>
  <si>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</si>
  <si>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</si>
  <si>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</si>
  <si>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</si>
  <si>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</si>
  <si>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</si>
  <si>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</si>
  <si>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</si>
  <si>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</si>
  <si>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</si>
  <si>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</si>
  <si>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</si>
  <si>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</si>
  <si>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</si>
  <si>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</si>
  <si>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</si>
  <si>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</si>
  <si>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</si>
  <si>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</si>
  <si>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</si>
  <si>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</si>
  <si>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</si>
  <si>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</si>
  <si>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</si>
  <si>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</si>
  <si>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</si>
  <si>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</si>
  <si>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</si>
  <si>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</si>
  <si>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</si>
  <si>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</si>
  <si>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</si>
  <si>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</si>
  <si>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</si>
  <si>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</si>
  <si>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</si>
  <si>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</si>
  <si>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</si>
  <si>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</si>
  <si>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</si>
  <si>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</si>
  <si>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</si>
  <si>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</si>
  <si>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</si>
  <si>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</si>
  <si>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</si>
  <si>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</si>
  <si>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</si>
  <si>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</si>
  <si>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</si>
  <si>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</si>
  <si>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</si>
  <si>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</si>
  <si>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</si>
  <si>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</si>
  <si>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</si>
  <si>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</si>
  <si>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</si>
  <si>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</si>
  <si>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</si>
  <si>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</si>
  <si>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</si>
  <si>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</si>
  <si>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</si>
  <si>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</si>
  <si>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</si>
  <si>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</si>
  <si>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</si>
  <si>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</si>
  <si>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</si>
  <si>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</si>
  <si>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</si>
  <si>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</si>
  <si>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</si>
  <si>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</si>
  <si>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</si>
  <si>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</si>
  <si>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</si>
  <si>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</si>
  <si>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</si>
  <si>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</si>
  <si>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</si>
  <si>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</si>
  <si>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</si>
  <si>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</si>
  <si>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</si>
  <si>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</si>
  <si>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</si>
  <si>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</si>
  <si>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</si>
  <si>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</si>
  <si>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</si>
  <si>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</si>
  <si>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</si>
  <si>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</si>
  <si>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</si>
  <si>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</si>
  <si>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</si>
  <si>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</si>
  <si>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</si>
  <si>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</si>
  <si>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</si>
  <si>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</si>
  <si>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</si>
  <si>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</si>
  <si>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</si>
  <si>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</si>
  <si>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</si>
  <si>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</si>
  <si>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</si>
  <si>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</si>
  <si>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</si>
  <si>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</si>
  <si>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</si>
  <si>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</si>
  <si>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</si>
  <si>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</si>
  <si>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</si>
  <si>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</si>
  <si>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</si>
  <si>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</si>
  <si>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</si>
  <si>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</si>
  <si>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</si>
  <si>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</si>
  <si>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</si>
  <si>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</si>
  <si>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</si>
  <si>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</si>
  <si>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</si>
  <si>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</si>
  <si>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</si>
  <si>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</si>
  <si>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</si>
  <si>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</si>
  <si>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</si>
  <si>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</si>
  <si>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</si>
  <si>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</si>
  <si>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</si>
  <si>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</si>
  <si>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</si>
  <si>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</si>
  <si>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</si>
  <si>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</si>
  <si>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</si>
  <si>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</si>
  <si>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</si>
  <si>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</si>
  <si>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</si>
  <si>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</si>
  <si>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</si>
  <si>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</si>
  <si>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</si>
  <si>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</si>
  <si>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</si>
  <si>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</si>
  <si>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</si>
  <si>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</si>
  <si>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</si>
  <si>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</si>
  <si>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</si>
  <si>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</si>
  <si>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</si>
  <si>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</si>
  <si>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</si>
  <si>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</si>
  <si>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</si>
  <si>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</si>
  <si>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</si>
  <si>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</si>
  <si>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</si>
  <si>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</si>
  <si>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</si>
  <si>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</si>
  <si>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</si>
  <si>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</si>
  <si>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</si>
  <si>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</si>
  <si>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</si>
  <si>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</si>
  <si>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</si>
  <si>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</si>
  <si>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</si>
  <si>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</si>
  <si>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</si>
  <si>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</si>
  <si>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</si>
  <si>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</si>
  <si>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</si>
  <si>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</si>
  <si>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</si>
  <si>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</si>
  <si>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</si>
  <si>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</si>
  <si>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</si>
  <si>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</si>
  <si>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</si>
  <si>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</si>
  <si>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</si>
  <si>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</si>
  <si>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</si>
  <si>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</si>
  <si>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</si>
  <si>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</si>
  <si>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</si>
  <si>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</si>
  <si>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</si>
  <si>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</si>
  <si>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</si>
  <si>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</si>
  <si>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</si>
  <si>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</si>
  <si>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</si>
  <si>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</si>
  <si>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</si>
  <si>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</si>
  <si>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</si>
  <si>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</si>
  <si>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</si>
  <si>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</si>
  <si>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</si>
  <si>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</si>
  <si>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</si>
  <si>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</si>
  <si>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</si>
  <si>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</si>
  <si>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</si>
  <si>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</si>
  <si>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</si>
  <si>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</si>
  <si>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</si>
  <si>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</si>
  <si>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</si>
  <si>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</si>
  <si>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</si>
  <si>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</si>
  <si>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</si>
  <si>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</si>
  <si>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</si>
  <si>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</si>
  <si>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</si>
  <si>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</si>
  <si>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</si>
  <si>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</si>
  <si>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</si>
  <si>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</si>
  <si>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</si>
  <si>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</si>
  <si>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</si>
  <si>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</si>
  <si>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</si>
  <si>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</si>
  <si>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</si>
  <si>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</si>
  <si>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</si>
  <si>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</si>
  <si>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</si>
  <si>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</si>
  <si>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</si>
  <si>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</si>
  <si>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</si>
  <si>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</si>
  <si>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</si>
  <si>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</si>
  <si>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</si>
  <si>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</si>
  <si>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</si>
  <si>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</si>
  <si>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</si>
  <si>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</si>
  <si>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</si>
  <si>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</si>
  <si>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</si>
  <si>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</si>
  <si>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</si>
  <si>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</si>
  <si>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</si>
  <si>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</si>
  <si>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</si>
  <si>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</si>
  <si>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</si>
  <si>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</si>
  <si>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</si>
  <si>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</si>
  <si>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</si>
  <si>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</si>
  <si>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</si>
  <si>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</si>
  <si>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</si>
  <si>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</si>
  <si>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</si>
  <si>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</si>
  <si>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</si>
  <si>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</si>
  <si>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</si>
  <si>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</si>
  <si>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</si>
  <si>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</si>
  <si>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</si>
  <si>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</si>
  <si>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</si>
  <si>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</si>
  <si>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</si>
  <si>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</si>
  <si>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</si>
  <si>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</si>
  <si>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</si>
  <si>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</si>
  <si>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</si>
  <si>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</si>
  <si>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</si>
  <si>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</si>
  <si>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</si>
  <si>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</si>
  <si>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</si>
  <si>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</si>
  <si>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</si>
  <si>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</si>
  <si>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</si>
  <si>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</si>
  <si>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</si>
  <si>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</si>
  <si>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</si>
  <si>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</si>
  <si>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</si>
  <si>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</si>
  <si>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</si>
  <si>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</si>
  <si>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</si>
  <si>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</si>
  <si>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</si>
  <si>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</si>
  <si>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</si>
  <si>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</si>
  <si>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</si>
  <si>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</si>
  <si>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</si>
  <si>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</si>
  <si>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</si>
  <si>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</si>
  <si>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</si>
  <si>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</si>
  <si>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</si>
  <si>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</si>
  <si>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</si>
  <si>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</si>
  <si>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</si>
  <si>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</si>
  <si>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</si>
  <si>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</si>
  <si>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</si>
  <si>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</si>
  <si>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</si>
  <si>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</si>
  <si>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</si>
  <si>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</si>
  <si>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</si>
  <si>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</si>
  <si>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</si>
  <si>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</si>
  <si>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</si>
  <si>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</si>
  <si>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</si>
  <si>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</si>
  <si>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</si>
  <si>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</si>
  <si>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</si>
  <si>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</si>
  <si>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</si>
  <si>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</si>
  <si>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</si>
  <si>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</si>
  <si>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</si>
  <si>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</si>
  <si>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</si>
  <si>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</si>
  <si>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</si>
  <si>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</si>
  <si>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</si>
  <si>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</si>
  <si>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</si>
  <si>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</si>
  <si>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</si>
  <si>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</si>
  <si>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</si>
  <si>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</si>
  <si>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</si>
  <si>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</si>
  <si>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</si>
  <si>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</si>
  <si>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</si>
  <si>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</si>
  <si>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</si>
  <si>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</si>
  <si>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</si>
  <si>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</si>
  <si>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</si>
  <si>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</si>
  <si>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</si>
  <si>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</si>
  <si>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</si>
  <si>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</si>
  <si>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</si>
  <si>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</si>
  <si>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</si>
  <si>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</si>
  <si>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</si>
  <si>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</si>
  <si>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</si>
  <si>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</si>
  <si>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</si>
  <si>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</si>
  <si>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</si>
  <si>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</si>
  <si>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</si>
  <si>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</si>
  <si>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</si>
  <si>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</si>
  <si>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</si>
  <si>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</si>
  <si>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</si>
  <si>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</si>
  <si>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</si>
  <si>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</si>
  <si>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</si>
  <si>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</si>
  <si>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</si>
  <si>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</si>
  <si>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</si>
  <si>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</si>
  <si>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</si>
  <si>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</si>
  <si>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</si>
  <si>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</si>
  <si>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</si>
  <si>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</si>
  <si>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</si>
  <si>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</si>
  <si>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</si>
  <si>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</si>
  <si>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</si>
  <si>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</si>
  <si>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</si>
  <si>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</si>
  <si>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</si>
  <si>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</si>
  <si>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</si>
  <si>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</si>
  <si>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</si>
  <si>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</si>
  <si>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</si>
  <si>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</si>
  <si>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</si>
  <si>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</si>
  <si>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</si>
  <si>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</si>
  <si>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</si>
  <si>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</si>
  <si>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</si>
  <si>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</si>
  <si>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</si>
  <si>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</si>
  <si>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</si>
  <si>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</si>
  <si>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</si>
  <si>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</si>
  <si>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</si>
  <si>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</si>
  <si>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</si>
  <si>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</si>
  <si>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</si>
  <si>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</si>
  <si>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</si>
  <si>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</si>
  <si>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</si>
  <si>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</si>
  <si>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</si>
  <si>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</si>
  <si>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</si>
  <si>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</si>
  <si>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</si>
  <si>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</si>
  <si>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</si>
  <si>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</si>
  <si>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</si>
  <si>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</si>
  <si>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</si>
  <si>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</si>
  <si>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</si>
  <si>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</si>
  <si>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</si>
  <si>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</si>
  <si>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</si>
  <si>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</si>
  <si>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</si>
  <si>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</si>
  <si>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</si>
  <si>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</si>
  <si>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</si>
  <si>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</si>
  <si>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</si>
  <si>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</si>
  <si>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</si>
  <si>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</si>
  <si>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</si>
  <si>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</si>
  <si>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</si>
  <si>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</si>
  <si>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</si>
  <si>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</si>
  <si>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</si>
  <si>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</si>
  <si>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</si>
  <si>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</si>
  <si>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</si>
  <si>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</si>
  <si>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</si>
  <si>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</si>
  <si>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</si>
  <si>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</si>
  <si>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</si>
  <si>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</si>
  <si>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</si>
  <si>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</si>
  <si>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</si>
  <si>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</si>
  <si>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</si>
  <si>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</si>
  <si>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</si>
  <si>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</si>
  <si>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</si>
  <si>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</si>
  <si>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</si>
  <si>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</si>
  <si>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</si>
  <si>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</si>
  <si>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</si>
  <si>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</si>
  <si>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</si>
  <si>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</si>
  <si>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</si>
  <si>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</si>
  <si>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</si>
  <si>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</si>
  <si>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</si>
  <si>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</si>
  <si>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</si>
  <si>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</si>
  <si>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</si>
  <si>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</si>
  <si>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</si>
  <si>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</si>
  <si>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</si>
  <si>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</si>
  <si>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</si>
  <si>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</si>
  <si>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</si>
  <si>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</si>
  <si>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</si>
  <si>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</si>
  <si>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</si>
  <si>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</si>
  <si>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</si>
  <si>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</si>
  <si>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</si>
  <si>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</si>
  <si>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</si>
  <si>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</si>
  <si>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</si>
  <si>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</si>
  <si>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</si>
  <si>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</si>
  <si>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</si>
  <si>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</si>
  <si>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</si>
  <si>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</si>
  <si>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</si>
  <si>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</si>
  <si>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</si>
  <si>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</si>
  <si>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</si>
  <si>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</si>
  <si>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</si>
  <si>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</si>
  <si>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</si>
  <si>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</si>
  <si>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</si>
  <si>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</si>
  <si>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</si>
  <si>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</si>
  <si>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</si>
  <si>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</si>
  <si>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</si>
  <si>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</si>
  <si>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</si>
  <si>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</si>
  <si>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</si>
  <si>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</si>
  <si>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</si>
  <si>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</si>
  <si>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</si>
  <si>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</si>
  <si>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</si>
  <si>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</si>
  <si>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</si>
  <si>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</si>
  <si>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</si>
  <si>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</si>
  <si>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</si>
  <si>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</si>
  <si>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</si>
  <si>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</si>
  <si>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</si>
  <si>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</si>
  <si>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</si>
  <si>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</si>
  <si>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</si>
  <si>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</si>
  <si>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</si>
  <si>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</si>
  <si>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</si>
  <si>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</si>
  <si>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</si>
  <si>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</si>
  <si>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</si>
  <si>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</si>
  <si>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</si>
  <si>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</si>
  <si>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</si>
  <si>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</si>
  <si>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</si>
  <si>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</si>
  <si>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</si>
  <si>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</si>
  <si>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</si>
  <si>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</si>
  <si>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</si>
  <si>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</si>
  <si>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</si>
  <si>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</si>
  <si>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</si>
  <si>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</si>
  <si>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</si>
  <si>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</si>
  <si>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</si>
  <si>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</si>
  <si>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</si>
  <si>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</si>
  <si>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</si>
  <si>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</si>
  <si>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</si>
  <si>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</si>
  <si>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</si>
  <si>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</si>
  <si>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</si>
  <si>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</si>
  <si>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</si>
  <si>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</si>
  <si>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</si>
  <si>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</si>
  <si>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</si>
  <si>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</si>
  <si>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</si>
  <si>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</si>
  <si>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</si>
  <si>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</si>
  <si>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</si>
  <si>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</si>
  <si>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</si>
  <si>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</si>
  <si>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</si>
  <si>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</si>
  <si>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</si>
  <si>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</si>
  <si>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</si>
  <si>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</si>
  <si>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</si>
  <si>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</si>
  <si>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</si>
  <si>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</si>
  <si>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</si>
  <si>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</si>
  <si>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</si>
  <si>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</si>
  <si>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</si>
  <si>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</si>
  <si>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</si>
  <si>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</si>
  <si>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</si>
  <si>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</si>
  <si>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</si>
  <si>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</si>
  <si>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</si>
  <si>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</si>
  <si>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</si>
  <si>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</si>
  <si>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</si>
  <si>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</si>
  <si>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</si>
  <si>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</si>
  <si>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</si>
  <si>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</si>
  <si>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</si>
  <si>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</si>
  <si>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</si>
  <si>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</si>
  <si>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</si>
  <si>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</si>
  <si>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</si>
  <si>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</si>
  <si>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</si>
  <si>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</si>
  <si>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</si>
  <si>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</si>
  <si>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</si>
  <si>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</si>
  <si>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</si>
  <si>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</si>
  <si>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</si>
  <si>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</si>
  <si>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</si>
  <si>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</si>
  <si>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</si>
  <si>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</si>
  <si>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</si>
  <si>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</si>
  <si>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</si>
  <si>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</si>
  <si>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</si>
  <si>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</si>
  <si>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</si>
  <si>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</si>
  <si>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</si>
  <si>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</si>
  <si>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</si>
  <si>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</si>
  <si>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</si>
  <si>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</si>
  <si>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</si>
  <si>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</si>
  <si>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</si>
  <si>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</si>
  <si>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</si>
  <si>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</si>
  <si>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</si>
  <si>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</si>
  <si>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</si>
  <si>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</si>
  <si>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</si>
  <si>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</si>
  <si>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</si>
  <si>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</si>
  <si>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</si>
  <si>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</si>
  <si>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</si>
  <si>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</si>
  <si>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</si>
  <si>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</si>
  <si>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</si>
  <si>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</si>
  <si>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</si>
  <si>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</si>
  <si>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</si>
  <si>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</si>
  <si>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</si>
  <si>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</si>
  <si>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</si>
  <si>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</si>
  <si>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</si>
  <si>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</si>
  <si>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</si>
  <si>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</si>
  <si>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</si>
  <si>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</si>
  <si>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</si>
  <si>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</si>
  <si>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</si>
  <si>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</si>
  <si>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</si>
  <si>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</si>
  <si>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</si>
  <si>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</si>
  <si>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</si>
  <si>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</si>
  <si>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</si>
  <si>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</si>
  <si>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</si>
  <si>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</si>
  <si>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</si>
  <si>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</si>
  <si>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</si>
  <si>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</si>
  <si>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</si>
  <si>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</si>
  <si>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</si>
  <si>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</si>
  <si>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</si>
  <si>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</si>
  <si>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</si>
  <si>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</si>
  <si>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</si>
  <si>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</si>
  <si>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</si>
  <si>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</si>
  <si>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</si>
  <si>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</si>
  <si>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</si>
  <si>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</si>
  <si>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</si>
  <si>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</si>
  <si>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</si>
  <si>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</si>
  <si>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</si>
  <si>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</si>
  <si>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</si>
  <si>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</si>
  <si>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</si>
  <si>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</si>
  <si>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</si>
  <si>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</si>
  <si>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</si>
  <si>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</si>
  <si>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</si>
  <si>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</si>
  <si>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</si>
  <si>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</si>
  <si>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</si>
  <si>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</si>
  <si>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</si>
  <si>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</si>
  <si>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</si>
  <si>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</si>
  <si>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</si>
  <si>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</si>
  <si>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</si>
  <si>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</si>
  <si>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</si>
  <si>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</si>
  <si>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</si>
  <si>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</si>
  <si>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</si>
  <si>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</si>
  <si>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</si>
  <si>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</si>
  <si>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</si>
  <si>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</si>
  <si>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</si>
  <si>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</si>
  <si>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</si>
  <si>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</si>
  <si>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</si>
  <si>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</si>
  <si>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</si>
  <si>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</si>
  <si>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</si>
  <si>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</si>
  <si>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</si>
  <si>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</si>
  <si>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</si>
  <si>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</si>
  <si>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</si>
  <si>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</si>
  <si>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</si>
  <si>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</si>
  <si>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</si>
  <si>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</si>
  <si>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</si>
  <si>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</si>
  <si>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</si>
  <si>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</si>
  <si>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</si>
  <si>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</si>
  <si>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</si>
  <si>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</si>
  <si>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</si>
  <si>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</si>
  <si>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</si>
  <si>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</si>
  <si>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</si>
  <si>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</si>
  <si>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</si>
  <si>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</si>
  <si>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</si>
  <si>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</si>
  <si>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</si>
  <si>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</si>
  <si>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</si>
  <si>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</si>
  <si>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</si>
  <si>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</si>
  <si>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</si>
  <si>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</si>
  <si>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</si>
  <si>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</si>
  <si>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</si>
  <si>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</si>
  <si>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</si>
  <si>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</si>
  <si>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</si>
  <si>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</si>
  <si>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</si>
  <si>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</si>
  <si>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</si>
  <si>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</si>
  <si>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</si>
  <si>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</si>
  <si>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</si>
  <si>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</si>
  <si>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</si>
  <si>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</si>
  <si>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</si>
  <si>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</si>
  <si>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</si>
  <si>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</si>
  <si>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</si>
  <si>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</si>
  <si>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</si>
  <si>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</si>
  <si>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</si>
  <si>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</si>
  <si>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</si>
  <si>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</si>
  <si>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</si>
  <si>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</si>
  <si>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</si>
  <si>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</si>
  <si>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</si>
  <si>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</si>
  <si>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</si>
  <si>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</si>
  <si>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</si>
  <si>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</si>
  <si>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</si>
  <si>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</si>
  <si>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</si>
  <si>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</si>
  <si>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</si>
  <si>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</si>
  <si>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</si>
  <si>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</si>
  <si>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</si>
  <si>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</si>
  <si>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</si>
  <si>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</si>
  <si>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</si>
  <si>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</si>
  <si>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</si>
  <si>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</si>
  <si>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</si>
  <si>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</si>
  <si>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</si>
  <si>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</si>
  <si>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</si>
  <si>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</si>
  <si>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</si>
  <si>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</si>
  <si>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</si>
  <si>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</si>
  <si>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</si>
  <si>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</si>
  <si>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</si>
  <si>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</si>
  <si>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</si>
  <si>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</si>
  <si>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</si>
  <si>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</si>
  <si>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</si>
  <si>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</si>
  <si>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</si>
  <si>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</si>
  <si>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</si>
  <si>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</si>
  <si>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</si>
  <si>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</si>
  <si>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</si>
  <si>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</si>
  <si>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</si>
  <si>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</si>
  <si>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</si>
  <si>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</si>
  <si>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</si>
  <si>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</si>
  <si>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</si>
  <si>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</si>
  <si>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</si>
  <si>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</si>
  <si>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</si>
  <si>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</si>
  <si>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</si>
  <si>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</si>
  <si>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</si>
  <si>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</si>
  <si>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</si>
  <si>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</si>
  <si>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</si>
  <si>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</si>
  <si>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</si>
  <si>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</si>
  <si>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</si>
  <si>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</si>
  <si>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</si>
  <si>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</si>
  <si>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</si>
  <si>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</si>
  <si>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</si>
  <si>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</si>
  <si>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</si>
  <si>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</si>
  <si>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</si>
  <si>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</si>
  <si>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</si>
  <si>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</si>
  <si>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</si>
  <si>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</si>
  <si>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</si>
  <si>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</si>
  <si>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</si>
  <si>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</si>
  <si>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</si>
  <si>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</si>
  <si>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</si>
  <si>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</si>
  <si>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</si>
  <si>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</si>
  <si>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</si>
  <si>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</si>
  <si>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</si>
  <si>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</si>
  <si>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</si>
  <si>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</si>
  <si>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</si>
  <si>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</si>
  <si>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</si>
  <si>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</si>
  <si>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</si>
  <si>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</si>
  <si>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</si>
  <si>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</si>
  <si>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</si>
  <si>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</si>
  <si>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</si>
  <si>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</si>
  <si>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</si>
  <si>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</si>
  <si>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</si>
  <si>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</si>
  <si>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</si>
  <si>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</si>
  <si>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</si>
  <si>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</si>
  <si>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</si>
  <si>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</si>
  <si>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</si>
  <si>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</si>
  <si>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</si>
  <si>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</si>
  <si>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</si>
  <si>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</si>
  <si>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</si>
  <si>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</si>
  <si>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</si>
  <si>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</si>
  <si>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</si>
  <si>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</si>
  <si>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</si>
  <si>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</si>
  <si>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</si>
  <si>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</si>
  <si>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</si>
  <si>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</si>
  <si>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</si>
  <si>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</si>
  <si>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</si>
  <si>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</si>
  <si>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</si>
  <si>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</si>
  <si>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</si>
  <si>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</si>
  <si>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</si>
  <si>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</si>
  <si>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</si>
  <si>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</si>
  <si>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</si>
  <si>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</si>
  <si>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</si>
  <si>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</si>
  <si>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</si>
  <si>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</si>
  <si>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</si>
  <si>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</si>
  <si>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</si>
  <si>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</si>
  <si>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</si>
  <si>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</si>
  <si>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</si>
  <si>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</si>
  <si>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</si>
  <si>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</si>
  <si>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</si>
  <si>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</si>
  <si>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</si>
  <si>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</si>
  <si>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</si>
  <si>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</si>
  <si>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</si>
  <si>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</si>
  <si>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</si>
  <si>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</si>
  <si>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</si>
  <si>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</si>
  <si>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</si>
  <si>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</si>
  <si>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</si>
  <si>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</si>
  <si>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</si>
  <si>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</si>
  <si>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</si>
  <si>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</si>
  <si>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</si>
  <si>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</si>
  <si>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</si>
  <si>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</si>
  <si>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</si>
  <si>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</si>
  <si>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</si>
  <si>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</si>
  <si>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</si>
  <si>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</si>
  <si>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</si>
  <si>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</si>
  <si>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</si>
  <si>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</si>
  <si>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</si>
  <si>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</si>
  <si>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</si>
  <si>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</si>
  <si>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</si>
  <si>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</si>
  <si>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</si>
  <si>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</si>
  <si>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</si>
  <si>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</si>
  <si>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</si>
  <si>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</si>
  <si>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</si>
  <si>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</si>
  <si>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</si>
  <si>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</si>
  <si>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</si>
  <si>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</si>
  <si>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</si>
  <si>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</si>
  <si>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</si>
  <si>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</si>
  <si>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</si>
  <si>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</si>
  <si>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</si>
  <si>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</si>
  <si>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</si>
  <si>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</si>
  <si>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</si>
  <si>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</si>
  <si>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</si>
  <si>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</si>
  <si>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</si>
  <si>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</si>
  <si>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</si>
  <si>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</si>
  <si>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</si>
  <si>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</si>
  <si>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</si>
  <si>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</si>
  <si>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</si>
  <si>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</si>
  <si>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</si>
  <si>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</si>
  <si>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</si>
  <si>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</si>
  <si>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</si>
  <si>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</si>
  <si>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</si>
  <si>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</si>
  <si>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</si>
  <si>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</si>
  <si>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</si>
  <si>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</si>
  <si>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</si>
  <si>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</si>
  <si>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</si>
  <si>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</si>
  <si>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</si>
  <si>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</si>
  <si>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</si>
  <si>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</si>
  <si>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</si>
  <si>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</si>
  <si>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</si>
  <si>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</si>
  <si>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</si>
  <si>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</si>
  <si>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</si>
  <si>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</si>
  <si>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</si>
  <si>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</si>
  <si>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</si>
  <si>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</si>
  <si>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</si>
  <si>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</si>
  <si>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</si>
  <si>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</si>
  <si>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</si>
  <si>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</si>
  <si>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</si>
  <si>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</si>
  <si>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</si>
  <si>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</si>
  <si>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</si>
  <si>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</si>
  <si>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</si>
  <si>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</si>
  <si>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</si>
  <si>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</si>
  <si>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</si>
  <si>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</si>
  <si>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</si>
  <si>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</si>
  <si>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</si>
  <si>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</si>
  <si>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</si>
  <si>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</si>
  <si>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</si>
  <si>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</si>
  <si>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</si>
  <si>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</si>
  <si>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</si>
  <si>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</si>
  <si>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</si>
  <si>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</si>
  <si>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</si>
  <si>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</si>
  <si>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</si>
  <si>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</si>
  <si>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</si>
  <si>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</si>
  <si>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</si>
  <si>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</si>
  <si>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</si>
  <si>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</si>
  <si>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</si>
  <si>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</si>
  <si>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</si>
  <si>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</si>
  <si>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</si>
  <si>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</si>
  <si>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</si>
  <si>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</si>
  <si>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</si>
  <si>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</si>
  <si>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</si>
  <si>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</si>
  <si>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</si>
  <si>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</si>
  <si>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</si>
  <si>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</si>
  <si>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</si>
  <si>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</si>
  <si>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</si>
  <si>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</si>
  <si>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</si>
  <si>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</si>
  <si>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</si>
  <si>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</si>
  <si>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</si>
  <si>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</si>
  <si>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</si>
  <si>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</si>
  <si>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</si>
  <si>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</si>
  <si>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</si>
  <si>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</si>
  <si>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</si>
  <si>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</si>
  <si>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</si>
  <si>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</si>
  <si>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</si>
  <si>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</si>
  <si>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</si>
  <si>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</si>
  <si>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</si>
  <si>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</si>
  <si>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</si>
  <si>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</si>
  <si>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</si>
  <si>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</si>
  <si>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</si>
  <si>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</si>
  <si>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</si>
  <si>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</si>
  <si>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</si>
  <si>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</si>
  <si>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</si>
  <si>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</si>
  <si>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</si>
  <si>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</si>
  <si>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</si>
  <si>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</si>
  <si>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</si>
  <si>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</si>
  <si>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</si>
  <si>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</si>
  <si>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</si>
  <si>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</si>
  <si>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</si>
  <si>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</si>
  <si>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</si>
  <si>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</si>
  <si>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</si>
  <si>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</si>
  <si>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</si>
  <si>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</si>
  <si>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</si>
  <si>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</si>
  <si>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</si>
  <si>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</si>
  <si>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</si>
  <si>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</si>
  <si>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</si>
  <si>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</si>
  <si>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</si>
  <si>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</si>
  <si>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</si>
  <si>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</si>
  <si>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</si>
  <si>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</si>
  <si>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</si>
  <si>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</si>
  <si>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</si>
  <si>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</si>
  <si>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</si>
  <si>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</si>
  <si>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</si>
  <si>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</si>
  <si>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</si>
  <si>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</si>
  <si>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</si>
  <si>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</si>
  <si>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</si>
  <si>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</si>
  <si>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</si>
  <si>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</si>
  <si>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</si>
  <si>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</si>
  <si>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</si>
  <si>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</si>
  <si>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</si>
  <si>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</si>
  <si>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</si>
  <si>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</si>
  <si>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</si>
  <si>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</si>
  <si>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</si>
  <si>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</si>
  <si>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</si>
  <si>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</si>
  <si>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</si>
  <si>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</si>
  <si>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</si>
  <si>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</si>
  <si>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</si>
  <si>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</si>
  <si>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</si>
  <si>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</si>
  <si>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</si>
  <si>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</si>
  <si>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</si>
  <si>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</si>
  <si>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</si>
  <si>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</si>
  <si>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</si>
  <si>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</si>
  <si>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</si>
  <si>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</si>
  <si>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</si>
  <si>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</si>
  <si>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</si>
  <si>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</si>
  <si>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</si>
  <si>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</si>
  <si>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</si>
  <si>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</si>
  <si>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</si>
  <si>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</si>
  <si>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</si>
  <si>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</si>
  <si>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</si>
  <si>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</si>
  <si>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</si>
  <si>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</si>
  <si>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</si>
  <si>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</si>
  <si>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</si>
  <si>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</si>
  <si>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</si>
  <si>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</si>
  <si>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</si>
  <si>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</si>
  <si>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</si>
  <si>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</si>
  <si>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</si>
  <si>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</si>
  <si>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</si>
  <si>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</si>
  <si>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</si>
  <si>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</si>
  <si>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</si>
  <si>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</si>
  <si>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</si>
  <si>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</si>
  <si>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</si>
  <si>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</si>
  <si>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</si>
  <si>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</si>
  <si>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</si>
  <si>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</si>
  <si>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</si>
  <si>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</si>
  <si>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</si>
  <si>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</si>
  <si>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</si>
  <si>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</si>
  <si>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</si>
  <si>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</si>
  <si>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</si>
  <si>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</si>
  <si>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</si>
  <si>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</si>
  <si>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</si>
  <si>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</si>
  <si>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</si>
  <si>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</si>
  <si>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</si>
  <si>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</si>
  <si>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</si>
  <si>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</si>
  <si>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</si>
  <si>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</si>
  <si>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</si>
  <si>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</si>
  <si>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</si>
  <si>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</si>
  <si>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</si>
  <si>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</si>
  <si>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</si>
  <si>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</si>
  <si>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</si>
  <si>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</si>
  <si>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</si>
  <si>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</si>
  <si>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</si>
  <si>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</si>
  <si>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</si>
  <si>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</si>
  <si>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</si>
  <si>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</si>
  <si>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</si>
  <si>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</si>
  <si>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</si>
  <si>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</si>
  <si>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</si>
  <si>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</si>
  <si>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</si>
  <si>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</si>
  <si>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</si>
  <si>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</si>
  <si>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</si>
  <si>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</si>
  <si>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</si>
  <si>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</si>
  <si>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</si>
  <si>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</si>
  <si>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</si>
  <si>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</si>
  <si>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</si>
  <si>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</si>
  <si>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</si>
  <si>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</si>
  <si>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</si>
  <si>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</si>
  <si>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</si>
  <si>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</si>
  <si>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</si>
  <si>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</si>
  <si>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</si>
  <si>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</si>
  <si>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</si>
  <si>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</si>
  <si>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</si>
  <si>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</si>
  <si>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</si>
  <si>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</si>
  <si>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</si>
  <si>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</si>
  <si>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</si>
  <si>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</si>
  <si>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</si>
  <si>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</si>
  <si>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</si>
  <si>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</si>
  <si>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</si>
  <si>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</si>
  <si>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</si>
  <si>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</si>
  <si>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</si>
  <si>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</si>
  <si>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</si>
  <si>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</si>
  <si>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</si>
  <si>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</si>
  <si>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</si>
  <si>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</si>
  <si>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</si>
  <si>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</si>
  <si>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</si>
  <si>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</si>
  <si>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</si>
  <si>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</si>
  <si>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</si>
  <si>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</si>
  <si>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</si>
  <si>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</si>
  <si>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</si>
  <si>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</si>
  <si>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</si>
  <si>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</si>
  <si>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</si>
  <si>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</si>
  <si>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</si>
  <si>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</si>
  <si>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</si>
  <si>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</si>
  <si>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</si>
  <si>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</si>
  <si>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</si>
  <si>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</si>
  <si>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</si>
  <si>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</si>
  <si>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</si>
  <si>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</si>
  <si>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</si>
  <si>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</si>
  <si>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</si>
  <si>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</si>
  <si>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</si>
  <si>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</si>
  <si>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</si>
  <si>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</si>
  <si>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</si>
  <si>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</si>
  <si>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</si>
  <si>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</si>
  <si>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</si>
  <si>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</si>
  <si>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</si>
  <si>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</si>
  <si>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</si>
  <si>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</si>
  <si>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</si>
  <si>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</si>
  <si>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</si>
  <si>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</si>
  <si>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</si>
  <si>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</si>
  <si>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</si>
  <si>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</si>
  <si>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</si>
  <si>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</si>
  <si>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</si>
  <si>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</si>
  <si>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</si>
  <si>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</si>
  <si>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</si>
  <si>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</si>
  <si>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</si>
  <si>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</si>
  <si>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</si>
  <si>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</si>
  <si>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</si>
  <si>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</si>
  <si>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</si>
  <si>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</si>
  <si>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</si>
  <si>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</si>
  <si>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</si>
  <si>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</si>
  <si>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</si>
  <si>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</si>
  <si>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</si>
  <si>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</si>
  <si>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</si>
  <si>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</si>
  <si>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</si>
  <si>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</si>
  <si>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</si>
  <si>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</si>
  <si>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</si>
  <si>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</si>
  <si>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</si>
  <si>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</si>
  <si>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</si>
  <si>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</si>
  <si>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</si>
  <si>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</si>
  <si>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</si>
  <si>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</si>
  <si>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</si>
  <si>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</si>
  <si>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</si>
  <si>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</si>
  <si>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</si>
  <si>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</si>
  <si>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</si>
  <si>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</si>
  <si>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</si>
  <si>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</si>
  <si>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</si>
  <si>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</si>
  <si>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</si>
  <si>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</si>
  <si>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</si>
  <si>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</si>
  <si>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</si>
  <si>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</si>
  <si>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</si>
  <si>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</si>
  <si>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</si>
  <si>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</si>
  <si>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</si>
  <si>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</si>
  <si>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</si>
  <si>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</si>
  <si>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</si>
  <si>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</si>
  <si>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</si>
  <si>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</si>
  <si>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</si>
  <si>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</si>
  <si>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</si>
  <si>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</si>
  <si>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</si>
  <si>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</si>
  <si>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</si>
  <si>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</si>
  <si>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</si>
  <si>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</si>
  <si>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</si>
  <si>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</si>
  <si>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</si>
  <si>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</si>
  <si>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</si>
  <si>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</si>
  <si>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</si>
  <si>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</si>
  <si>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</si>
  <si>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</si>
  <si>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</si>
  <si>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</si>
  <si>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</si>
  <si>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</si>
  <si>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</si>
  <si>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</si>
  <si>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</si>
  <si>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</si>
  <si>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</si>
  <si>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</si>
  <si>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</si>
  <si>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</si>
  <si>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</si>
  <si>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</si>
  <si>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</si>
  <si>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</si>
  <si>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</si>
  <si>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</si>
  <si>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</si>
  <si>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</si>
  <si>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</si>
  <si>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</si>
  <si>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</si>
  <si>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</si>
  <si>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</si>
  <si>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</si>
  <si>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</si>
  <si>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</si>
  <si>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</si>
  <si>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</si>
  <si>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</si>
  <si>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</si>
  <si>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</si>
  <si>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</si>
  <si>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</si>
  <si>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</si>
  <si>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</si>
  <si>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</si>
  <si>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</si>
  <si>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</si>
  <si>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</si>
  <si>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</si>
  <si>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</si>
  <si>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</si>
  <si>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</si>
  <si>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</si>
  <si>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</si>
  <si>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</si>
  <si>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</si>
  <si>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</si>
  <si>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</si>
  <si>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</si>
  <si>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</si>
  <si>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</si>
  <si>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</si>
  <si>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</si>
  <si>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</si>
  <si>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</si>
  <si>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</si>
  <si>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</si>
  <si>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</si>
  <si>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</si>
  <si>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</si>
  <si>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</si>
  <si>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</si>
  <si>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</si>
  <si>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</si>
  <si>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</si>
  <si>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</si>
  <si>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</si>
  <si>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</si>
  <si>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</si>
  <si>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</si>
  <si>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</si>
  <si>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</si>
  <si>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</si>
  <si>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</si>
  <si>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</si>
  <si>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</si>
  <si>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</si>
  <si>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</si>
  <si>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</si>
  <si>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</si>
  <si>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</si>
  <si>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</si>
  <si>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</si>
  <si>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</si>
  <si>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</si>
  <si>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</si>
  <si>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</si>
  <si>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</si>
  <si>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</si>
  <si>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</si>
  <si>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</si>
  <si>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</si>
  <si>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</si>
  <si>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</si>
  <si>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</si>
  <si>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</si>
  <si>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</si>
  <si>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</si>
  <si>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</si>
  <si>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</si>
  <si>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</si>
  <si>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</si>
  <si>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</si>
  <si>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</si>
  <si>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</si>
  <si>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</si>
  <si>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</si>
  <si>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</si>
  <si>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</si>
  <si>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</si>
  <si>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</si>
  <si>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</si>
  <si>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</si>
  <si>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</si>
  <si>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</si>
  <si>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</si>
  <si>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</si>
  <si>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</si>
  <si>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</si>
  <si>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</si>
  <si>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</si>
  <si>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</si>
  <si>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</si>
  <si>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</si>
  <si>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</si>
  <si>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</si>
  <si>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</si>
  <si>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</si>
  <si>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</si>
  <si>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</si>
  <si>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</si>
  <si>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</si>
  <si>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</si>
  <si>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</si>
  <si>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</si>
  <si>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</si>
  <si>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</si>
  <si>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</si>
  <si>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</si>
  <si>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</si>
  <si>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</si>
  <si>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</si>
  <si>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</si>
  <si>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</si>
  <si>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</si>
  <si>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</si>
  <si>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</si>
  <si>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</si>
  <si>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</si>
  <si>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</si>
  <si>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</si>
  <si>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</si>
  <si>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</si>
  <si>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</si>
  <si>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</si>
  <si>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</si>
  <si>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</si>
  <si>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</si>
  <si>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</si>
  <si>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</si>
  <si>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</si>
  <si>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</si>
  <si>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</si>
  <si>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</si>
  <si>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</si>
  <si>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</si>
  <si>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</si>
  <si>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</si>
  <si>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</si>
  <si>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</si>
  <si>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</si>
  <si>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</si>
  <si>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</si>
  <si>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</si>
  <si>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</si>
  <si>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</si>
  <si>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</si>
  <si>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</si>
  <si>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</si>
  <si>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</si>
  <si>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</si>
  <si>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</si>
  <si>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</si>
  <si>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</si>
  <si>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</si>
  <si>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</si>
  <si>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</si>
  <si>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</si>
  <si>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</si>
  <si>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</si>
  <si>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</si>
  <si>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</si>
  <si>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</si>
  <si>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</si>
  <si>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</si>
  <si>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</si>
  <si>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</si>
  <si>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</si>
  <si>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</si>
  <si>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</si>
  <si>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</si>
  <si>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</si>
  <si>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</si>
  <si>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</si>
  <si>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</si>
  <si>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</si>
  <si>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</si>
  <si>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</si>
  <si>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</si>
  <si>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</si>
  <si>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</si>
  <si>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</si>
  <si>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</si>
  <si>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</si>
  <si>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</si>
  <si>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</si>
  <si>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</si>
  <si>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</si>
  <si>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</si>
  <si>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</si>
  <si>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</si>
  <si>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</si>
  <si>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</si>
  <si>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</si>
  <si>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</si>
  <si>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</si>
  <si>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</si>
  <si>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</si>
  <si>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</si>
  <si>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</si>
  <si>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</si>
  <si>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</si>
  <si>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</si>
  <si>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</si>
  <si>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</si>
  <si>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</si>
  <si>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</si>
  <si>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</si>
  <si>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</si>
  <si>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</si>
  <si>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</si>
  <si>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</si>
  <si>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</si>
  <si>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</si>
  <si>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</si>
  <si>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</si>
  <si>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</si>
  <si>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</si>
  <si>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</si>
  <si>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</si>
  <si>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</si>
  <si>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</si>
  <si>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</si>
  <si>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</si>
  <si>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</si>
  <si>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</si>
  <si>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</si>
  <si>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</si>
  <si>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</si>
  <si>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</si>
  <si>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</si>
  <si>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</si>
  <si>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</si>
  <si>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</si>
  <si>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</si>
  <si>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</si>
  <si>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</si>
  <si>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</si>
  <si>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</si>
  <si>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</si>
  <si>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</si>
  <si>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</si>
  <si>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</si>
  <si>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</si>
  <si>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</si>
  <si>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</si>
  <si>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</si>
  <si>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</si>
  <si>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</si>
  <si>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</si>
  <si>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</si>
  <si>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</si>
  <si>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</si>
  <si>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</si>
  <si>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</si>
  <si>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</si>
  <si>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</si>
  <si>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</si>
  <si>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</si>
  <si>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</si>
  <si>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</si>
  <si>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</si>
  <si>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</si>
  <si>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</si>
  <si>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</si>
  <si>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</si>
  <si>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</si>
  <si>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</si>
  <si>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</si>
  <si>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</si>
  <si>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</si>
  <si>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</si>
  <si>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</si>
  <si>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</si>
  <si>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</si>
  <si>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</si>
  <si>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</si>
  <si>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</si>
  <si>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</si>
  <si>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</si>
  <si>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</si>
  <si>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</si>
  <si>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</si>
  <si>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</si>
  <si>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</si>
  <si>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</si>
  <si>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</si>
  <si>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</si>
  <si>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</si>
  <si>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</si>
  <si>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</si>
  <si>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</si>
  <si>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</si>
  <si>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</si>
  <si>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</si>
  <si>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</si>
  <si>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</si>
  <si>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</si>
  <si>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</si>
  <si>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</si>
  <si>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</si>
  <si>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</si>
  <si>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</si>
  <si>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</si>
  <si>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</si>
  <si>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</si>
  <si>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</si>
  <si>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</si>
  <si>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</si>
  <si>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</si>
  <si>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</si>
  <si>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</si>
  <si>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</si>
  <si>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</si>
  <si>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</si>
  <si>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</si>
  <si>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</si>
  <si>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</si>
  <si>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</si>
  <si>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</si>
  <si>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</si>
  <si>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</si>
  <si>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</si>
  <si>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</si>
  <si>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</si>
  <si>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</si>
  <si>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</si>
  <si>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</si>
  <si>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</si>
  <si>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</si>
  <si>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</si>
  <si>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</si>
  <si>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</si>
  <si>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</si>
  <si>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</si>
  <si>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</si>
  <si>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</si>
  <si>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</si>
  <si>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</si>
  <si>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</si>
  <si>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</si>
  <si>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</si>
  <si>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</si>
  <si>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</si>
  <si>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</si>
  <si>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</si>
  <si>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</si>
  <si>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</si>
  <si>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</si>
  <si>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</si>
  <si>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</si>
  <si>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</si>
  <si>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</si>
  <si>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</si>
  <si>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</si>
  <si>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</si>
  <si>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</si>
  <si>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</si>
  <si>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</si>
  <si>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</si>
  <si>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</si>
  <si>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</si>
  <si>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</si>
  <si>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</si>
  <si>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</si>
  <si>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</si>
  <si>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</si>
  <si>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</si>
  <si>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</si>
  <si>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</si>
  <si>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</si>
  <si>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</si>
  <si>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</si>
  <si>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</si>
  <si>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</si>
  <si>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</si>
  <si>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</si>
  <si>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</si>
  <si>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</si>
  <si>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</si>
  <si>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</si>
  <si>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</si>
  <si>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</si>
  <si>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</si>
  <si>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</si>
  <si>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</si>
  <si>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</si>
  <si>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</si>
  <si>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</si>
  <si>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</si>
  <si>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</si>
  <si>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</si>
  <si>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</si>
  <si>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</si>
  <si>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</si>
  <si>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</si>
  <si>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</si>
  <si>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</si>
  <si>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</si>
  <si>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</si>
  <si>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</si>
  <si>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</si>
  <si>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</si>
  <si>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</si>
  <si>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</si>
  <si>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</si>
  <si>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</si>
  <si>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</si>
  <si>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</si>
  <si>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</si>
  <si>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</si>
  <si>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</si>
  <si>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</si>
  <si>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</si>
  <si>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</si>
  <si>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</si>
  <si>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</si>
  <si>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</si>
  <si>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</si>
  <si>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</si>
  <si>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</si>
  <si>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</si>
  <si>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</si>
  <si>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</si>
  <si>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</si>
  <si>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</si>
  <si>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</si>
  <si>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</si>
  <si>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</si>
  <si>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</si>
  <si>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</si>
  <si>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</si>
  <si>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</si>
  <si>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</si>
  <si>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</si>
  <si>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</si>
  <si>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</si>
  <si>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</si>
  <si>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</si>
  <si>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</si>
  <si>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</si>
  <si>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</si>
  <si>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</si>
  <si>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</si>
  <si>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</si>
  <si>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</si>
  <si>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</si>
  <si>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</si>
  <si>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</si>
  <si>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</si>
  <si>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</si>
  <si>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</si>
  <si>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</si>
  <si>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</si>
  <si>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</si>
  <si>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</si>
  <si>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</si>
  <si>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</si>
  <si>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</si>
  <si>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</si>
  <si>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</si>
  <si>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</si>
  <si>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</si>
  <si>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</si>
  <si>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</si>
  <si>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</si>
  <si>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</si>
  <si>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</si>
  <si>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</si>
  <si>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</si>
  <si>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</si>
  <si>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</si>
  <si>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</si>
  <si>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</si>
  <si>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</si>
  <si>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</si>
  <si>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</si>
  <si>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</si>
  <si>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</si>
  <si>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</si>
  <si>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</si>
  <si>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</si>
  <si>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</si>
  <si>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</si>
  <si>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</si>
  <si>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</si>
  <si>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</si>
  <si>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</si>
  <si>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</si>
  <si>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</si>
  <si>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</si>
  <si>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</si>
  <si>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</si>
  <si>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</si>
  <si>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</si>
  <si>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</si>
  <si>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</si>
  <si>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</si>
  <si>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</si>
  <si>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</si>
  <si>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</si>
  <si>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</si>
  <si>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</si>
  <si>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</si>
  <si>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</si>
  <si>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</si>
  <si>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</si>
  <si>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</si>
  <si>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</si>
  <si>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</si>
  <si>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</si>
  <si>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</si>
  <si>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</si>
  <si>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</si>
  <si>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</si>
  <si>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</si>
  <si>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</si>
  <si>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</si>
  <si>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</si>
  <si>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</si>
  <si>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</si>
  <si>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</si>
  <si>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</si>
  <si>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</si>
  <si>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</si>
  <si>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</si>
  <si>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</si>
  <si>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</si>
  <si>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</si>
  <si>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</si>
  <si>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</si>
  <si>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</si>
  <si>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</si>
  <si>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</si>
  <si>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</si>
  <si>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</si>
  <si>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</si>
  <si>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</si>
  <si>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</si>
  <si>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</si>
  <si>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</si>
  <si>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</si>
  <si>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</si>
  <si>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</si>
  <si>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</si>
  <si>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</si>
  <si>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</si>
  <si>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</si>
  <si>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</si>
  <si>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</si>
  <si>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</si>
  <si>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</si>
  <si>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</si>
  <si>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</si>
  <si>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</si>
  <si>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</si>
  <si>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</si>
  <si>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</si>
  <si>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</si>
  <si>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</si>
  <si>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</si>
  <si>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</si>
  <si>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</si>
  <si>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</si>
  <si>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</si>
  <si>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</si>
  <si>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</si>
  <si>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</si>
  <si>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</si>
  <si>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</si>
  <si>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</si>
  <si>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</si>
  <si>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</si>
  <si>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</si>
  <si>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</si>
  <si>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</si>
  <si>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</si>
  <si>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</si>
  <si>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</si>
  <si>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</si>
  <si>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</si>
  <si>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</si>
  <si>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</si>
  <si>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</si>
  <si>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</si>
  <si>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</si>
  <si>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</si>
  <si>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</si>
  <si>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</si>
  <si>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</si>
  <si>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</si>
  <si>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</si>
  <si>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</si>
  <si>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</si>
  <si>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</si>
  <si>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</si>
  <si>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</si>
  <si>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</si>
  <si>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</si>
  <si>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</si>
  <si>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</si>
  <si>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</si>
  <si>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</si>
  <si>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</si>
  <si>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</si>
  <si>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</si>
  <si>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</si>
  <si>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</si>
  <si>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</si>
  <si>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</si>
  <si>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</si>
  <si>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</si>
  <si>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</si>
  <si>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</si>
  <si>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</si>
  <si>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</si>
  <si>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</si>
  <si>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</si>
  <si>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</si>
  <si>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</si>
  <si>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</si>
  <si>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</si>
  <si>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</si>
  <si>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</si>
  <si>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</si>
  <si>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</si>
  <si>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</si>
  <si>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</si>
  <si>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</si>
  <si>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</si>
  <si>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</si>
  <si>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</si>
  <si>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</si>
  <si>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</si>
  <si>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</si>
  <si>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</si>
  <si>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</si>
  <si>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</si>
  <si>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</si>
  <si>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</si>
  <si>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</si>
  <si>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</si>
  <si>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</si>
  <si>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</si>
  <si>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</si>
  <si>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</si>
  <si>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</si>
  <si>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</si>
  <si>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</si>
  <si>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</si>
  <si>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</si>
  <si>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</si>
  <si>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</si>
  <si>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</si>
  <si>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</si>
  <si>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</si>
  <si>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</si>
  <si>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</si>
  <si>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</si>
  <si>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</si>
  <si>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</si>
  <si>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</si>
  <si>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</si>
  <si>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</si>
  <si>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</si>
  <si>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</si>
  <si>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</si>
  <si>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</si>
  <si>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</si>
  <si>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</si>
  <si>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</si>
  <si>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</si>
  <si>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</si>
  <si>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</si>
  <si>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</si>
  <si>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</si>
  <si>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</si>
  <si>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</si>
  <si>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</si>
  <si>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</si>
  <si>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</si>
  <si>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</si>
  <si>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</si>
  <si>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</si>
  <si>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</si>
  <si>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</si>
  <si>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</si>
  <si>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</si>
  <si>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</si>
  <si>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</si>
  <si>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</si>
  <si>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</si>
  <si>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</si>
  <si>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</si>
  <si>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</si>
  <si>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</si>
  <si>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</si>
  <si>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</si>
  <si>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</si>
  <si>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</si>
  <si>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</si>
  <si>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</si>
  <si>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</si>
  <si>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</si>
  <si>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</si>
  <si>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</si>
  <si>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</si>
  <si>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</si>
  <si>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</si>
  <si>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</si>
  <si>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</si>
  <si>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</si>
  <si>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</si>
  <si>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</si>
  <si>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</si>
  <si>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</si>
  <si>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</si>
  <si>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</si>
  <si>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</si>
  <si>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</si>
  <si>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</si>
  <si>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</si>
  <si>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</si>
  <si>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</si>
  <si>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</si>
  <si>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</si>
  <si>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</si>
  <si>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</si>
  <si>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</si>
  <si>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</si>
  <si>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</si>
  <si>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</si>
  <si>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</si>
  <si>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</si>
  <si>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</si>
  <si>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</si>
  <si>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</si>
  <si>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</si>
  <si>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</si>
  <si>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</si>
  <si>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</si>
  <si>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</si>
  <si>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</si>
  <si>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</si>
  <si>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</si>
  <si>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</si>
  <si>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</si>
  <si>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</si>
  <si>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</si>
  <si>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</si>
  <si>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</si>
  <si>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</si>
  <si>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</si>
  <si>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</si>
  <si>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</si>
  <si>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</si>
  <si>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</si>
  <si>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</si>
  <si>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</si>
  <si>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</si>
  <si>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</si>
  <si>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</si>
  <si>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</si>
  <si>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</si>
  <si>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</si>
  <si>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</si>
  <si>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</si>
  <si>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</si>
  <si>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</si>
  <si>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</si>
  <si>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</si>
  <si>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</si>
  <si>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</si>
  <si>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</si>
  <si>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</si>
  <si>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</si>
  <si>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</si>
  <si>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</si>
  <si>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</si>
  <si>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</si>
  <si>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</si>
  <si>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</si>
  <si>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</si>
  <si>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</si>
  <si>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</si>
  <si>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</si>
  <si>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</si>
  <si>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</si>
  <si>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</si>
  <si>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</si>
  <si>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</si>
  <si>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</si>
  <si>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</si>
  <si>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</si>
  <si>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</si>
  <si>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</si>
  <si>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</si>
  <si>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</si>
  <si>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</si>
  <si>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</si>
  <si>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</si>
  <si>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</si>
  <si>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</si>
  <si>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</si>
  <si>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</si>
  <si>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</si>
  <si>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</si>
  <si>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</si>
  <si>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</si>
  <si>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</si>
  <si>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</si>
  <si>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</si>
  <si>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</si>
  <si>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</si>
  <si>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</si>
  <si>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</si>
  <si>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</si>
  <si>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</si>
  <si>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</si>
  <si>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</si>
  <si>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</si>
  <si>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</si>
  <si>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</si>
  <si>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</si>
  <si>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</si>
  <si>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</si>
  <si>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</si>
  <si>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</si>
  <si>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</si>
  <si>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</si>
  <si>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</si>
  <si>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</si>
  <si>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</si>
  <si>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</si>
  <si>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</si>
  <si>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</si>
  <si>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</si>
  <si>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</si>
  <si>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</si>
  <si>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</si>
  <si>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</si>
  <si>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</si>
  <si>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</si>
  <si>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</si>
  <si>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</si>
  <si>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</si>
  <si>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</si>
  <si>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</si>
  <si>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</si>
  <si>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</si>
  <si>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</si>
  <si>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</si>
  <si>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</si>
  <si>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</si>
  <si>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</si>
  <si>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</si>
  <si>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</si>
  <si>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</si>
  <si>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</si>
  <si>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</si>
  <si>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</si>
  <si>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</si>
  <si>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</si>
  <si>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</si>
  <si>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</si>
  <si>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</si>
  <si>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</si>
  <si>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</si>
  <si>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</si>
  <si>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</si>
  <si>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</si>
  <si>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</si>
  <si>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</si>
  <si>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</si>
  <si>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</si>
  <si>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</si>
  <si>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</si>
  <si>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</si>
  <si>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</si>
  <si>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</si>
  <si>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</si>
  <si>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</si>
  <si>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</si>
  <si>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</si>
  <si>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</si>
  <si>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</si>
  <si>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</si>
  <si>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</si>
  <si>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</si>
  <si>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</si>
  <si>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</si>
  <si>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</si>
  <si>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</si>
  <si>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</si>
  <si>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</si>
  <si>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</si>
  <si>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</si>
  <si>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</si>
  <si>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</si>
  <si>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</si>
  <si>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</si>
  <si>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</si>
  <si>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</si>
  <si>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</si>
  <si>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</si>
  <si>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</si>
  <si>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</si>
  <si>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</si>
  <si>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</si>
  <si>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</si>
  <si>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</si>
  <si>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</si>
  <si>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</si>
  <si>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</si>
  <si>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</si>
  <si>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</si>
  <si>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</si>
  <si>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</si>
  <si>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</si>
  <si>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</si>
  <si>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</si>
  <si>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</si>
  <si>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</si>
  <si>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</si>
  <si>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</si>
  <si>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</si>
  <si>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</si>
  <si>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</si>
  <si>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</si>
  <si>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</si>
  <si>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</si>
  <si>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</si>
  <si>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</si>
  <si>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</si>
  <si>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</si>
  <si>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</si>
  <si>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</si>
  <si>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</si>
  <si>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</si>
  <si>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</si>
  <si>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</si>
  <si>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</si>
  <si>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</si>
  <si>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</si>
  <si>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</si>
  <si>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</si>
  <si>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</si>
  <si>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</si>
  <si>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</si>
  <si>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</si>
  <si>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</si>
  <si>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</si>
  <si>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</si>
  <si>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</si>
  <si>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</si>
  <si>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</si>
  <si>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</si>
  <si>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</si>
  <si>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</si>
  <si>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</si>
  <si>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</si>
  <si>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</si>
  <si>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</si>
  <si>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</si>
  <si>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</si>
  <si>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</si>
  <si>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</si>
  <si>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</si>
  <si>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</si>
  <si>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</si>
  <si>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</si>
  <si>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</si>
  <si>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</si>
  <si>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</si>
  <si>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</si>
  <si>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</si>
  <si>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</si>
  <si>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</si>
  <si>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</si>
  <si>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</si>
  <si>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</si>
  <si>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</si>
  <si>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</si>
  <si>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</si>
  <si>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</si>
  <si>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</si>
  <si>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</si>
  <si>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</si>
  <si>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</si>
  <si>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</si>
  <si>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</si>
  <si>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</si>
  <si>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</si>
  <si>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</si>
  <si>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</si>
  <si>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</si>
  <si>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</si>
  <si>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</si>
  <si>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</si>
  <si>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</si>
  <si>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</si>
  <si>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</si>
  <si>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</si>
  <si>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</si>
  <si>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</si>
  <si>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</si>
  <si>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</si>
  <si>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</si>
  <si>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</si>
  <si>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</si>
  <si>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</si>
  <si>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</si>
  <si>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</si>
  <si>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</si>
  <si>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</si>
  <si>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</si>
  <si>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</si>
  <si>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</si>
  <si>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</si>
  <si>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</si>
  <si>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</si>
  <si>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</si>
  <si>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</si>
  <si>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</si>
  <si>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</si>
  <si>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</si>
  <si>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</si>
  <si>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</si>
  <si>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</si>
  <si>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</si>
  <si>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</si>
  <si>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</si>
  <si>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</si>
  <si>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</si>
  <si>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</si>
  <si>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</si>
  <si>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</si>
  <si>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</si>
  <si>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</si>
  <si>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</si>
  <si>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</si>
  <si>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</si>
  <si>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</si>
  <si>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</si>
  <si>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</si>
  <si>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</si>
  <si>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</si>
  <si>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</si>
  <si>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</si>
  <si>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</si>
  <si>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</si>
  <si>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</si>
  <si>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</si>
  <si>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</si>
  <si>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</si>
  <si>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</si>
  <si>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</si>
  <si>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</si>
  <si>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</si>
  <si>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</si>
  <si>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</si>
  <si>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</si>
  <si>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</si>
  <si>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</si>
  <si>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</si>
  <si>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</si>
  <si>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</si>
  <si>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</si>
  <si>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</si>
  <si>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</si>
  <si>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</si>
  <si>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</si>
  <si>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</si>
  <si>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</si>
  <si>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</si>
  <si>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</si>
  <si>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</si>
  <si>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</si>
  <si>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</si>
  <si>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</si>
  <si>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</si>
  <si>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</si>
  <si>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</si>
  <si>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</si>
  <si>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</si>
  <si>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</si>
  <si>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</si>
  <si>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</si>
  <si>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</si>
  <si>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</si>
  <si>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</si>
  <si>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</si>
  <si>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</si>
  <si>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</si>
  <si>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</si>
  <si>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</si>
  <si>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</si>
  <si>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</si>
  <si>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</si>
  <si>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</si>
  <si>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</si>
  <si>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</si>
  <si>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</si>
  <si>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</si>
  <si>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</si>
  <si>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</si>
  <si>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</si>
  <si>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</si>
  <si>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</si>
  <si>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</si>
  <si>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</si>
  <si>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</si>
  <si>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</si>
  <si>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</si>
  <si>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</si>
  <si>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</si>
  <si>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</si>
  <si>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</si>
  <si>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</si>
  <si>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</si>
  <si>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</si>
  <si>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</si>
  <si>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</si>
  <si>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</si>
  <si>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</si>
  <si>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</si>
  <si>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</si>
  <si>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</si>
  <si>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</si>
  <si>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</si>
  <si>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</si>
  <si>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</si>
  <si>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</si>
  <si>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</si>
  <si>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</si>
  <si>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</si>
  <si>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</si>
  <si>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</si>
  <si>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</si>
  <si>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</si>
  <si>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</si>
  <si>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</si>
  <si>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</si>
  <si>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</si>
  <si>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</si>
  <si>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</si>
  <si>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</si>
  <si>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</si>
  <si>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</si>
  <si>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</si>
  <si>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</si>
  <si>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</si>
  <si>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</si>
  <si>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</si>
  <si>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</si>
  <si>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</si>
  <si>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</si>
  <si>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</si>
  <si>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</si>
  <si>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</si>
  <si>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</si>
  <si>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</si>
  <si>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</si>
  <si>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</si>
  <si>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</si>
  <si>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</si>
  <si>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</si>
  <si>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</si>
  <si>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</si>
  <si>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</si>
  <si>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</si>
  <si>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</si>
  <si>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</si>
  <si>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</si>
  <si>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</si>
  <si>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</si>
  <si>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</si>
  <si>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</si>
  <si>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</si>
  <si>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</si>
  <si>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</si>
  <si>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</si>
  <si>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</si>
  <si>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</si>
  <si>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</si>
  <si>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</si>
  <si>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</si>
  <si>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</si>
  <si>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</si>
  <si>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</si>
  <si>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</si>
  <si>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</si>
  <si>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</si>
  <si>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</si>
  <si>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</si>
  <si>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</si>
  <si>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</si>
  <si>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</si>
  <si>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</si>
  <si>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</si>
  <si>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</si>
  <si>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</si>
  <si>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</si>
  <si>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</si>
  <si>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</si>
  <si>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</si>
  <si>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</si>
  <si>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</si>
  <si>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</si>
  <si>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</si>
  <si>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</si>
  <si>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</si>
  <si>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</si>
  <si>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</si>
  <si>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</si>
  <si>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</si>
  <si>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</si>
  <si>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</si>
  <si>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</si>
  <si>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</si>
  <si>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</si>
  <si>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</si>
  <si>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</si>
  <si>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</si>
  <si>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</si>
  <si>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</si>
  <si>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</si>
  <si>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</si>
  <si>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</si>
  <si>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</si>
  <si>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</si>
  <si>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</si>
  <si>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</si>
  <si>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</si>
  <si>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</si>
  <si>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</si>
  <si>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</si>
  <si>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</si>
  <si>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</si>
  <si>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</si>
  <si>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</si>
  <si>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</si>
  <si>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</si>
  <si>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</si>
  <si>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</si>
  <si>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</si>
  <si>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</si>
  <si>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</si>
  <si>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</si>
  <si>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</si>
  <si>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</si>
  <si>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</si>
  <si>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</si>
  <si>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</si>
  <si>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</si>
  <si>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</si>
  <si>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</si>
  <si>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</si>
  <si>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</si>
  <si>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</si>
  <si>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</si>
  <si>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</si>
  <si>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</si>
  <si>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</si>
  <si>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</si>
  <si>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</si>
  <si>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</si>
  <si>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</si>
  <si>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</si>
  <si>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</si>
  <si>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</si>
  <si>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</si>
  <si>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</si>
  <si>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</si>
  <si>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</si>
  <si>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</si>
  <si>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</si>
  <si>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</si>
  <si>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</si>
  <si>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</si>
  <si>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</si>
  <si>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</si>
  <si>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</si>
  <si>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</si>
  <si>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</si>
  <si>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</si>
  <si>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</si>
  <si>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</si>
  <si>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</si>
  <si>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</si>
  <si>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</si>
  <si>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</si>
  <si>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</si>
  <si>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</si>
  <si>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</si>
  <si>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</si>
  <si>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</si>
  <si>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</si>
  <si>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</si>
  <si>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</si>
  <si>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</si>
  <si>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</si>
  <si>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</si>
  <si>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</si>
  <si>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</si>
  <si>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</si>
  <si>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</si>
  <si>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</si>
  <si>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</si>
  <si>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</si>
  <si>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</si>
  <si>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</si>
  <si>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</si>
  <si>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</si>
  <si>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</si>
  <si>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</si>
  <si>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</si>
  <si>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</si>
  <si>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</si>
  <si>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</si>
  <si>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</si>
  <si>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</si>
  <si>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</si>
  <si>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</si>
  <si>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</si>
  <si>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</si>
  <si>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</si>
  <si>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</si>
  <si>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</si>
  <si>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</si>
  <si>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</si>
  <si>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</si>
  <si>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</si>
  <si>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</si>
  <si>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</si>
  <si>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</si>
  <si>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</si>
  <si>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</si>
  <si>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</si>
  <si>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</si>
  <si>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</si>
  <si>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</si>
  <si>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</si>
  <si>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</si>
  <si>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</si>
  <si>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</si>
  <si>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</si>
  <si>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</si>
  <si>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</si>
  <si>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</si>
  <si>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</si>
  <si>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</si>
  <si>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</si>
  <si>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</si>
  <si>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</si>
  <si>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</si>
  <si>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</si>
  <si>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</si>
  <si>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</si>
  <si>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</si>
  <si>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</si>
  <si>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</si>
  <si>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</si>
  <si>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</si>
  <si>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</si>
  <si>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</si>
  <si>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</si>
  <si>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</si>
  <si>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</si>
  <si>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</si>
  <si>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</si>
  <si>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</si>
  <si>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</si>
  <si>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</si>
  <si>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</si>
  <si>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</si>
  <si>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</si>
  <si>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</si>
  <si>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</si>
  <si>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</si>
  <si>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</si>
  <si>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</si>
  <si>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</si>
  <si>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</si>
  <si>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</si>
  <si>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</si>
  <si>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</si>
  <si>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</si>
  <si>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</si>
  <si>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</si>
  <si>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</si>
  <si>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</si>
  <si>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</si>
  <si>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</si>
  <si>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</si>
  <si>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</si>
  <si>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</si>
  <si>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</si>
  <si>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</si>
  <si>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</si>
  <si>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</si>
  <si>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</si>
  <si>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</si>
  <si>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</si>
  <si>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</si>
  <si>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</si>
  <si>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</si>
  <si>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</si>
  <si>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</si>
  <si>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</si>
  <si>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</si>
  <si>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</si>
  <si>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</si>
  <si>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</si>
  <si>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</si>
  <si>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</si>
  <si>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</si>
  <si>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</si>
  <si>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</si>
  <si>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</si>
  <si>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</si>
  <si>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</si>
  <si>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</si>
  <si>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</si>
  <si>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</si>
  <si>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</si>
  <si>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</si>
  <si>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</si>
  <si>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</si>
  <si>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</si>
  <si>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</si>
  <si>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</si>
  <si>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</si>
  <si>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</si>
  <si>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</si>
  <si>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</si>
  <si>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</si>
  <si>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</si>
  <si>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</si>
  <si>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</si>
  <si>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</si>
  <si>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</si>
  <si>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</si>
  <si>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</si>
  <si>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</si>
  <si>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</si>
  <si>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</si>
  <si>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</si>
  <si>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</si>
  <si>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</si>
  <si>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</si>
  <si>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</si>
  <si>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</si>
  <si>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</si>
  <si>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</si>
  <si>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</si>
  <si>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</si>
  <si>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</si>
  <si>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</si>
  <si>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</si>
  <si>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</si>
  <si>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</si>
  <si>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</si>
  <si>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</si>
  <si>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</si>
  <si>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</si>
  <si>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</si>
  <si>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</si>
  <si>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</si>
  <si>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</si>
  <si>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</si>
  <si>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</si>
  <si>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</si>
  <si>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</si>
  <si>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</si>
  <si>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</si>
  <si>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</si>
  <si>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</si>
  <si>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</si>
  <si>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</si>
  <si>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</si>
  <si>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</si>
  <si>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</si>
  <si>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</si>
  <si>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</si>
  <si>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</si>
  <si>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</si>
  <si>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</si>
  <si>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</si>
  <si>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</si>
  <si>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</si>
  <si>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</si>
  <si>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</si>
  <si>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</si>
  <si>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</si>
  <si>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</si>
  <si>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</si>
  <si>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</si>
  <si>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</si>
  <si>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</si>
  <si>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</si>
  <si>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</si>
  <si>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</si>
  <si>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</si>
  <si>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</si>
  <si>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</si>
  <si>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</si>
  <si>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</si>
  <si>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</si>
  <si>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</si>
  <si>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</si>
  <si>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</si>
  <si>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</si>
  <si>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</si>
  <si>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</si>
  <si>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</si>
  <si>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</si>
  <si>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</si>
  <si>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</si>
  <si>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</si>
  <si>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</si>
  <si>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</si>
  <si>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</si>
  <si>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</si>
  <si>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</si>
  <si>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</si>
  <si>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</si>
  <si>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</si>
  <si>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</si>
  <si>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</si>
  <si>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</si>
  <si>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</si>
  <si>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</si>
  <si>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</si>
  <si>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</si>
  <si>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</si>
  <si>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</si>
  <si>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</si>
  <si>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</si>
  <si>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</si>
  <si>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</si>
  <si>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</si>
  <si>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</si>
  <si>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</si>
  <si>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</si>
  <si>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</si>
  <si>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</si>
  <si>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</si>
  <si>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</si>
  <si>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</si>
  <si>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</si>
  <si>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</si>
  <si>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</si>
  <si>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</si>
  <si>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</si>
  <si>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</si>
  <si>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</si>
  <si>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</si>
  <si>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</si>
  <si>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</si>
  <si>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</si>
  <si>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</si>
  <si>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</si>
  <si>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</si>
  <si>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</si>
  <si>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</si>
  <si>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</si>
  <si>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</si>
  <si>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</si>
  <si>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</si>
  <si>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</si>
  <si>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</si>
  <si>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</si>
  <si>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</si>
  <si>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</si>
  <si>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</si>
  <si>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</si>
  <si>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</si>
  <si>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</si>
  <si>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</si>
  <si>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</si>
  <si>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</si>
  <si>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</si>
  <si>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</si>
  <si>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</si>
  <si>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</si>
  <si>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</si>
  <si>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</si>
  <si>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</si>
  <si>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</si>
  <si>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</si>
  <si>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</si>
  <si>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</si>
  <si>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</si>
  <si>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</si>
  <si>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</si>
  <si>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</si>
  <si>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</si>
  <si>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</si>
  <si>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</si>
  <si>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</si>
  <si>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</si>
  <si>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</si>
  <si>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</si>
  <si>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</si>
  <si>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</si>
  <si>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</si>
  <si>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</si>
  <si>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</si>
  <si>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</si>
  <si>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</si>
  <si>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</si>
  <si>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</si>
  <si>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</si>
  <si>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</si>
  <si>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</si>
  <si>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</si>
  <si>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</si>
  <si>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</si>
  <si>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</si>
  <si>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</si>
  <si>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</si>
  <si>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</si>
  <si>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</si>
  <si>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</si>
  <si>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</si>
  <si>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</si>
  <si>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</si>
  <si>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</si>
  <si>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</si>
  <si>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</si>
  <si>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</si>
  <si>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</si>
  <si>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</si>
  <si>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</si>
  <si>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</si>
  <si>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</si>
  <si>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</si>
  <si>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</si>
  <si>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</si>
  <si>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</si>
  <si>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</si>
  <si>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</si>
  <si>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</si>
  <si>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</si>
  <si>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</si>
  <si>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</si>
  <si>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</si>
  <si>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</si>
  <si>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</si>
  <si>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</si>
  <si>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</si>
  <si>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</si>
  <si>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</si>
  <si>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</si>
  <si>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</si>
  <si>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</si>
  <si>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</si>
  <si>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</si>
  <si>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</si>
  <si>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</si>
  <si>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</si>
  <si>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</si>
  <si>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</si>
  <si>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</si>
  <si>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</si>
  <si>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</si>
  <si>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</si>
  <si>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</si>
  <si>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</si>
  <si>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</si>
  <si>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</si>
  <si>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</si>
  <si>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</si>
  <si>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</si>
  <si>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</si>
  <si>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</si>
  <si>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</si>
  <si>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</si>
  <si>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</si>
  <si>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</si>
  <si>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</si>
  <si>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</si>
  <si>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</si>
  <si>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</si>
  <si>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</si>
  <si>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</si>
  <si>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</si>
  <si>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</si>
  <si>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</si>
  <si>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</si>
  <si>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</si>
  <si>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</si>
  <si>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</si>
  <si>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</si>
  <si>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</si>
  <si>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</si>
  <si>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</si>
  <si>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</si>
  <si>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</si>
  <si>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</si>
  <si>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</si>
  <si>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</si>
  <si>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</si>
  <si>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</si>
  <si>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</si>
  <si>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</si>
  <si>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</si>
  <si>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</si>
  <si>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</si>
  <si>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</si>
  <si>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</si>
  <si>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</si>
  <si>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</si>
  <si>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</si>
  <si>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</si>
  <si>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</si>
  <si>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</si>
  <si>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</si>
  <si>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</si>
  <si>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</si>
  <si>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</si>
  <si>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</si>
  <si>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</si>
  <si>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</si>
  <si>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</si>
  <si>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</si>
  <si>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</si>
  <si>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</si>
  <si>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</si>
  <si>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</si>
  <si>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</si>
  <si>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</si>
  <si>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</si>
  <si>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</si>
  <si>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</si>
  <si>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</si>
  <si>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</si>
  <si>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</si>
  <si>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</si>
  <si>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</si>
  <si>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</si>
  <si>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</si>
  <si>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</si>
  <si>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</si>
  <si>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</si>
  <si>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</si>
  <si>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</si>
  <si>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</si>
  <si>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</si>
  <si>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</si>
  <si>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</si>
  <si>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</si>
  <si>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</si>
  <si>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</si>
  <si>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</si>
  <si>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</si>
  <si>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</si>
  <si>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</si>
  <si>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</si>
  <si>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</si>
  <si>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</si>
  <si>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</si>
  <si>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</si>
  <si>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</si>
  <si>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</si>
  <si>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</si>
  <si>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</si>
  <si>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</si>
  <si>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</si>
  <si>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</si>
  <si>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</si>
  <si>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</si>
  <si>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</si>
  <si>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</si>
  <si>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</si>
  <si>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</si>
  <si>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</si>
  <si>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</si>
  <si>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</si>
  <si>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</si>
  <si>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</si>
  <si>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</si>
  <si>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</si>
  <si>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</si>
  <si>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</si>
  <si>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</si>
  <si>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</si>
  <si>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</si>
  <si>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</si>
  <si>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</si>
  <si>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</si>
  <si>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</si>
  <si>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</si>
  <si>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</si>
  <si>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</si>
  <si>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</si>
  <si>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</si>
  <si>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</si>
  <si>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</si>
  <si>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</si>
  <si>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</si>
  <si>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</si>
  <si>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</si>
  <si>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</si>
  <si>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</si>
  <si>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</si>
  <si>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</si>
  <si>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</si>
  <si>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</si>
  <si>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</si>
  <si>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</si>
  <si>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</si>
  <si>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</si>
  <si>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</si>
  <si>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</si>
  <si>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</si>
  <si>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</si>
  <si>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</si>
  <si>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</si>
  <si>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</si>
  <si>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</si>
  <si>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</si>
  <si>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</si>
  <si>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</si>
  <si>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</si>
  <si>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</si>
  <si>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</si>
  <si>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</si>
  <si>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</si>
  <si>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</si>
  <si>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</si>
  <si>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</si>
  <si>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</si>
  <si>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</si>
  <si>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</si>
  <si>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</si>
  <si>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</si>
  <si>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</si>
  <si>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</si>
  <si>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</si>
  <si>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</si>
  <si>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</si>
  <si>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</si>
  <si>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</si>
  <si>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</si>
  <si>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</si>
  <si>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</si>
  <si>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</si>
  <si>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</si>
  <si>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</si>
  <si>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</si>
  <si>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</si>
  <si>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</si>
  <si>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</si>
  <si>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</si>
  <si>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</si>
  <si>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</si>
  <si>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</si>
  <si>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</si>
  <si>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</si>
  <si>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</si>
  <si>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</si>
  <si>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</si>
  <si>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</si>
  <si>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</si>
  <si>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</si>
  <si>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</si>
  <si>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</si>
  <si>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</si>
  <si>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</si>
  <si>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</si>
  <si>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</si>
  <si>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</si>
  <si>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</si>
  <si>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</si>
  <si>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</si>
  <si>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</si>
  <si>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</si>
  <si>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</si>
  <si>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</si>
  <si>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</si>
  <si>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</si>
  <si>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</si>
  <si>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</si>
  <si>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</si>
  <si>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</si>
  <si>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</si>
  <si>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</si>
  <si>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</si>
  <si>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</si>
  <si>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</si>
  <si>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</si>
  <si>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</si>
  <si>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</si>
  <si>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</si>
  <si>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</si>
  <si>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</si>
  <si>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</si>
  <si>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</si>
  <si>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</si>
  <si>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</si>
  <si>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</si>
  <si>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</si>
  <si>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</si>
  <si>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</si>
  <si>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</si>
  <si>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</si>
  <si>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</si>
  <si>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</si>
  <si>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</si>
  <si>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</si>
  <si>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</si>
  <si>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</si>
  <si>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</si>
  <si>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</si>
  <si>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</si>
  <si>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</si>
  <si>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</si>
  <si>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</si>
  <si>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</si>
  <si>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</si>
  <si>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</si>
  <si>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</si>
  <si>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</si>
  <si>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</si>
  <si>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</si>
  <si>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</si>
  <si>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</si>
  <si>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</si>
  <si>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</si>
  <si>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</si>
  <si>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</si>
  <si>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</si>
  <si>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</si>
  <si>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</si>
  <si>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</si>
  <si>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</si>
  <si>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</si>
  <si>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</si>
  <si>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</si>
  <si>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</si>
  <si>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</si>
  <si>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</si>
  <si>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</si>
  <si>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</si>
  <si>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</si>
  <si>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</si>
  <si>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</si>
  <si>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</si>
  <si>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</si>
  <si>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</si>
  <si>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</si>
  <si>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</si>
  <si>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</si>
  <si>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</si>
  <si>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</si>
  <si>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</si>
  <si>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</si>
  <si>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</si>
  <si>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</si>
  <si>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</si>
  <si>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</si>
  <si>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</si>
  <si>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</si>
  <si>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</si>
  <si>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</si>
  <si>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</si>
  <si>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</si>
  <si>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</si>
  <si>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</si>
  <si>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</si>
  <si>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</si>
  <si>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</si>
  <si>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</si>
  <si>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</si>
  <si>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</si>
  <si>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</si>
  <si>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</si>
  <si>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</si>
  <si>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</si>
  <si>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</si>
  <si>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</si>
  <si>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</si>
  <si>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</si>
  <si>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</si>
  <si>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</si>
  <si>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</si>
  <si>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</si>
  <si>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</si>
  <si>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</si>
  <si>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</si>
  <si>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</si>
  <si>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</si>
  <si>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</si>
  <si>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</si>
  <si>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</si>
  <si>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</si>
  <si>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</si>
  <si>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</si>
  <si>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</si>
  <si>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</si>
  <si>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</si>
  <si>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</si>
  <si>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</si>
  <si>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</si>
  <si>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</si>
  <si>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</si>
  <si>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</si>
  <si>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</si>
  <si>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</si>
  <si>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</si>
  <si>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</si>
  <si>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</si>
  <si>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</si>
  <si>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</si>
  <si>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</si>
  <si>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</si>
  <si>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</si>
  <si>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</si>
  <si>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</si>
  <si>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</si>
  <si>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</si>
  <si>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</si>
  <si>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</si>
  <si>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</si>
  <si>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</si>
  <si>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</si>
  <si>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</si>
  <si>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</si>
  <si>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</si>
  <si>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</si>
  <si>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</si>
  <si>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</si>
  <si>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</si>
  <si>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</si>
  <si>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</si>
  <si>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</si>
  <si>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</si>
  <si>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</si>
  <si>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</si>
  <si>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</si>
  <si>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</si>
  <si>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</si>
  <si>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</si>
  <si>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</si>
  <si>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</si>
  <si>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</si>
  <si>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</si>
  <si>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</si>
  <si>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</si>
  <si>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</si>
  <si>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</si>
  <si>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</si>
  <si>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</si>
  <si>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</si>
  <si>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</si>
  <si>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</si>
  <si>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</si>
  <si>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</si>
  <si>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</si>
  <si>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</si>
  <si>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</si>
  <si>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</si>
  <si>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</si>
  <si>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</si>
  <si>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</si>
  <si>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</si>
  <si>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</si>
  <si>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</si>
  <si>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</si>
  <si>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</si>
  <si>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</si>
  <si>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</si>
  <si>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</si>
  <si>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</si>
  <si>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</si>
  <si>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</si>
  <si>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</si>
  <si>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</si>
  <si>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</si>
  <si>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</si>
  <si>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</si>
  <si>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</si>
  <si>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</si>
  <si>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</si>
  <si>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</si>
  <si>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</si>
  <si>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</si>
  <si>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</si>
  <si>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</si>
  <si>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</si>
  <si>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</si>
  <si>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</si>
  <si>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</si>
  <si>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</si>
  <si>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</si>
  <si>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</si>
  <si>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</si>
  <si>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</si>
  <si>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</si>
  <si>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</si>
  <si>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</si>
  <si>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</si>
  <si>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</si>
  <si>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</si>
  <si>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</si>
  <si>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</si>
  <si>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</si>
  <si>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</si>
  <si>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</si>
  <si>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</si>
  <si>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</si>
  <si>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</si>
  <si>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</si>
  <si>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</si>
  <si>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</si>
  <si>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</si>
  <si>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</si>
  <si>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</si>
  <si>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</si>
  <si>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</si>
  <si>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</si>
  <si>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</si>
  <si>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</si>
  <si>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</si>
  <si>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</si>
  <si>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</si>
  <si>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</si>
  <si>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</si>
  <si>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</si>
  <si>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</si>
  <si>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</si>
  <si>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</si>
  <si>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</si>
  <si>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</si>
  <si>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</si>
  <si>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</si>
  <si>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</si>
  <si>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</si>
  <si>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</si>
  <si>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</si>
  <si>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</si>
  <si>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</si>
  <si>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</si>
  <si>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</si>
  <si>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</si>
  <si>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</si>
  <si>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</si>
  <si>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</si>
  <si>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</si>
  <si>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</si>
  <si>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</si>
  <si>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</si>
  <si>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</si>
  <si>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</si>
  <si>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</si>
  <si>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</si>
  <si>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</si>
  <si>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</si>
  <si>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</si>
  <si>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</si>
  <si>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</si>
  <si>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</si>
  <si>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</si>
  <si>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</si>
  <si>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</si>
  <si>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</si>
  <si>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</si>
  <si>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</si>
  <si>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</si>
  <si>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</si>
  <si>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</si>
  <si>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</si>
  <si>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</si>
  <si>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</si>
  <si>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</si>
  <si>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</si>
  <si>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</si>
  <si>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</si>
  <si>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</si>
  <si>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</si>
  <si>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</si>
  <si>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</si>
  <si>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</si>
  <si>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</si>
  <si>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</si>
  <si>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</si>
  <si>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</si>
  <si>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</si>
  <si>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</si>
  <si>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</si>
  <si>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</si>
  <si>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</si>
  <si>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</si>
  <si>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</si>
  <si>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</si>
  <si>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</si>
  <si>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</si>
  <si>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</si>
  <si>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</si>
  <si>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</si>
  <si>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</si>
  <si>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</si>
  <si>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</si>
  <si>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</si>
  <si>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</si>
  <si>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</si>
  <si>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</si>
  <si>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</si>
  <si>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</si>
  <si>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</si>
  <si>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</si>
  <si>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</si>
  <si>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</si>
  <si>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</si>
  <si>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</si>
  <si>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</si>
  <si>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</si>
  <si>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</si>
  <si>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</si>
  <si>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</si>
  <si>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</si>
  <si>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</si>
  <si>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</si>
  <si>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</si>
  <si>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</si>
  <si>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</si>
  <si>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</si>
  <si>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</si>
  <si>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</si>
  <si>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</si>
  <si>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</si>
  <si>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</si>
  <si>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</si>
  <si>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</si>
  <si>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</si>
  <si>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</si>
  <si>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</si>
  <si>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</si>
  <si>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</si>
  <si>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</si>
  <si>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</si>
  <si>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</si>
  <si>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</si>
  <si>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</si>
  <si>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</si>
  <si>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</si>
  <si>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</si>
  <si>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</si>
  <si>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</si>
  <si>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</si>
  <si>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</si>
  <si>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</si>
  <si>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</si>
  <si>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</si>
  <si>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</si>
  <si>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</si>
  <si>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</si>
  <si>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</si>
  <si>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</si>
  <si>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</si>
  <si>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</si>
  <si>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</si>
  <si>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</si>
  <si>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</si>
  <si>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</si>
  <si>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</si>
  <si>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</si>
  <si>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</si>
  <si>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</si>
  <si>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</si>
  <si>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</si>
  <si>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</si>
  <si>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</si>
  <si>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</si>
  <si>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</si>
  <si>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</si>
  <si>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</si>
  <si>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</si>
  <si>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</si>
  <si>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</si>
  <si>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</si>
  <si>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</si>
  <si>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</si>
  <si>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</si>
  <si>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</si>
  <si>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</si>
  <si>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</si>
  <si>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</si>
  <si>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</si>
  <si>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</si>
  <si>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</si>
  <si>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</si>
  <si>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</si>
  <si>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</si>
  <si>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</si>
  <si>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</si>
  <si>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</si>
  <si>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</si>
  <si>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</si>
  <si>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</si>
  <si>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</si>
  <si>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</si>
  <si>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</si>
  <si>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</si>
  <si>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</si>
  <si>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</si>
  <si>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</si>
  <si>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</si>
  <si>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</si>
  <si>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</si>
  <si>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</si>
  <si>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</si>
  <si>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</si>
  <si>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</si>
  <si>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</si>
  <si>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</si>
  <si>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</si>
  <si>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</si>
  <si>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</si>
  <si>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</si>
  <si>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</si>
  <si>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</si>
  <si>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</si>
  <si>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</si>
  <si>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</si>
  <si>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</si>
  <si>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</si>
  <si>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</si>
  <si>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</si>
  <si>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</si>
  <si>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</si>
  <si>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</si>
  <si>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</si>
  <si>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</si>
  <si>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</si>
  <si>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</si>
  <si>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</si>
  <si>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</si>
  <si>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</si>
  <si>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</si>
  <si>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</si>
  <si>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</si>
  <si>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</si>
  <si>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</si>
  <si>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</si>
  <si>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</si>
  <si>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</si>
  <si>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</si>
  <si>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</si>
  <si>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</si>
  <si>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</si>
  <si>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</si>
  <si>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</si>
  <si>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</si>
  <si>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</si>
  <si>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</si>
  <si>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</si>
  <si>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</si>
  <si>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</si>
  <si>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</si>
  <si>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</si>
  <si>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</si>
  <si>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</si>
  <si>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</si>
  <si>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</si>
  <si>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</si>
  <si>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</si>
  <si>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</si>
  <si>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</si>
  <si>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</si>
  <si>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</si>
  <si>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</si>
  <si>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</si>
  <si>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</si>
  <si>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</si>
  <si>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</si>
  <si>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</si>
  <si>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</si>
  <si>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</si>
  <si>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</si>
  <si>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</si>
  <si>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</si>
  <si>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</si>
  <si>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</si>
  <si>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</si>
  <si>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</si>
  <si>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</si>
  <si>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</si>
  <si>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</si>
  <si>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</si>
  <si>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</si>
  <si>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</si>
  <si>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</si>
  <si>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</si>
  <si>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</si>
  <si>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</si>
  <si>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</si>
  <si>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</si>
  <si>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</si>
  <si>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</si>
  <si>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</si>
  <si>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</si>
  <si>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</si>
  <si>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</si>
  <si>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</si>
  <si>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</si>
  <si>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</si>
  <si>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</si>
  <si>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</si>
  <si>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</si>
  <si>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</si>
  <si>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</si>
  <si>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</si>
  <si>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</si>
  <si>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</si>
  <si>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</si>
  <si>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</si>
  <si>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</si>
  <si>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</si>
  <si>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</si>
  <si>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</si>
  <si>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</si>
  <si>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</si>
  <si>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</si>
  <si>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</si>
  <si>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</si>
  <si>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</si>
  <si>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</si>
  <si>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</si>
  <si>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</si>
  <si>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</si>
  <si>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</si>
  <si>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</si>
  <si>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</si>
  <si>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</si>
  <si>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</si>
  <si>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</si>
  <si>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</si>
  <si>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</si>
  <si>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</si>
  <si>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</si>
  <si>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</si>
  <si>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</si>
  <si>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</si>
  <si>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</si>
  <si>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</si>
  <si>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</si>
  <si>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</si>
  <si>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</si>
  <si>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</si>
  <si>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</si>
  <si>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</si>
  <si>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</si>
  <si>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</si>
  <si>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</si>
  <si>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</si>
  <si>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</si>
  <si>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</si>
  <si>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</si>
  <si>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</si>
  <si>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</si>
  <si>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</si>
  <si>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</si>
  <si>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</si>
  <si>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</si>
  <si>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</si>
  <si>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</si>
  <si>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</si>
  <si>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</si>
  <si>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</si>
  <si>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</si>
  <si>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</si>
  <si>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</si>
  <si>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</si>
  <si>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</si>
  <si>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</si>
  <si>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</si>
  <si>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</si>
  <si>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</si>
  <si>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</si>
  <si>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</si>
  <si>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</si>
  <si>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</si>
  <si>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</si>
  <si>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</si>
  <si>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</si>
  <si>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</si>
  <si>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</si>
  <si>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</si>
  <si>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</si>
  <si>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</si>
  <si>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</si>
  <si>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</si>
  <si>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</si>
  <si>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</si>
  <si>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</si>
  <si>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</si>
  <si>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</si>
  <si>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</si>
  <si>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</si>
  <si>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</si>
  <si>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</si>
  <si>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</si>
  <si>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</si>
  <si>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</si>
  <si>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</si>
  <si>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</si>
  <si>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</si>
  <si>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</si>
  <si>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</si>
  <si>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</si>
  <si>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</si>
  <si>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</si>
  <si>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</si>
  <si>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</si>
  <si>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</si>
  <si>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</si>
  <si>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</si>
  <si>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</si>
  <si>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</si>
  <si>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</si>
  <si>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</si>
  <si>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</si>
  <si>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</si>
  <si>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</si>
  <si>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</si>
  <si>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</si>
  <si>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</si>
  <si>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</si>
  <si>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</si>
  <si>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</si>
  <si>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</si>
  <si>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</si>
  <si>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</si>
  <si>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</si>
  <si>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</si>
  <si>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</si>
  <si>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</si>
  <si>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</si>
  <si>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</si>
  <si>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</si>
  <si>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</si>
  <si>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</si>
  <si>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</si>
  <si>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</si>
  <si>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</si>
  <si>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</si>
  <si>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</si>
  <si>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</si>
  <si>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</si>
  <si>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</si>
  <si>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</si>
  <si>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</si>
  <si>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</si>
  <si>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</si>
  <si>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</si>
  <si>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</si>
  <si>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</si>
  <si>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</si>
  <si>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</si>
  <si>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</si>
  <si>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</si>
  <si>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</si>
  <si>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</si>
  <si>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</si>
  <si>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</si>
  <si>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</si>
  <si>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</si>
  <si>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</si>
  <si>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</si>
  <si>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</si>
  <si>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</si>
  <si>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</si>
  <si>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</si>
  <si>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</si>
  <si>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</si>
  <si>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</si>
  <si>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</si>
  <si>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</si>
  <si>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</si>
  <si>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</si>
  <si>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</si>
  <si>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</si>
  <si>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</si>
  <si>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</si>
  <si>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</si>
  <si>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</si>
  <si>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</si>
  <si>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</si>
  <si>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</si>
  <si>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</si>
  <si>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</si>
  <si>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</si>
  <si>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</si>
  <si>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</si>
  <si>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</si>
  <si>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</si>
  <si>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</si>
  <si>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</si>
  <si>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</si>
  <si>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</si>
  <si>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</si>
  <si>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</si>
  <si>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</si>
  <si>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</si>
  <si>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</si>
  <si>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</si>
  <si>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</si>
  <si>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</si>
  <si>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</si>
  <si>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</si>
  <si>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</si>
  <si>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</si>
  <si>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</si>
  <si>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</si>
  <si>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</si>
  <si>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</si>
  <si>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</si>
  <si>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</si>
  <si>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</si>
  <si>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</si>
  <si>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</si>
  <si>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</si>
  <si>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</si>
  <si>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</si>
  <si>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</si>
  <si>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</si>
  <si>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</si>
  <si>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</si>
  <si>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</si>
  <si>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</si>
  <si>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</si>
  <si>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</si>
  <si>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</si>
  <si>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</si>
  <si>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</si>
  <si>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</si>
  <si>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</si>
  <si>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</si>
  <si>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</si>
  <si>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</si>
  <si>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</si>
  <si>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</si>
  <si>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</si>
  <si>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</si>
  <si>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</si>
  <si>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</si>
  <si>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</si>
  <si>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</si>
  <si>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</si>
  <si>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</si>
  <si>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</si>
  <si>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</si>
  <si>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</si>
  <si>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</si>
  <si>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</si>
  <si>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</si>
  <si>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</si>
  <si>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</si>
  <si>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</si>
  <si>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</si>
  <si>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</si>
  <si>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</si>
  <si>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</si>
  <si>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</si>
  <si>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</si>
  <si>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</si>
  <si>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</si>
  <si>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</si>
  <si>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</si>
  <si>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</si>
  <si>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</si>
  <si>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</si>
  <si>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</si>
  <si>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</si>
  <si>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</si>
  <si>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</si>
  <si>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</si>
  <si>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</si>
  <si>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</si>
  <si>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</si>
  <si>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</si>
  <si>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</si>
  <si>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</si>
  <si>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</si>
  <si>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</si>
  <si>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</si>
  <si>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</si>
  <si>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</si>
  <si>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</si>
  <si>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</si>
  <si>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</si>
  <si>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</si>
  <si>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</si>
  <si>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</si>
  <si>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</si>
  <si>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</si>
  <si>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</si>
  <si>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</si>
  <si>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</si>
  <si>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</si>
  <si>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</si>
  <si>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</si>
  <si>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</si>
  <si>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</si>
  <si>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</si>
  <si>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</si>
  <si>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</si>
  <si>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</si>
  <si>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</si>
  <si>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</si>
  <si>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</si>
  <si>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</si>
  <si>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</si>
  <si>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</si>
  <si>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</si>
  <si>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</si>
  <si>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</si>
  <si>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</si>
  <si>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</si>
  <si>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</si>
  <si>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</si>
  <si>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</si>
  <si>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</si>
  <si>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</si>
  <si>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</si>
  <si>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</si>
  <si>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</si>
  <si>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</si>
  <si>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</si>
  <si>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</si>
  <si>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</si>
  <si>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</si>
  <si>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</si>
  <si>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</si>
  <si>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</si>
  <si>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</si>
  <si>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</si>
  <si>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</si>
  <si>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</si>
  <si>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</si>
  <si>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</si>
  <si>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</si>
  <si>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</si>
  <si>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</si>
  <si>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</si>
  <si>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</si>
  <si>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</si>
  <si>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</si>
  <si>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</si>
  <si>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</si>
  <si>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</si>
  <si>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</si>
  <si>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</si>
  <si>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</si>
  <si>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</si>
  <si>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</si>
  <si>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</si>
  <si>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</si>
  <si>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</si>
  <si>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</si>
  <si>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</si>
  <si>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</si>
  <si>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</si>
  <si>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</si>
  <si>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</si>
  <si>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</si>
  <si>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</si>
  <si>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</si>
  <si>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</si>
  <si>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</si>
  <si>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</si>
  <si>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</si>
  <si>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</si>
  <si>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</si>
  <si>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</si>
  <si>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</si>
  <si>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</si>
  <si>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</si>
  <si>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</si>
  <si>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</si>
  <si>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</si>
  <si>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</si>
  <si>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</si>
  <si>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</si>
  <si>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</si>
  <si>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</si>
  <si>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</si>
  <si>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</si>
  <si>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</si>
  <si>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</si>
  <si>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</si>
  <si>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</si>
  <si>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</si>
  <si>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</si>
  <si>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</si>
  <si>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</si>
  <si>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</si>
  <si>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</si>
  <si>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</si>
  <si>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</si>
  <si>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</si>
  <si>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</si>
  <si>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</si>
  <si>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</si>
  <si>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</si>
  <si>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</si>
  <si>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</si>
  <si>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</si>
  <si>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</si>
  <si>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</si>
  <si>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</si>
  <si>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</si>
  <si>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</si>
  <si>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</si>
  <si>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</si>
  <si>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</si>
  <si>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</si>
  <si>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</si>
  <si>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</si>
  <si>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</si>
  <si>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</si>
  <si>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</si>
  <si>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</si>
  <si>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</si>
  <si>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</si>
  <si>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</si>
  <si>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</si>
  <si>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</si>
  <si>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</si>
  <si>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</si>
  <si>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</si>
  <si>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</si>
  <si>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</si>
  <si>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</si>
  <si>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</si>
  <si>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</si>
  <si>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</si>
  <si>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</si>
  <si>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</si>
  <si>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</si>
  <si>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</si>
  <si>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</si>
  <si>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</si>
  <si>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</si>
  <si>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</si>
  <si>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</si>
  <si>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</si>
  <si>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</si>
  <si>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</si>
  <si>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</si>
  <si>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</si>
  <si>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</si>
  <si>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</si>
  <si>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</si>
  <si>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</si>
  <si>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</si>
  <si>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</si>
  <si>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</si>
  <si>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</si>
  <si>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</si>
  <si>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</si>
  <si>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</si>
  <si>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</si>
  <si>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</si>
  <si>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</si>
  <si>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</si>
  <si>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</si>
  <si>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</si>
  <si>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</si>
  <si>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</si>
  <si>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</si>
  <si>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</si>
  <si>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</si>
  <si>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</si>
  <si>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</si>
  <si>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</si>
  <si>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</si>
  <si>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</si>
  <si>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</si>
  <si>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</si>
  <si>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</si>
  <si>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</si>
  <si>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</si>
  <si>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</si>
  <si>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</si>
  <si>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</si>
  <si>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</si>
  <si>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</si>
  <si>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</si>
  <si>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</si>
  <si>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</si>
  <si>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</si>
  <si>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</si>
  <si>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</si>
  <si>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</si>
  <si>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</si>
  <si>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</si>
  <si>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</si>
  <si>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</si>
  <si>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</si>
  <si>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</si>
  <si>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</si>
  <si>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</si>
  <si>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</si>
  <si>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</si>
  <si>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</si>
  <si>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</si>
  <si>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</si>
  <si>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</si>
  <si>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</si>
  <si>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</si>
  <si>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</si>
  <si>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</si>
  <si>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</si>
  <si>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</si>
  <si>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</si>
  <si>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</si>
  <si>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</si>
  <si>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</si>
  <si>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</si>
  <si>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</si>
  <si>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</si>
  <si>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</si>
  <si>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</si>
  <si>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</si>
  <si>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</si>
  <si>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</si>
  <si>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</si>
  <si>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</si>
  <si>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</si>
  <si>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</si>
  <si>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</si>
  <si>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</si>
  <si>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</si>
  <si>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</si>
  <si>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</si>
  <si>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</si>
  <si>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</si>
  <si>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</si>
  <si>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</si>
  <si>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</si>
  <si>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</si>
  <si>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</si>
  <si>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</si>
  <si>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</si>
  <si>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</si>
  <si>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</si>
  <si>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</si>
  <si>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</si>
  <si>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</si>
  <si>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</si>
  <si>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</si>
  <si>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</si>
  <si>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</si>
  <si>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</si>
  <si>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</si>
  <si>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</si>
  <si>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</si>
  <si>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</si>
  <si>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</si>
  <si>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</si>
  <si>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</si>
  <si>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</si>
  <si>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</si>
  <si>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</si>
  <si>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</si>
  <si>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</si>
  <si>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</si>
  <si>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</si>
  <si>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</si>
  <si>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</si>
  <si>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</si>
  <si>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</si>
  <si>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</si>
  <si>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</si>
  <si>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</si>
  <si>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</si>
  <si>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</si>
  <si>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</si>
  <si>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</si>
  <si>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</si>
  <si>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</si>
  <si>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</si>
  <si>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</si>
  <si>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</si>
  <si>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</si>
  <si>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</si>
  <si>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</si>
  <si>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</si>
  <si>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</si>
  <si>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</si>
  <si>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</si>
  <si>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</si>
  <si>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</si>
  <si>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</si>
  <si>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</si>
  <si>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</si>
  <si>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</si>
  <si>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</si>
  <si>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</si>
  <si>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</si>
  <si>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</si>
  <si>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</si>
  <si>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</si>
  <si>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</si>
  <si>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</si>
  <si>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</si>
  <si>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</si>
  <si>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</si>
  <si>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</si>
  <si>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</si>
  <si>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</si>
  <si>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</si>
  <si>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</si>
  <si>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</si>
  <si>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</si>
  <si>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</si>
  <si>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</si>
  <si>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</si>
  <si>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</si>
  <si>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</si>
  <si>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</si>
  <si>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</si>
  <si>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</si>
  <si>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</si>
  <si>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</si>
  <si>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</si>
  <si>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</si>
  <si>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</si>
  <si>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</si>
  <si>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</si>
  <si>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</si>
  <si>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</si>
  <si>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</si>
  <si>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</si>
  <si>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</si>
  <si>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</si>
  <si>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</si>
  <si>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</si>
  <si>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</si>
  <si>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</si>
  <si>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</si>
  <si>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</si>
  <si>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</si>
  <si>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</si>
  <si>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</si>
  <si>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</si>
  <si>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</si>
  <si>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</si>
  <si>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</si>
  <si>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</si>
  <si>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</si>
  <si>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</si>
  <si>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</si>
  <si>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</si>
  <si>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</si>
  <si>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</si>
  <si>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</si>
  <si>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</si>
  <si>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</si>
  <si>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</si>
  <si>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</si>
  <si>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</si>
  <si>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</si>
  <si>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</si>
  <si>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</si>
  <si>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</si>
  <si>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</si>
  <si>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</si>
  <si>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</si>
  <si>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</si>
  <si>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</si>
  <si>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</si>
  <si>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</si>
  <si>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</si>
  <si>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</si>
  <si>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</si>
  <si>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</si>
  <si>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</si>
  <si>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</si>
  <si>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</si>
  <si>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</si>
  <si>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</si>
  <si>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</si>
  <si>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</si>
  <si>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</si>
  <si>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</si>
  <si>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</si>
  <si>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</si>
  <si>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</si>
  <si>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</si>
  <si>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</si>
  <si>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</si>
  <si>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</si>
  <si>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</si>
  <si>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</si>
  <si>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</si>
  <si>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</si>
  <si>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</si>
  <si>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</si>
  <si>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</si>
  <si>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</si>
  <si>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</si>
  <si>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</si>
  <si>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</si>
  <si>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</si>
  <si>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</si>
  <si>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</si>
  <si>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</si>
  <si>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</si>
  <si>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</si>
  <si>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</si>
  <si>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</si>
  <si>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</si>
  <si>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</si>
  <si>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</si>
  <si>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</si>
  <si>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</si>
  <si>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</si>
  <si>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</si>
  <si>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</si>
  <si>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</si>
  <si>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</si>
  <si>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</si>
  <si>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</si>
  <si>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</si>
  <si>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</si>
  <si>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</si>
  <si>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</si>
  <si>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</si>
  <si>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</si>
  <si>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</si>
  <si>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</si>
  <si>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</si>
  <si>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</si>
  <si>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</si>
  <si>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</si>
  <si>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</si>
  <si>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</si>
  <si>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</si>
  <si>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</si>
  <si>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</si>
  <si>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</si>
  <si>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</si>
  <si>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</si>
  <si>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</si>
  <si>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</si>
  <si>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</si>
  <si>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</si>
  <si>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</si>
  <si>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</si>
  <si>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</si>
  <si>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</si>
  <si>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</si>
  <si>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</si>
  <si>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</si>
  <si>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</si>
  <si>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</si>
  <si>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</si>
  <si>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</si>
  <si>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</si>
  <si>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</si>
  <si>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</si>
  <si>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</si>
  <si>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</si>
  <si>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</si>
  <si>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</si>
  <si>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</si>
  <si>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</si>
  <si>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</si>
  <si>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</si>
  <si>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</si>
  <si>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</si>
  <si>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</si>
  <si>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</si>
  <si>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</si>
  <si>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</si>
  <si>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</si>
  <si>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</si>
  <si>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</si>
  <si>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</si>
  <si>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</si>
  <si>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</si>
  <si>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</si>
  <si>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</si>
  <si>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</si>
  <si>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</si>
  <si>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</si>
  <si>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</si>
  <si>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</si>
  <si>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</si>
  <si>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</si>
  <si>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</si>
  <si>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</si>
  <si>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</si>
  <si>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</si>
  <si>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</si>
  <si>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</si>
  <si>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</si>
  <si>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</si>
  <si>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</si>
  <si>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</si>
  <si>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</si>
  <si>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</si>
  <si>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</si>
  <si>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</si>
  <si>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</si>
  <si>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</si>
  <si>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</si>
  <si>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</si>
  <si>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</si>
  <si>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</si>
  <si>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</si>
  <si>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</si>
  <si>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</si>
  <si>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</si>
  <si>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</si>
  <si>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</si>
  <si>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</si>
  <si>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</si>
  <si>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</si>
  <si>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</si>
  <si>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</si>
  <si>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</si>
  <si>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</si>
  <si>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</si>
  <si>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</si>
  <si>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</si>
  <si>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</si>
  <si>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</si>
  <si>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</si>
  <si>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</si>
  <si>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</si>
  <si>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</si>
  <si>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</si>
  <si>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</si>
  <si>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</si>
  <si>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</si>
  <si>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</si>
  <si>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</si>
  <si>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</si>
  <si>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</si>
  <si>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</si>
  <si>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</si>
  <si>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</si>
  <si>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</si>
  <si>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</si>
  <si>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</si>
  <si>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</si>
  <si>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</si>
  <si>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</si>
  <si>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</si>
  <si>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</si>
  <si>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</si>
  <si>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</si>
  <si>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</si>
  <si>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</si>
  <si>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</si>
  <si>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</si>
  <si>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</si>
  <si>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</si>
  <si>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</si>
  <si>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</si>
  <si>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</si>
  <si>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</si>
  <si>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</si>
  <si>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</si>
  <si>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</si>
  <si>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</si>
  <si>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</si>
  <si>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</si>
  <si>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</si>
  <si>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</si>
  <si>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</si>
  <si>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</si>
  <si>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</si>
  <si>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</si>
  <si>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</si>
  <si>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</si>
  <si>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</si>
  <si>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</si>
  <si>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</si>
  <si>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</si>
  <si>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</si>
  <si>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</si>
  <si>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</si>
  <si>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</si>
  <si>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</si>
  <si>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</si>
  <si>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</si>
  <si>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</si>
  <si>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</si>
  <si>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</si>
  <si>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</si>
  <si>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</si>
  <si>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</si>
  <si>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</si>
  <si>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</si>
  <si>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</si>
  <si>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</si>
  <si>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</si>
  <si>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</si>
  <si>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</si>
  <si>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</si>
  <si>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</si>
  <si>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</si>
  <si>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</si>
  <si>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</si>
  <si>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</si>
  <si>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</si>
  <si>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</si>
  <si>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</si>
  <si>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</si>
  <si>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</si>
  <si>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</si>
  <si>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</si>
  <si>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</si>
  <si>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</si>
  <si>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</si>
  <si>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</si>
  <si>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</si>
  <si>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</si>
  <si>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</si>
  <si>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</si>
  <si>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</si>
  <si>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</si>
  <si>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</si>
  <si>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</si>
  <si>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</si>
  <si>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</si>
  <si>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</si>
  <si>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</si>
  <si>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</si>
  <si>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</si>
  <si>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</si>
  <si>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</si>
  <si>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</si>
  <si>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</si>
  <si>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</si>
  <si>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</si>
  <si>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</si>
  <si>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</si>
  <si>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</si>
  <si>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</si>
  <si>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</si>
  <si>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</si>
  <si>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</si>
  <si>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</si>
  <si>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</si>
  <si>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</si>
  <si>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</si>
  <si>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</si>
  <si>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</si>
  <si>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</si>
  <si>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</si>
  <si>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</si>
  <si>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</si>
  <si>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</si>
  <si>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</si>
  <si>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</si>
  <si>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</si>
  <si>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</si>
  <si>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</si>
  <si>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</si>
  <si>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</si>
  <si>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</si>
  <si>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</si>
  <si>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</si>
  <si>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</si>
  <si>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</si>
  <si>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</si>
  <si>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</si>
  <si>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</si>
  <si>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</si>
  <si>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</si>
  <si>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</si>
  <si>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</si>
  <si>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</si>
  <si>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</si>
  <si>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</si>
  <si>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</si>
  <si>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</si>
  <si>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</si>
  <si>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</si>
  <si>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</si>
  <si>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</si>
  <si>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</si>
  <si>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</si>
  <si>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</si>
  <si>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</si>
  <si>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</si>
  <si>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</si>
  <si>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</si>
  <si>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</si>
  <si>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</si>
  <si>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</si>
  <si>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</si>
  <si>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</si>
  <si>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</si>
  <si>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</si>
  <si>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</si>
  <si>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</si>
  <si>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</si>
  <si>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</si>
  <si>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</si>
  <si>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</si>
  <si>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</si>
  <si>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</si>
  <si>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</si>
  <si>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</si>
  <si>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</si>
  <si>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</si>
  <si>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</si>
  <si>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</si>
  <si>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</si>
  <si>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</si>
  <si>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</si>
  <si>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</si>
  <si>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</si>
  <si>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</si>
  <si>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</si>
  <si>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</si>
  <si>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</si>
  <si>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</si>
  <si>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</si>
  <si>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</si>
  <si>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</si>
  <si>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</si>
  <si>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</si>
  <si>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</si>
  <si>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</si>
  <si>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</si>
  <si>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</si>
  <si>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</si>
  <si>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</si>
  <si>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</si>
  <si>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</si>
  <si>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</si>
  <si>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</si>
  <si>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</si>
  <si>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</si>
  <si>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</si>
  <si>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</si>
  <si>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</si>
  <si>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</si>
  <si>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</si>
  <si>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</si>
  <si>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</si>
  <si>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</si>
  <si>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</si>
  <si>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</si>
  <si>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</si>
  <si>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</si>
  <si>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</si>
  <si>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</si>
  <si>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</si>
  <si>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</si>
  <si>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</si>
  <si>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</si>
  <si>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</si>
  <si>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</si>
  <si>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</si>
  <si>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</si>
  <si>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</si>
  <si>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</si>
  <si>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</si>
  <si>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</si>
  <si>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</si>
  <si>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</si>
  <si>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</si>
  <si>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</si>
  <si>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</si>
  <si>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</si>
  <si>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</si>
  <si>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</si>
  <si>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</si>
  <si>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</si>
  <si>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</si>
  <si>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</si>
  <si>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</si>
  <si>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</si>
  <si>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</si>
  <si>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</si>
  <si>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</si>
  <si>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</si>
  <si>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</si>
  <si>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</si>
  <si>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</si>
  <si>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</si>
  <si>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</si>
  <si>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</si>
  <si>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</si>
  <si>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</si>
  <si>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</si>
  <si>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</si>
  <si>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</si>
  <si>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</si>
  <si>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</si>
  <si>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</si>
  <si>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</si>
  <si>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</si>
  <si>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</si>
  <si>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</si>
  <si>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</si>
  <si>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</si>
  <si>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</si>
  <si>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</si>
  <si>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</si>
  <si>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</si>
  <si>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</si>
  <si>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</si>
  <si>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</si>
  <si>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</si>
  <si>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</si>
  <si>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</si>
  <si>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</si>
  <si>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</si>
  <si>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</si>
  <si>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</si>
  <si>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</si>
  <si>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</si>
  <si>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</si>
  <si>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</si>
  <si>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</si>
  <si>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</si>
  <si>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</si>
  <si>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</si>
  <si>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</si>
  <si>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</si>
  <si>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</si>
  <si>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</si>
  <si>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</si>
  <si>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</si>
  <si>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</si>
  <si>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</si>
  <si>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</si>
  <si>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</si>
  <si>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</si>
  <si>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</si>
  <si>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</si>
  <si>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</si>
  <si>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</si>
  <si>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</si>
  <si>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</si>
  <si>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</si>
  <si>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</si>
  <si>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</si>
  <si>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</si>
  <si>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</si>
  <si>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</si>
  <si>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</si>
  <si>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</si>
  <si>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</si>
  <si>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</si>
  <si>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</si>
  <si>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</si>
  <si>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</si>
  <si>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</si>
  <si>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</si>
  <si>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</si>
  <si>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</si>
  <si>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</si>
  <si>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</si>
  <si>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</si>
  <si>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</si>
  <si>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</si>
  <si>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</si>
  <si>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</si>
  <si>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</si>
  <si>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</si>
  <si>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</si>
  <si>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</si>
  <si>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</si>
  <si>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</si>
  <si>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</si>
  <si>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</si>
  <si>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</si>
  <si>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</si>
  <si>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</si>
  <si>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</si>
  <si>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</si>
  <si>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</si>
  <si>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</si>
  <si>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</si>
  <si>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</si>
  <si>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</si>
  <si>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</si>
  <si>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</si>
  <si>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</si>
  <si>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</si>
  <si>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</si>
  <si>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</si>
  <si>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</si>
  <si>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</si>
  <si>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</si>
  <si>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</si>
  <si>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</si>
  <si>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</si>
  <si>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</si>
  <si>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</si>
  <si>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</si>
  <si>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</si>
  <si>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</si>
  <si>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</si>
  <si>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</si>
  <si>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</si>
  <si>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</si>
  <si>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</si>
  <si>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</si>
  <si>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</si>
  <si>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</si>
  <si>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</si>
  <si>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</si>
  <si>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</si>
  <si>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</si>
  <si>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</si>
  <si>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</si>
  <si>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</si>
  <si>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</si>
  <si>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</si>
  <si>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</si>
  <si>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</si>
  <si>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</si>
  <si>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</si>
  <si>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</si>
  <si>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</si>
  <si>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</si>
  <si>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</si>
  <si>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</si>
  <si>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</si>
  <si>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</si>
  <si>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</si>
  <si>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</si>
  <si>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</si>
  <si>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</si>
  <si>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</si>
  <si>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</si>
  <si>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</si>
  <si>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</si>
  <si>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</si>
  <si>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</si>
  <si>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</si>
  <si>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</si>
  <si>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</si>
  <si>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</si>
  <si>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</si>
  <si>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</si>
  <si>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</si>
  <si>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</si>
  <si>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</si>
  <si>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</si>
  <si>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</si>
  <si>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</si>
  <si>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</si>
  <si>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</si>
  <si>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</si>
  <si>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</si>
  <si>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</si>
  <si>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</si>
  <si>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</si>
  <si>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</si>
  <si>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</si>
  <si>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</si>
  <si>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</si>
  <si>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</si>
  <si>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</si>
  <si>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</si>
  <si>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</si>
  <si>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</si>
  <si>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</si>
  <si>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</si>
  <si>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</si>
  <si>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</si>
  <si>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</si>
  <si>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</si>
  <si>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</si>
  <si>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</si>
  <si>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</si>
  <si>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</si>
  <si>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</si>
  <si>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</si>
  <si>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</si>
  <si>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</si>
  <si>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</si>
  <si>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</si>
  <si>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</si>
  <si>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</si>
  <si>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</si>
  <si>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</si>
  <si>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</si>
  <si>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</si>
  <si>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</si>
  <si>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</si>
  <si>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</si>
  <si>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</si>
  <si>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</si>
  <si>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</si>
  <si>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</si>
  <si>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</si>
  <si>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</si>
  <si>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</si>
  <si>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</si>
  <si>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</si>
  <si>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</si>
  <si>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</si>
  <si>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</si>
  <si>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</si>
  <si>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</si>
  <si>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</si>
  <si>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</si>
  <si>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</si>
  <si>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</si>
  <si>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</si>
  <si>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</si>
  <si>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</si>
  <si>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</si>
  <si>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</si>
  <si>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</si>
  <si>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</si>
  <si>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</si>
  <si>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</si>
  <si>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</si>
  <si>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</si>
  <si>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</si>
  <si>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</si>
  <si>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</si>
  <si>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</si>
  <si>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</si>
  <si>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</si>
  <si>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</si>
  <si>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</si>
  <si>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</si>
  <si>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</si>
  <si>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</si>
  <si>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</si>
  <si>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</si>
  <si>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</si>
  <si>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</si>
  <si>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</si>
  <si>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</si>
  <si>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</si>
  <si>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</si>
  <si>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</si>
  <si>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</si>
  <si>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</si>
  <si>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</si>
  <si>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</si>
  <si>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</si>
  <si>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</si>
  <si>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</si>
  <si>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</si>
  <si>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</si>
  <si>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</si>
  <si>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</si>
  <si>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</si>
  <si>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</si>
  <si>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</si>
  <si>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</si>
  <si>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</si>
  <si>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</si>
  <si>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</si>
  <si>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</si>
  <si>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</si>
  <si>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</si>
  <si>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</si>
  <si>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</si>
  <si>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</si>
  <si>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</si>
  <si>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</si>
  <si>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</si>
  <si>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</si>
  <si>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</si>
  <si>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</si>
  <si>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</si>
  <si>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</si>
  <si>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</si>
  <si>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</si>
  <si>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</si>
  <si>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</si>
  <si>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</si>
  <si>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</si>
  <si>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</si>
  <si>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</si>
  <si>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</si>
  <si>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</si>
  <si>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</si>
  <si>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</si>
  <si>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</si>
  <si>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</si>
  <si>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</si>
  <si>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</si>
  <si>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</si>
  <si>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</si>
  <si>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</si>
  <si>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</si>
  <si>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</si>
  <si>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</si>
  <si>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</si>
  <si>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</si>
  <si>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</si>
  <si>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</si>
  <si>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</si>
  <si>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</si>
  <si>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</si>
  <si>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</si>
  <si>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</si>
  <si>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</si>
  <si>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</si>
  <si>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</si>
  <si>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</si>
  <si>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</si>
  <si>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</si>
  <si>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</si>
  <si>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</si>
  <si>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</si>
  <si>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</si>
  <si>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</si>
  <si>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</si>
  <si>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</si>
  <si>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</si>
  <si>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</si>
  <si>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</si>
  <si>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</si>
  <si>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</si>
  <si>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</si>
  <si>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</si>
  <si>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</si>
  <si>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</si>
  <si>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</si>
  <si>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</si>
  <si>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</si>
  <si>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</si>
  <si>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</si>
  <si>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</si>
  <si>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</si>
  <si>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</si>
  <si>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</si>
  <si>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</si>
  <si>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</si>
  <si>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</si>
  <si>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</si>
  <si>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</si>
  <si>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</si>
  <si>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</si>
  <si>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</si>
  <si>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</si>
  <si>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</si>
  <si>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</si>
  <si>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</si>
  <si>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</si>
  <si>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</si>
  <si>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</si>
  <si>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</si>
  <si>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</si>
  <si>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</si>
  <si>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</si>
  <si>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</si>
  <si>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</si>
  <si>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</si>
  <si>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</si>
  <si>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</si>
  <si>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</si>
  <si>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</si>
  <si>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</si>
  <si>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</si>
  <si>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</si>
  <si>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</si>
  <si>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</si>
  <si>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</si>
  <si>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</si>
  <si>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</si>
  <si>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</si>
  <si>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</si>
  <si>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</si>
  <si>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</si>
  <si>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</si>
  <si>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</si>
  <si>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</si>
  <si>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</si>
  <si>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</si>
  <si>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</si>
  <si>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</si>
  <si>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</si>
  <si>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</si>
  <si>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</si>
  <si>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</si>
  <si>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</si>
  <si>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</si>
  <si>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</si>
  <si>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</si>
  <si>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</si>
  <si>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</si>
  <si>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</si>
  <si>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</si>
  <si>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</si>
  <si>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</si>
  <si>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</si>
  <si>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</si>
  <si>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</si>
  <si>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</si>
  <si>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</si>
  <si>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</si>
  <si>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</si>
  <si>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</si>
  <si>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</si>
  <si>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</si>
  <si>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</si>
  <si>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</si>
  <si>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</si>
  <si>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</si>
  <si>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</si>
  <si>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</si>
  <si>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</si>
  <si>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</si>
  <si>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</si>
  <si>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</si>
  <si>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</si>
  <si>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</si>
  <si>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</si>
  <si>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</si>
  <si>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</si>
  <si>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</si>
  <si>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</si>
  <si>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</si>
  <si>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</si>
  <si>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</si>
  <si>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</si>
  <si>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</si>
  <si>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</si>
  <si>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</si>
  <si>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</si>
  <si>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</si>
  <si>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</si>
  <si>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</si>
  <si>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</si>
  <si>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</si>
  <si>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</si>
  <si>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</si>
  <si>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</si>
  <si>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</si>
  <si>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</si>
  <si>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</si>
  <si>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</si>
  <si>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</si>
  <si>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</si>
  <si>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</si>
  <si>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</si>
  <si>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</si>
  <si>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</si>
  <si>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</si>
  <si>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</si>
  <si>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</si>
  <si>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</si>
  <si>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</si>
  <si>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</si>
  <si>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</si>
  <si>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</si>
  <si>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</si>
  <si>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</si>
  <si>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</si>
  <si>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</si>
  <si>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</si>
  <si>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</si>
  <si>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</si>
  <si>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</si>
  <si>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</si>
  <si>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</si>
  <si>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</si>
  <si>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</si>
  <si>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</si>
  <si>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</si>
  <si>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</si>
  <si>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</si>
  <si>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</si>
  <si>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</si>
  <si>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</si>
  <si>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</si>
  <si>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</si>
  <si>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</si>
  <si>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</si>
  <si>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</si>
  <si>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</si>
  <si>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</si>
  <si>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</si>
  <si>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</si>
  <si>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</si>
  <si>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</si>
  <si>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</si>
  <si>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</si>
  <si>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</si>
  <si>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</si>
  <si>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</si>
  <si>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</si>
  <si>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</si>
  <si>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</si>
  <si>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</si>
  <si>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</si>
  <si>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</si>
  <si>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</si>
  <si>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</si>
  <si>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</si>
  <si>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</si>
  <si>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</si>
  <si>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</si>
  <si>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</si>
  <si>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</si>
  <si>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</si>
  <si>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</si>
  <si>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</si>
  <si>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</si>
  <si>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</si>
  <si>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</si>
  <si>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</si>
  <si>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</si>
  <si>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</si>
  <si>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</si>
  <si>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</si>
  <si>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</si>
  <si>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</si>
  <si>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</si>
  <si>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</si>
  <si>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</si>
  <si>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</si>
  <si>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</si>
  <si>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</si>
  <si>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</si>
  <si>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</si>
  <si>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</si>
  <si>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</si>
  <si>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</si>
  <si>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</si>
  <si>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</si>
  <si>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</si>
  <si>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</si>
  <si>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</si>
  <si>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</si>
  <si>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</si>
  <si>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</si>
  <si>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</si>
  <si>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</si>
  <si>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</si>
  <si>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</si>
  <si>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</si>
  <si>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</si>
  <si>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</si>
  <si>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</si>
  <si>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</si>
  <si>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</si>
  <si>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</si>
  <si>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</si>
  <si>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</si>
  <si>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</si>
  <si>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</si>
  <si>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</si>
  <si>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</si>
  <si>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</si>
  <si>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</si>
  <si>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</si>
  <si>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</si>
  <si>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</si>
  <si>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</si>
  <si>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</si>
  <si>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</si>
  <si>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</si>
  <si>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</si>
  <si>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</si>
  <si>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</si>
  <si>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</si>
  <si>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</si>
  <si>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</si>
  <si>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</si>
  <si>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</si>
  <si>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</si>
  <si>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</si>
  <si>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</si>
  <si>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</si>
  <si>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</si>
  <si>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</si>
  <si>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</si>
  <si>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</si>
  <si>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</si>
  <si>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</si>
  <si>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</si>
  <si>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</si>
  <si>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</si>
  <si>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</si>
  <si>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</si>
  <si>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</si>
  <si>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</si>
  <si>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</si>
  <si>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</si>
  <si>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</si>
  <si>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</si>
  <si>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</si>
  <si>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</si>
  <si>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</si>
  <si>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</si>
  <si>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</si>
  <si>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</si>
  <si>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</si>
  <si>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</si>
  <si>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</si>
  <si>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</si>
  <si>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</si>
  <si>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</si>
  <si>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</si>
  <si>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</si>
  <si>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</si>
  <si>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</si>
  <si>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</si>
  <si>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</si>
  <si>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</si>
  <si>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</si>
  <si>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</si>
  <si>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</si>
  <si>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</si>
  <si>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</si>
  <si>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</si>
  <si>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</si>
  <si>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</si>
  <si>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</si>
  <si>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</si>
  <si>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</si>
  <si>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</si>
  <si>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</si>
  <si>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</si>
  <si>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</si>
  <si>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</si>
  <si>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</si>
  <si>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</si>
  <si>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</si>
  <si>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</si>
  <si>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</si>
  <si>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</si>
  <si>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</si>
  <si>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</si>
  <si>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</si>
  <si>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</si>
  <si>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</si>
  <si>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</si>
  <si>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</si>
  <si>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</si>
  <si>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</si>
  <si>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</si>
  <si>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</si>
  <si>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</si>
  <si>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</si>
  <si>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</si>
  <si>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</si>
  <si>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</si>
  <si>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</si>
  <si>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</si>
  <si>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</si>
  <si>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</si>
  <si>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</si>
  <si>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</si>
  <si>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</si>
  <si>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</si>
  <si>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</si>
  <si>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</si>
  <si>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</si>
  <si>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</si>
  <si>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</si>
  <si>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</si>
  <si>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</si>
  <si>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</si>
  <si>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</si>
  <si>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</si>
  <si>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</si>
  <si>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</si>
  <si>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</si>
  <si>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</si>
  <si>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</si>
  <si>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</si>
  <si>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</si>
  <si>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</si>
  <si>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</si>
  <si>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</si>
  <si>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</si>
  <si>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</si>
  <si>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</si>
  <si>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</si>
  <si>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</si>
  <si>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</si>
  <si>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</si>
  <si>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</si>
  <si>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</si>
  <si>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</si>
  <si>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</si>
  <si>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</si>
  <si>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</si>
  <si>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</si>
  <si>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</si>
  <si>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</si>
  <si>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</si>
  <si>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</si>
  <si>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</si>
  <si>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</si>
  <si>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</si>
  <si>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</si>
  <si>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</si>
  <si>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</si>
  <si>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</si>
  <si>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</si>
  <si>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</si>
  <si>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</si>
  <si>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</si>
  <si>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</si>
  <si>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</si>
  <si>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</si>
  <si>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</si>
  <si>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</si>
  <si>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</si>
  <si>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</si>
  <si>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</si>
  <si>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</si>
  <si>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</si>
  <si>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</si>
  <si>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</si>
  <si>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</si>
  <si>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</si>
  <si>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</si>
  <si>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</si>
  <si>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</si>
  <si>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</si>
  <si>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</si>
  <si>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</si>
  <si>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</si>
  <si>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</si>
  <si>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</si>
  <si>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</si>
  <si>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</si>
  <si>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</si>
  <si>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</si>
  <si>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</si>
  <si>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</si>
  <si>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</si>
  <si>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</si>
  <si>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</si>
  <si>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</si>
  <si>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</si>
  <si>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</si>
  <si>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</si>
  <si>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</si>
  <si>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</si>
  <si>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</si>
  <si>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</si>
  <si>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</si>
  <si>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</si>
  <si>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</si>
  <si>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</si>
  <si>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</si>
  <si>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</si>
  <si>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</si>
  <si>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</si>
  <si>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</si>
  <si>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</si>
  <si>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</si>
  <si>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</si>
  <si>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</si>
  <si>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</si>
  <si>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</si>
  <si>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</si>
  <si>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</si>
  <si>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</si>
  <si>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</si>
  <si>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</si>
  <si>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</si>
  <si>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</si>
  <si>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</si>
  <si>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</si>
  <si>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</si>
  <si>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</si>
  <si>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</si>
  <si>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</si>
  <si>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</si>
  <si>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</si>
  <si>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</si>
  <si>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</si>
  <si>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</si>
  <si>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</si>
  <si>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</si>
  <si>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</si>
  <si>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</si>
  <si>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</si>
  <si>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</si>
  <si>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</si>
  <si>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</si>
  <si>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</si>
  <si>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</si>
  <si>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</si>
  <si>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</si>
  <si>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</si>
  <si>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</si>
  <si>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</si>
  <si>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</si>
  <si>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</si>
  <si>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</si>
  <si>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</si>
  <si>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</si>
  <si>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</si>
  <si>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</si>
  <si>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</si>
  <si>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</si>
  <si>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</si>
  <si>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</si>
  <si>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</si>
  <si>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</si>
  <si>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</si>
  <si>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</si>
  <si>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</si>
  <si>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</si>
  <si>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</si>
  <si>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</si>
  <si>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</si>
  <si>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</si>
  <si>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</si>
  <si>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</si>
  <si>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</si>
  <si>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</si>
  <si>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</si>
  <si>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</si>
  <si>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</si>
  <si>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</si>
  <si>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</si>
  <si>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</si>
  <si>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</si>
  <si>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</si>
  <si>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</si>
  <si>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</si>
  <si>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</si>
  <si>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</si>
  <si>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</si>
  <si>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</si>
  <si>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</si>
  <si>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</si>
  <si>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</si>
  <si>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</si>
  <si>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</si>
  <si>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</si>
  <si>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</si>
  <si>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</si>
  <si>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</si>
  <si>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</si>
  <si>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</si>
  <si>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</si>
  <si>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</si>
  <si>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</si>
  <si>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</si>
  <si>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</si>
  <si>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</si>
  <si>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</si>
  <si>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</si>
  <si>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</si>
  <si>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</si>
  <si>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</si>
  <si>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</si>
  <si>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</si>
  <si>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</si>
  <si>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</si>
  <si>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</si>
  <si>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</si>
  <si>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</si>
  <si>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</si>
  <si>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</si>
  <si>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</si>
  <si>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</si>
  <si>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</si>
  <si>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</si>
  <si>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</si>
  <si>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</si>
  <si>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</si>
  <si>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</si>
  <si>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</si>
  <si>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</si>
  <si>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</si>
  <si>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</si>
  <si>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</si>
  <si>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</si>
  <si>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</si>
  <si>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</si>
  <si>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</si>
  <si>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</si>
  <si>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</si>
  <si>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</si>
  <si>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</si>
  <si>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</si>
  <si>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</si>
  <si>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</si>
  <si>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</si>
  <si>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</si>
  <si>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</si>
  <si>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</si>
  <si>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</si>
  <si>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</si>
  <si>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</si>
  <si>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</si>
  <si>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</si>
  <si>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</si>
  <si>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</si>
  <si>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</si>
  <si>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</si>
  <si>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</si>
  <si>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</si>
  <si>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</si>
  <si>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</si>
  <si>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</si>
  <si>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</si>
  <si>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</si>
  <si>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</si>
  <si>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</si>
  <si>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</si>
  <si>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</si>
  <si>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</si>
  <si>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</si>
  <si>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</si>
  <si>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</si>
  <si>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</si>
  <si>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</si>
  <si>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</si>
  <si>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</si>
  <si>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</si>
  <si>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</si>
  <si>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</si>
  <si>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</si>
  <si>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</si>
  <si>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</si>
  <si>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</si>
  <si>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</si>
  <si>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</si>
  <si>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</si>
  <si>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</si>
  <si>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</si>
  <si>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</si>
  <si>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</si>
  <si>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</si>
  <si>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</si>
  <si>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</si>
  <si>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</si>
  <si>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</si>
  <si>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</si>
  <si>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</si>
  <si>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</si>
  <si>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</si>
  <si>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</si>
  <si>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</si>
  <si>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</si>
  <si>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</si>
  <si>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</si>
  <si>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</si>
  <si>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</si>
  <si>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</si>
  <si>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</si>
  <si>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</si>
  <si>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</si>
  <si>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</si>
  <si>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</si>
  <si>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</si>
  <si>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</si>
  <si>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</si>
  <si>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</si>
  <si>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</si>
  <si>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</si>
  <si>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</si>
  <si>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</si>
  <si>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</si>
  <si>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</si>
  <si>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</si>
  <si>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</si>
  <si>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</si>
  <si>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</si>
  <si>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</si>
  <si>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</si>
  <si>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</si>
  <si>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</si>
  <si>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</si>
  <si>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</si>
  <si>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</si>
  <si>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</si>
  <si>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</si>
  <si>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</si>
  <si>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</si>
  <si>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</si>
  <si>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</si>
  <si>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</si>
  <si>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</si>
  <si>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</si>
  <si>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</si>
  <si>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</si>
  <si>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</si>
  <si>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</si>
  <si>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</si>
  <si>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</si>
  <si>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</si>
  <si>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</si>
  <si>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</si>
  <si>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</si>
  <si>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</si>
  <si>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</si>
  <si>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</si>
  <si>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</si>
  <si>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</si>
  <si>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</si>
  <si>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</si>
  <si>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</si>
  <si>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</si>
  <si>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</si>
  <si>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</si>
  <si>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</si>
  <si>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</si>
  <si>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</si>
  <si>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</si>
  <si>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</si>
  <si>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</si>
  <si>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</si>
  <si>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</si>
  <si>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</si>
  <si>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</si>
  <si>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</si>
  <si>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</si>
  <si>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</si>
  <si>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</si>
  <si>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</si>
  <si>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</si>
  <si>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</si>
  <si>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</si>
  <si>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</si>
  <si>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</si>
  <si>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</si>
  <si>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</si>
  <si>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</si>
  <si>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</si>
  <si>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</si>
  <si>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</si>
  <si>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</si>
  <si>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</si>
  <si>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</si>
  <si>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</si>
  <si>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</si>
  <si>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</si>
  <si>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</si>
  <si>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</si>
  <si>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</si>
  <si>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</si>
  <si>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</si>
  <si>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</si>
  <si>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</si>
  <si>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</si>
  <si>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</si>
  <si>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</si>
  <si>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</si>
  <si>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</si>
  <si>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</si>
  <si>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</si>
  <si>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</si>
  <si>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</si>
  <si>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</si>
  <si>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</si>
  <si>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</si>
  <si>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</si>
  <si>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</si>
  <si>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</si>
  <si>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</si>
  <si>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</si>
  <si>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</si>
  <si>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</si>
  <si>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</si>
  <si>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</si>
  <si>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</si>
  <si>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</si>
  <si>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</si>
  <si>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</si>
  <si>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</si>
  <si>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</si>
  <si>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</si>
  <si>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</si>
  <si>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</si>
  <si>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</si>
  <si>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</si>
  <si>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</si>
  <si>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</si>
  <si>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</si>
  <si>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</si>
  <si>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</si>
  <si>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</si>
  <si>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</si>
  <si>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</si>
  <si>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</si>
  <si>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</si>
  <si>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</si>
  <si>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</si>
  <si>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</si>
  <si>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</si>
  <si>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</si>
  <si>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</si>
  <si>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</si>
  <si>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</si>
  <si>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</si>
  <si>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</si>
  <si>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</si>
  <si>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</si>
  <si>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</si>
  <si>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</si>
  <si>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</si>
  <si>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</si>
  <si>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</si>
  <si>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</si>
  <si>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</si>
  <si>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</si>
  <si>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</si>
  <si>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</si>
  <si>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</si>
  <si>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</si>
  <si>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</si>
  <si>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</si>
  <si>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</si>
  <si>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</si>
  <si>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</si>
  <si>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</si>
  <si>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</si>
  <si>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</si>
  <si>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</si>
  <si>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</si>
  <si>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</si>
  <si>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</si>
  <si>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</si>
  <si>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</si>
  <si>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</si>
  <si>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</si>
  <si>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</si>
  <si>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</si>
  <si>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</si>
  <si>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</si>
  <si>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</si>
  <si>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</si>
  <si>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</si>
  <si>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</si>
  <si>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</si>
  <si>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</si>
  <si>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</si>
  <si>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</si>
  <si>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</si>
  <si>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</si>
  <si>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</si>
  <si>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</si>
  <si>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</si>
  <si>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</si>
  <si>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</si>
  <si>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</si>
  <si>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</si>
  <si>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</si>
  <si>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</si>
  <si>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</si>
  <si>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</si>
  <si>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</si>
  <si>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</si>
  <si>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</si>
  <si>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</si>
  <si>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</si>
  <si>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</si>
  <si>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</si>
  <si>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</si>
  <si>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</si>
  <si>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</si>
  <si>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</si>
  <si>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</si>
  <si>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</si>
  <si>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</si>
  <si>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</si>
  <si>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</si>
  <si>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</si>
  <si>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</si>
  <si>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</si>
  <si>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</si>
  <si>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</si>
  <si>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</si>
  <si>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</si>
  <si>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</si>
  <si>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</si>
  <si>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</si>
  <si>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</si>
  <si>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</si>
  <si>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</si>
  <si>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</si>
  <si>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</si>
  <si>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</si>
  <si>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</si>
  <si>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</si>
  <si>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</si>
  <si>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</si>
  <si>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</si>
  <si>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</si>
  <si>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</si>
  <si>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</si>
  <si>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</si>
  <si>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</si>
  <si>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</si>
  <si>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</si>
  <si>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</si>
  <si>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</si>
  <si>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</si>
  <si>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</si>
  <si>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</si>
  <si>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</si>
  <si>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</si>
  <si>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</si>
  <si>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</si>
  <si>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</si>
  <si>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</si>
  <si>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</si>
  <si>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</si>
  <si>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</si>
  <si>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</si>
  <si>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</si>
  <si>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</si>
  <si>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</si>
  <si>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</si>
  <si>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</si>
  <si>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</si>
  <si>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</si>
  <si>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</si>
  <si>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</si>
  <si>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</si>
  <si>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</si>
  <si>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</si>
  <si>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</si>
  <si>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</si>
  <si>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</si>
  <si>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</si>
  <si>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</si>
  <si>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</si>
  <si>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</si>
  <si>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</si>
  <si>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</si>
  <si>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</si>
  <si>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</si>
  <si>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</si>
  <si>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</si>
  <si>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</si>
  <si>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</si>
  <si>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</si>
  <si>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</si>
  <si>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</si>
  <si>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</si>
  <si>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</si>
  <si>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</si>
  <si>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</si>
  <si>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</si>
  <si>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</si>
  <si>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</si>
  <si>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</si>
  <si>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</si>
  <si>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</si>
  <si>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</si>
  <si>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</si>
  <si>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</si>
  <si>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</si>
  <si>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</si>
  <si>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</si>
  <si>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</si>
  <si>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</si>
  <si>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</si>
  <si>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</si>
  <si>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</si>
  <si>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</si>
  <si>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</si>
  <si>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</si>
  <si>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</si>
  <si>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</si>
  <si>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</si>
  <si>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</si>
  <si>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</si>
  <si>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</si>
  <si>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</si>
  <si>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</si>
  <si>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</si>
  <si>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</si>
  <si>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</si>
  <si>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</si>
  <si>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</si>
  <si>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</si>
  <si>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</si>
  <si>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</si>
  <si>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</si>
  <si>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</si>
  <si>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</si>
  <si>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</si>
  <si>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</si>
  <si>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</si>
  <si>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</si>
  <si>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</si>
  <si>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</si>
  <si>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</si>
  <si>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</si>
  <si>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</si>
  <si>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</si>
  <si>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</si>
  <si>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</si>
  <si>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</si>
  <si>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</si>
  <si>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</si>
  <si>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</si>
  <si>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</si>
  <si>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</si>
  <si>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</si>
  <si>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</si>
  <si>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</si>
  <si>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</si>
  <si>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</si>
  <si>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</si>
  <si>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</si>
  <si>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</si>
  <si>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</si>
  <si>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</si>
  <si>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</si>
  <si>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</si>
  <si>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</si>
  <si>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</si>
  <si>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</si>
  <si>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</si>
  <si>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</si>
  <si>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</si>
  <si>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</si>
  <si>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</si>
  <si>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</si>
  <si>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</si>
  <si>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</si>
  <si>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</si>
  <si>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</si>
  <si>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</si>
  <si>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</si>
  <si>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</si>
  <si>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</si>
  <si>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</si>
  <si>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</si>
  <si>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</si>
  <si>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</si>
  <si>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</si>
  <si>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</si>
  <si>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</si>
  <si>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</si>
  <si>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</si>
  <si>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</si>
  <si>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</si>
  <si>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</si>
  <si>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</si>
  <si>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</si>
  <si>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</si>
  <si>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</si>
  <si>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</si>
  <si>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</si>
  <si>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</si>
  <si>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</si>
  <si>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</si>
  <si>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</si>
  <si>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</si>
  <si>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</si>
  <si>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</si>
  <si>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</si>
  <si>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</si>
  <si>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</si>
  <si>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</si>
  <si>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</si>
  <si>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</si>
  <si>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</si>
  <si>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</si>
  <si>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</si>
  <si>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</si>
  <si>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</si>
  <si>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</si>
  <si>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</si>
  <si>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</si>
  <si>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</si>
  <si>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</si>
  <si>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</si>
  <si>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</si>
  <si>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</si>
  <si>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</si>
  <si>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</si>
  <si>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</si>
  <si>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</si>
  <si>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</si>
  <si>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</si>
  <si>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</si>
  <si>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</si>
  <si>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</si>
  <si>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</si>
  <si>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</si>
  <si>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</si>
  <si>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</si>
  <si>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</si>
  <si>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</si>
  <si>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</si>
  <si>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</si>
  <si>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</si>
  <si>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</si>
  <si>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</si>
  <si>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</si>
  <si>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</si>
  <si>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</si>
  <si>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</si>
  <si>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</si>
  <si>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</si>
  <si>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</si>
  <si>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</si>
  <si>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</si>
  <si>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</si>
  <si>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</si>
  <si>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</si>
  <si>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</si>
  <si>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</si>
  <si>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</si>
  <si>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</si>
  <si>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</si>
  <si>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</si>
  <si>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</si>
  <si>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</si>
  <si>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</si>
  <si>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</si>
  <si>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</si>
  <si>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</si>
  <si>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</si>
  <si>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</si>
  <si>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</si>
  <si>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</si>
  <si>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</si>
  <si>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</si>
  <si>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</si>
  <si>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</si>
  <si>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</si>
  <si>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</si>
  <si>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</si>
  <si>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</si>
  <si>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</si>
  <si>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</si>
  <si>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</si>
  <si>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</si>
  <si>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</si>
  <si>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</si>
  <si>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</si>
  <si>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</si>
  <si>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</si>
  <si>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</si>
  <si>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</si>
  <si>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</si>
  <si>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</si>
  <si>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</si>
  <si>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</si>
  <si>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</si>
  <si>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</si>
  <si>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</si>
  <si>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</si>
  <si>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</si>
  <si>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</si>
  <si>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</si>
  <si>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</si>
  <si>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</si>
  <si>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</si>
  <si>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</si>
  <si>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</si>
  <si>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</si>
  <si>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</si>
  <si>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</si>
  <si>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</si>
  <si>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</si>
  <si>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</si>
  <si>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</si>
  <si>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</si>
  <si>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</si>
  <si>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</si>
  <si>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</si>
  <si>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</si>
  <si>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</si>
  <si>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</si>
  <si>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</si>
  <si>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</si>
  <si>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</si>
  <si>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</si>
  <si>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</si>
  <si>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</si>
  <si>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</si>
  <si>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</si>
  <si>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</si>
  <si>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</si>
  <si>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</si>
  <si>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</si>
  <si>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</si>
  <si>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</si>
  <si>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</si>
  <si>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</si>
  <si>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</si>
  <si>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</si>
  <si>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</si>
  <si>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</si>
  <si>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</si>
  <si>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</si>
  <si>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</si>
  <si>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</si>
  <si>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</si>
  <si>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</si>
  <si>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</si>
  <si>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</si>
  <si>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</si>
  <si>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</si>
  <si>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</si>
  <si>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</si>
  <si>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</si>
  <si>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</si>
  <si>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</si>
  <si>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</si>
  <si>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</si>
  <si>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</si>
  <si>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</si>
  <si>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</si>
  <si>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</si>
  <si>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</si>
  <si>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</si>
  <si>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</si>
  <si>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</si>
  <si>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</si>
  <si>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</si>
  <si>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</si>
  <si>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</si>
  <si>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</si>
  <si>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</si>
  <si>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</si>
  <si>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</si>
  <si>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</si>
  <si>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</si>
  <si>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</si>
  <si>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</si>
  <si>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</si>
  <si>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</si>
  <si>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</si>
  <si>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</si>
  <si>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</si>
  <si>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</si>
  <si>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</si>
  <si>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</si>
  <si>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</si>
  <si>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</si>
  <si>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</si>
  <si>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</si>
  <si>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</si>
  <si>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</si>
  <si>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</si>
  <si>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</si>
  <si>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</si>
  <si>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</si>
  <si>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</si>
  <si>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</si>
  <si>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</si>
  <si>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</si>
  <si>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</si>
  <si>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</si>
  <si>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</si>
  <si>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</si>
  <si>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</si>
  <si>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</si>
  <si>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</si>
  <si>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</si>
  <si>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</si>
  <si>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</si>
  <si>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</si>
  <si>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</si>
  <si>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</si>
  <si>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</si>
  <si>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</si>
  <si>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</si>
  <si>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</si>
  <si>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</si>
  <si>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</si>
  <si>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</si>
  <si>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</si>
  <si>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</si>
  <si>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</si>
  <si>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</si>
  <si>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</si>
  <si>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</si>
  <si>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</si>
  <si>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</si>
  <si>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</si>
  <si>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</si>
  <si>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</si>
  <si>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</si>
  <si>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</si>
  <si>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</si>
  <si>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</si>
  <si>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</si>
  <si>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</si>
  <si>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</si>
  <si>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</si>
  <si>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</si>
  <si>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</si>
  <si>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</si>
  <si>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</si>
  <si>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</si>
  <si>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</si>
  <si>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</si>
  <si>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</si>
  <si>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</si>
  <si>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</si>
  <si>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</si>
  <si>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</si>
  <si>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</si>
  <si>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</si>
  <si>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</si>
  <si>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</si>
  <si>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</si>
  <si>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</si>
  <si>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</si>
  <si>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</si>
  <si>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</si>
  <si>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</si>
  <si>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</si>
  <si>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</si>
  <si>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</si>
  <si>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</si>
  <si>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</si>
  <si>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</si>
  <si>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</si>
  <si>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</si>
  <si>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</si>
  <si>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</si>
  <si>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</si>
  <si>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</si>
  <si>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</si>
  <si>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</si>
  <si>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</si>
  <si>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</si>
  <si>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</si>
  <si>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</si>
  <si>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</si>
  <si>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</si>
  <si>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</si>
  <si>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</si>
  <si>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</si>
  <si>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</si>
  <si>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</si>
  <si>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</si>
  <si>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</si>
  <si>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</si>
  <si>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</si>
  <si>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</si>
  <si>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</si>
  <si>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</si>
  <si>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</si>
  <si>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</si>
  <si>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</si>
  <si>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</si>
  <si>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</si>
  <si>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</si>
  <si>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</si>
  <si>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</si>
  <si>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</si>
  <si>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</si>
  <si>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</si>
  <si>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</si>
  <si>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</si>
  <si>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</si>
  <si>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</si>
  <si>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</si>
  <si>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</si>
  <si>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</si>
  <si>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</si>
  <si>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</si>
  <si>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</si>
  <si>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</si>
  <si>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</si>
  <si>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</si>
  <si>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</si>
  <si>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</si>
  <si>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</si>
  <si>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</si>
  <si>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</si>
  <si>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</si>
  <si>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</si>
  <si>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</si>
  <si>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</si>
  <si>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</si>
  <si>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</si>
  <si>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</si>
  <si>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</si>
  <si>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</si>
  <si>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</si>
  <si>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</si>
  <si>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</si>
  <si>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</si>
  <si>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</si>
  <si>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</si>
  <si>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</si>
  <si>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</si>
  <si>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</si>
  <si>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</si>
  <si>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</si>
  <si>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</si>
  <si>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</si>
  <si>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</si>
  <si>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</si>
  <si>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</si>
  <si>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</si>
  <si>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</si>
  <si>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</si>
  <si>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</si>
  <si>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</si>
  <si>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</si>
  <si>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</si>
  <si>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</si>
  <si>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</si>
  <si>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</si>
  <si>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</si>
  <si>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</si>
  <si>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</si>
  <si>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</si>
  <si>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</si>
  <si>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</si>
  <si>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</si>
  <si>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</si>
  <si>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</si>
  <si>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</si>
  <si>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</si>
  <si>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</si>
  <si>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</si>
  <si>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</si>
  <si>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</si>
  <si>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</si>
  <si>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</si>
  <si>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</si>
  <si>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</si>
  <si>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</si>
  <si>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</si>
  <si>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</si>
  <si>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</si>
  <si>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</si>
  <si>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</si>
  <si>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</si>
  <si>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</si>
  <si>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</si>
  <si>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</si>
  <si>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</si>
  <si>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</si>
  <si>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</si>
  <si>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</si>
  <si>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</si>
  <si>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</si>
  <si>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</si>
  <si>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</si>
  <si>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</si>
  <si>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</si>
  <si>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</si>
  <si>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</si>
  <si>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</si>
  <si>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</si>
  <si>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</si>
  <si>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</si>
  <si>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</si>
  <si>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</si>
  <si>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</si>
  <si>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</si>
  <si>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</si>
  <si>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</si>
  <si>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</si>
  <si>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</si>
  <si>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</si>
  <si>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</si>
  <si>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</si>
  <si>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</si>
  <si>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</si>
  <si>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</si>
  <si>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</si>
  <si>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</si>
  <si>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</si>
  <si>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</si>
  <si>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</si>
  <si>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</si>
  <si>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</si>
  <si>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</si>
  <si>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</si>
  <si>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</si>
  <si>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</si>
  <si>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</si>
  <si>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</si>
  <si>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</si>
  <si>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</si>
  <si>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</si>
  <si>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</si>
  <si>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</si>
  <si>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</si>
  <si>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</si>
  <si>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</si>
  <si>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</si>
  <si>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</si>
  <si>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</si>
  <si>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</si>
  <si>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</si>
  <si>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</si>
  <si>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</si>
  <si>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</si>
  <si>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</si>
  <si>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</si>
  <si>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</si>
  <si>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</si>
  <si>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</si>
  <si>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</si>
  <si>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</si>
  <si>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</si>
  <si>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</si>
  <si>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</si>
  <si>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</si>
  <si>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</si>
  <si>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</si>
  <si>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</si>
  <si>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</si>
  <si>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</si>
  <si>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</si>
  <si>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</si>
  <si>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</si>
  <si>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</si>
  <si>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</si>
  <si>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</si>
  <si>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</si>
  <si>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</si>
  <si>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</si>
  <si>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</si>
  <si>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</si>
  <si>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</si>
  <si>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</si>
  <si>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</si>
  <si>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</si>
  <si>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</si>
  <si>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</si>
  <si>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</si>
  <si>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</si>
  <si>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</si>
  <si>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</si>
  <si>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</si>
  <si>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</si>
  <si>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</si>
  <si>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</si>
  <si>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</si>
  <si>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</si>
  <si>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</si>
  <si>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</si>
  <si>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</si>
  <si>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</si>
  <si>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</si>
  <si>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</si>
  <si>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</si>
  <si>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</si>
  <si>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</si>
  <si>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</si>
  <si>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</si>
  <si>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</si>
  <si>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</si>
  <si>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</si>
  <si>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</si>
  <si>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</si>
  <si>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</si>
  <si>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</si>
  <si>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</si>
  <si>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</si>
  <si>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</si>
  <si>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</si>
  <si>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</si>
  <si>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</si>
  <si>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</si>
  <si>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</si>
  <si>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</si>
  <si>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</si>
  <si>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</si>
  <si>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</si>
  <si>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</si>
  <si>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</si>
  <si>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</si>
  <si>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</si>
  <si>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</si>
  <si>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</si>
  <si>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</si>
  <si>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</si>
  <si>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</si>
  <si>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</si>
  <si>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</si>
  <si>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</si>
  <si>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</si>
  <si>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</si>
  <si>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</si>
  <si>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</si>
  <si>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</si>
  <si>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</si>
  <si>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</si>
  <si>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</si>
  <si>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</si>
  <si>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</si>
  <si>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</si>
  <si>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</si>
  <si>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</si>
  <si>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</si>
  <si>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</si>
  <si>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</si>
  <si>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</si>
  <si>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</si>
  <si>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</si>
  <si>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</si>
  <si>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</si>
  <si>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</si>
  <si>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</si>
  <si>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</si>
  <si>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</si>
  <si>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</si>
  <si>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</si>
  <si>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</si>
  <si>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</si>
  <si>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</si>
  <si>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</si>
  <si>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</si>
  <si>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</si>
  <si>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</si>
  <si>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</si>
  <si>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</si>
  <si>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</si>
  <si>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</si>
  <si>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</si>
  <si>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</si>
  <si>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</si>
  <si>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</si>
  <si>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</si>
  <si>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</si>
  <si>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</si>
  <si>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</si>
  <si>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</si>
  <si>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</si>
  <si>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</si>
  <si>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</si>
  <si>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</si>
  <si>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</si>
  <si>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</si>
  <si>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</si>
  <si>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</si>
  <si>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</si>
  <si>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</si>
  <si>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</si>
  <si>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</si>
  <si>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</si>
  <si>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</si>
  <si>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</si>
  <si>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</si>
  <si>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</si>
  <si>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</si>
  <si>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</si>
  <si>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</si>
  <si>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</si>
  <si>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</si>
  <si>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</si>
  <si>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</si>
  <si>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</si>
  <si>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</si>
  <si>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</si>
  <si>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</si>
  <si>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</si>
  <si>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</si>
  <si>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</si>
  <si>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</si>
  <si>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</si>
  <si>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</si>
  <si>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</si>
  <si>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</si>
  <si>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</si>
  <si>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</si>
  <si>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</si>
  <si>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</si>
  <si>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</si>
  <si>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</si>
  <si>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</si>
  <si>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</si>
  <si>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</si>
  <si>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</si>
  <si>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</si>
  <si>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</si>
  <si>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</si>
  <si>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</si>
  <si>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</si>
  <si>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</si>
  <si>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</si>
  <si>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</si>
  <si>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</si>
  <si>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</si>
  <si>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</si>
  <si>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</si>
  <si>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</si>
  <si>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</si>
  <si>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</si>
  <si>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</si>
  <si>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</si>
  <si>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</si>
  <si>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</si>
  <si>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</si>
  <si>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</si>
  <si>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</si>
  <si>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</si>
  <si>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</si>
  <si>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</si>
  <si>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</si>
  <si>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</si>
  <si>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</si>
  <si>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</si>
  <si>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</si>
  <si>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</si>
  <si>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</si>
  <si>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</si>
  <si>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</si>
  <si>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</si>
  <si>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</si>
  <si>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</si>
  <si>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</si>
  <si>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</si>
  <si>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</si>
  <si>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</si>
  <si>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</si>
  <si>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</si>
  <si>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</si>
  <si>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</si>
  <si>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</si>
  <si>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</si>
  <si>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</si>
  <si>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</si>
  <si>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</si>
  <si>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</si>
  <si>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</si>
  <si>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</si>
  <si>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</si>
  <si>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</si>
  <si>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</si>
  <si>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</si>
  <si>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</si>
  <si>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</si>
  <si>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</si>
  <si>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</si>
  <si>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</si>
  <si>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</si>
  <si>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</si>
  <si>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</si>
  <si>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</si>
  <si>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</si>
  <si>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</si>
  <si>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</si>
  <si>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</si>
  <si>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</si>
  <si>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</si>
  <si>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</si>
  <si>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</si>
  <si>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</si>
  <si>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</si>
  <si>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</si>
  <si>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</si>
  <si>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</si>
  <si>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</si>
  <si>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</si>
  <si>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</si>
  <si>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</si>
  <si>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</si>
  <si>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</si>
  <si>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</si>
  <si>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</si>
  <si>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</si>
  <si>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</si>
  <si>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</si>
  <si>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</si>
  <si>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</si>
  <si>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</si>
  <si>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</si>
  <si>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</si>
  <si>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</si>
  <si>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</si>
  <si>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</si>
  <si>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</si>
  <si>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</si>
  <si>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</si>
  <si>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</si>
  <si>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</si>
  <si>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</si>
  <si>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</si>
  <si>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</si>
  <si>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</si>
  <si>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</si>
  <si>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</si>
  <si>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</si>
  <si>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</si>
  <si>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</si>
  <si>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</si>
  <si>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</si>
  <si>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</si>
  <si>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</si>
  <si>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</si>
  <si>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</si>
  <si>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</si>
  <si>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</si>
  <si>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</si>
  <si>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</si>
  <si>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</si>
  <si>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</si>
  <si>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</si>
  <si>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</si>
  <si>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</si>
  <si>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</si>
  <si>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</si>
  <si>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</si>
  <si>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</si>
  <si>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</si>
  <si>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</si>
  <si>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</si>
  <si>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</si>
  <si>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</si>
  <si>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</si>
  <si>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</si>
  <si>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</si>
  <si>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</si>
  <si>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</si>
  <si>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</si>
  <si>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</si>
  <si>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</si>
  <si>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</si>
  <si>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</si>
  <si>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</si>
  <si>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</si>
  <si>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</si>
  <si>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</si>
  <si>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</si>
  <si>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</si>
  <si>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</si>
  <si>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</si>
  <si>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</si>
  <si>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</si>
  <si>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</si>
  <si>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</si>
  <si>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</si>
  <si>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</si>
  <si>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</si>
  <si>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</si>
  <si>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</si>
  <si>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</si>
  <si>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</si>
  <si>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</si>
  <si>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</si>
  <si>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</si>
  <si>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</si>
  <si>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</si>
  <si>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</si>
  <si>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</si>
  <si>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</si>
  <si>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</si>
  <si>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</si>
  <si>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</si>
  <si>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</si>
  <si>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</si>
  <si>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</si>
  <si>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</si>
  <si>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</si>
  <si>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</si>
  <si>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</si>
  <si>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</si>
  <si>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</si>
  <si>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</si>
  <si>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</si>
  <si>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</si>
  <si>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</si>
  <si>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</si>
  <si>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</si>
  <si>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</si>
  <si>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</si>
  <si>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</si>
  <si>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</si>
  <si>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</si>
  <si>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</si>
  <si>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</si>
  <si>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</si>
  <si>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</si>
  <si>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</si>
  <si>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</si>
  <si>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</si>
  <si>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</si>
  <si>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</si>
  <si>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</si>
  <si>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</si>
  <si>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</si>
  <si>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</si>
  <si>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</si>
  <si>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</si>
  <si>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</si>
  <si>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</si>
  <si>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</si>
  <si>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</si>
  <si>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</si>
  <si>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</si>
  <si>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</si>
  <si>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</si>
  <si>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</si>
  <si>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</si>
  <si>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</si>
  <si>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</si>
  <si>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</si>
  <si>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</si>
  <si>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</si>
  <si>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</si>
  <si>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</si>
  <si>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</si>
  <si>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</si>
  <si>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</si>
  <si>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</si>
  <si>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</si>
  <si>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</si>
  <si>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</si>
  <si>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</si>
  <si>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</si>
  <si>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</si>
  <si>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</si>
  <si>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</si>
  <si>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</si>
  <si>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</si>
  <si>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</si>
  <si>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</si>
  <si>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</si>
  <si>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</si>
  <si>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</si>
  <si>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</si>
  <si>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</si>
  <si>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</si>
  <si>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</si>
  <si>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</si>
  <si>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</si>
  <si>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</si>
  <si>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</si>
  <si>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</si>
  <si>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</si>
  <si>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</si>
  <si>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</si>
  <si>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</si>
  <si>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</si>
  <si>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</si>
  <si>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</si>
  <si>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</si>
  <si>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</si>
  <si>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</si>
  <si>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</si>
  <si>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</si>
  <si>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</si>
  <si>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</si>
  <si>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</si>
  <si>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</si>
  <si>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</si>
  <si>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</si>
  <si>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</si>
  <si>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</si>
  <si>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</si>
  <si>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</si>
  <si>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</si>
  <si>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</si>
  <si>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</si>
  <si>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</si>
  <si>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</si>
  <si>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</si>
  <si>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</si>
  <si>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</si>
  <si>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</si>
  <si>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</si>
  <si>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</si>
  <si>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</si>
  <si>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</si>
  <si>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</si>
  <si>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</si>
  <si>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</si>
  <si>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</si>
  <si>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</si>
  <si>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</si>
  <si>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</si>
  <si>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</si>
  <si>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</si>
  <si>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</si>
  <si>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</si>
  <si>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</si>
  <si>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</si>
  <si>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</si>
  <si>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</si>
  <si>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</si>
  <si>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</si>
  <si>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</si>
  <si>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</si>
  <si>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</si>
  <si>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</si>
  <si>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</si>
  <si>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</si>
  <si>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</si>
  <si>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</si>
  <si>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</si>
  <si>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</si>
  <si>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</si>
  <si>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</si>
  <si>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</si>
  <si>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</si>
  <si>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</si>
  <si>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</si>
  <si>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</si>
  <si>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</si>
  <si>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</si>
  <si>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</si>
  <si>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</si>
  <si>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</si>
  <si>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</si>
  <si>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</si>
  <si>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</si>
  <si>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</si>
  <si>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</si>
  <si>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</si>
  <si>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</si>
  <si>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</si>
  <si>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</si>
  <si>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</si>
  <si>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</si>
  <si>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</si>
  <si>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</si>
  <si>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</si>
  <si>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</si>
  <si>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</si>
  <si>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</si>
  <si>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</si>
  <si>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</si>
  <si>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</si>
  <si>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</si>
  <si>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</si>
  <si>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</si>
  <si>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</si>
  <si>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</si>
  <si>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</si>
  <si>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</si>
  <si>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</si>
  <si>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</si>
  <si>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</si>
  <si>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</si>
  <si>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</si>
  <si>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</si>
  <si>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</si>
  <si>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</si>
  <si>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</si>
  <si>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</si>
  <si>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</si>
  <si>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</si>
  <si>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</si>
  <si>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</si>
  <si>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</si>
  <si>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</si>
  <si>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</si>
  <si>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</si>
  <si>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</si>
  <si>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</si>
  <si>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</si>
  <si>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</si>
  <si>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</si>
  <si>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</si>
  <si>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</si>
  <si>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</si>
  <si>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</si>
  <si>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</si>
  <si>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</si>
  <si>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</si>
  <si>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</si>
  <si>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</si>
  <si>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</si>
  <si>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</si>
  <si>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</si>
  <si>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</si>
  <si>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</si>
  <si>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</si>
  <si>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</si>
  <si>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</si>
  <si>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</si>
  <si>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</si>
  <si>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</si>
  <si>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</si>
  <si>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</si>
  <si>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</si>
  <si>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</si>
  <si>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</si>
  <si>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</si>
  <si>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</si>
  <si>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</si>
  <si>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</si>
  <si>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</si>
  <si>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</si>
  <si>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</si>
  <si>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</si>
  <si>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</si>
  <si>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</si>
  <si>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</si>
  <si>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</si>
  <si>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</si>
  <si>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</si>
  <si>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</si>
  <si>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</si>
  <si>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</si>
  <si>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</si>
  <si>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</si>
  <si>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</si>
  <si>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</si>
  <si>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</si>
  <si>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</si>
  <si>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</si>
  <si>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</si>
  <si>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</si>
  <si>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</si>
  <si>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</si>
  <si>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</si>
  <si>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</si>
  <si>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</si>
  <si>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</si>
  <si>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</si>
  <si>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</si>
  <si>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</si>
  <si>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</si>
  <si>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</si>
  <si>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</si>
  <si>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</si>
  <si>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</si>
  <si>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</si>
  <si>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</si>
  <si>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</si>
  <si>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</si>
  <si>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</si>
  <si>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</si>
  <si>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</si>
  <si>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</si>
  <si>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</si>
  <si>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</si>
  <si>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</si>
  <si>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</si>
  <si>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</si>
  <si>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</si>
  <si>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</si>
  <si>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</si>
  <si>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</si>
  <si>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</si>
  <si>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</si>
  <si>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</si>
  <si>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</si>
  <si>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</si>
  <si>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</si>
  <si>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</si>
  <si>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</si>
  <si>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</si>
  <si>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</si>
  <si>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</si>
  <si>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</si>
  <si>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</si>
  <si>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</si>
  <si>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</si>
  <si>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</si>
  <si>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</si>
  <si>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</si>
  <si>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</si>
  <si>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</si>
  <si>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</si>
  <si>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</si>
  <si>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</si>
  <si>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</si>
  <si>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</si>
  <si>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</si>
  <si>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</si>
  <si>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</si>
  <si>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</si>
  <si>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</si>
  <si>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</si>
  <si>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</si>
  <si>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</si>
  <si>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</si>
  <si>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</si>
  <si>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</si>
  <si>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</si>
  <si>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</si>
  <si>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</si>
  <si>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</si>
  <si>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</si>
  <si>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</si>
  <si>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</si>
  <si>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</si>
  <si>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</si>
  <si>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</si>
  <si>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</si>
  <si>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</si>
  <si>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</si>
  <si>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</si>
  <si>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</si>
  <si>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</si>
  <si>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</si>
  <si>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</si>
  <si>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</si>
  <si>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</si>
  <si>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</si>
  <si>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</si>
  <si>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</si>
  <si>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</si>
  <si>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</si>
  <si>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</si>
  <si>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</si>
  <si>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</si>
  <si>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</si>
  <si>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</si>
  <si>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</si>
  <si>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</si>
  <si>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</si>
  <si>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</si>
  <si>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</si>
  <si>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</si>
  <si>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</si>
  <si>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</si>
  <si>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</si>
  <si>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</si>
  <si>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</si>
  <si>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</si>
  <si>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</si>
  <si>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</si>
  <si>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</si>
  <si>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</si>
  <si>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</si>
  <si>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</si>
  <si>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</si>
  <si>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</si>
  <si>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</si>
  <si>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</si>
  <si>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</si>
  <si>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</si>
  <si>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</si>
  <si>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</si>
  <si>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</si>
  <si>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</si>
  <si>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</si>
  <si>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</si>
  <si>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</si>
  <si>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</si>
  <si>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</si>
  <si>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</si>
  <si>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</si>
  <si>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</si>
  <si>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</si>
  <si>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</si>
  <si>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</si>
  <si>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</si>
  <si>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</si>
  <si>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</si>
  <si>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</si>
  <si>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</si>
  <si>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</si>
  <si>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</si>
  <si>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</si>
  <si>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</si>
  <si>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</si>
  <si>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</si>
  <si>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</si>
  <si>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</si>
  <si>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</si>
  <si>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</si>
  <si>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</si>
  <si>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</si>
  <si>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</si>
  <si>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</si>
  <si>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</si>
  <si>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</si>
  <si>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</si>
  <si>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</si>
  <si>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</si>
  <si>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</si>
  <si>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</si>
  <si>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</si>
  <si>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</si>
  <si>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</si>
  <si>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</si>
  <si>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</si>
  <si>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</si>
  <si>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</si>
  <si>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</si>
  <si>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</si>
  <si>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</si>
  <si>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</si>
  <si>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</si>
  <si>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</si>
  <si>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</si>
  <si>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</si>
  <si>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</si>
  <si>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</si>
  <si>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</si>
  <si>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</si>
  <si>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</si>
  <si>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</si>
  <si>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</si>
  <si>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</si>
  <si>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</si>
  <si>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</si>
  <si>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</si>
  <si>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</si>
  <si>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</si>
  <si>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</si>
  <si>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</si>
  <si>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</si>
  <si>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</si>
  <si>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</si>
  <si>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</si>
  <si>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</si>
  <si>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</si>
  <si>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</si>
  <si>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</si>
  <si>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</si>
  <si>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</si>
  <si>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</si>
  <si>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</si>
  <si>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</si>
  <si>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</si>
  <si>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</si>
  <si>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</si>
  <si>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</si>
  <si>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</si>
  <si>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</si>
  <si>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</si>
  <si>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</si>
  <si>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</si>
  <si>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</si>
  <si>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</si>
  <si>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</si>
  <si>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</si>
  <si>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</si>
  <si>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</si>
  <si>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</si>
  <si>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</si>
  <si>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</si>
  <si>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</si>
  <si>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</si>
  <si>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</si>
  <si>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</si>
  <si>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</si>
  <si>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</si>
  <si>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</si>
  <si>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</si>
  <si>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</si>
  <si>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</si>
  <si>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</si>
  <si>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</si>
  <si>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</si>
  <si>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</si>
  <si>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</si>
  <si>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</si>
  <si>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</si>
  <si>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</si>
  <si>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</si>
  <si>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</si>
  <si>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</si>
  <si>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</si>
  <si>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</si>
  <si>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</si>
  <si>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</si>
  <si>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</si>
  <si>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</si>
  <si>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</si>
  <si>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</si>
  <si>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</si>
  <si>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</si>
  <si>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</si>
  <si>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</si>
  <si>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</si>
  <si>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</si>
  <si>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</si>
  <si>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</si>
  <si>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</si>
  <si>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</si>
  <si>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</si>
  <si>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</si>
  <si>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</si>
  <si>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</si>
  <si>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</si>
  <si>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</si>
  <si>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</si>
  <si>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</si>
  <si>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</si>
  <si>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</si>
  <si>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</si>
  <si>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</si>
  <si>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</si>
  <si>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</si>
  <si>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</si>
  <si>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</si>
  <si>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</si>
  <si>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</si>
  <si>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</si>
  <si>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</si>
  <si>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</si>
  <si>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</si>
  <si>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</si>
  <si>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</si>
  <si>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</si>
  <si>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</si>
  <si>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</si>
  <si>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</si>
  <si>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</si>
  <si>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</si>
  <si>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</si>
  <si>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</si>
  <si>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</si>
  <si>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</si>
  <si>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</si>
  <si>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</si>
  <si>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</si>
  <si>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</si>
  <si>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</si>
  <si>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</si>
  <si>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</si>
  <si>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</si>
  <si>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</si>
  <si>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</si>
  <si>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</si>
  <si>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</si>
  <si>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</si>
  <si>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</si>
  <si>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</si>
  <si>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</si>
  <si>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</si>
  <si>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</si>
  <si>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</si>
  <si>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</si>
  <si>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</si>
  <si>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</si>
  <si>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</si>
  <si>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</si>
  <si>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</si>
  <si>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</si>
  <si>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</si>
  <si>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</si>
  <si>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</si>
  <si>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</si>
  <si>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</si>
  <si>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</si>
  <si>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</si>
  <si>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</si>
  <si>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</si>
  <si>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</si>
  <si>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</si>
  <si>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</si>
  <si>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</si>
  <si>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</si>
  <si>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</si>
  <si>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</si>
  <si>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</si>
  <si>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</si>
  <si>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</si>
  <si>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</si>
  <si>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</si>
  <si>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</si>
  <si>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</si>
  <si>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</si>
  <si>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</si>
  <si>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</si>
  <si>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</si>
  <si>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</si>
  <si>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</si>
  <si>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</si>
  <si>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</si>
  <si>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</si>
  <si>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</si>
  <si>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</si>
  <si>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</si>
  <si>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</si>
  <si>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</si>
  <si>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</si>
  <si>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</si>
  <si>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</si>
  <si>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</si>
  <si>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</si>
  <si>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</si>
  <si>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</si>
  <si>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</si>
  <si>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</si>
  <si>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</si>
  <si>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</si>
  <si>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</si>
  <si>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</si>
  <si>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</si>
  <si>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</si>
  <si>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</si>
  <si>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</si>
  <si>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</si>
  <si>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</si>
  <si>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</si>
  <si>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</si>
  <si>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</si>
  <si>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</si>
  <si>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</si>
  <si>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</si>
  <si>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</si>
  <si>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</si>
  <si>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</si>
  <si>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</si>
  <si>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</si>
  <si>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</si>
  <si>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</si>
  <si>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</si>
  <si>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</si>
  <si>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</si>
  <si>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</si>
  <si>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</si>
  <si>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</si>
  <si>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</si>
  <si>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</si>
  <si>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</si>
  <si>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</si>
  <si>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</si>
  <si>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</si>
  <si>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</si>
  <si>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</si>
  <si>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</si>
  <si>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</si>
  <si>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</si>
  <si>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</si>
  <si>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</si>
  <si>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</si>
  <si>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</si>
  <si>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</si>
  <si>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</si>
  <si>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</si>
  <si>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</si>
  <si>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</si>
  <si>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</si>
  <si>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</si>
  <si>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</si>
  <si>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</si>
  <si>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</si>
  <si>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</si>
  <si>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</si>
  <si>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</si>
  <si>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</si>
  <si>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</si>
  <si>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</si>
  <si>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</si>
  <si>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</si>
  <si>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</si>
  <si>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</si>
  <si>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</si>
  <si>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</si>
  <si>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</si>
  <si>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</si>
  <si>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</si>
  <si>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</si>
  <si>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</si>
  <si>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</si>
  <si>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</si>
  <si>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</si>
  <si>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</si>
  <si>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</si>
  <si>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</si>
  <si>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</si>
  <si>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</si>
  <si>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</si>
  <si>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</si>
  <si>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</si>
  <si>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</si>
  <si>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</si>
  <si>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</si>
  <si>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</si>
  <si>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</si>
  <si>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</si>
  <si>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</si>
  <si>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</si>
  <si>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</si>
  <si>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</si>
  <si>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</si>
  <si>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</si>
  <si>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</si>
  <si>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</si>
  <si>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</si>
  <si>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</si>
  <si>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</si>
  <si>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</si>
  <si>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</si>
  <si>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</si>
  <si>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</si>
  <si>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</si>
  <si>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</si>
  <si>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</si>
  <si>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</si>
  <si>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</si>
  <si>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</si>
  <si>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</si>
  <si>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</si>
  <si>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</si>
  <si>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</si>
  <si>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</si>
  <si>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</si>
  <si>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</si>
  <si>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</si>
  <si>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</si>
  <si>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</si>
  <si>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</si>
  <si>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</si>
  <si>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</si>
  <si>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</si>
  <si>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</si>
  <si>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</si>
  <si>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</si>
  <si>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</si>
  <si>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</si>
  <si>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</si>
  <si>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</si>
  <si>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</si>
  <si>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</si>
  <si>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</si>
  <si>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</si>
  <si>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</si>
  <si>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</si>
  <si>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</si>
  <si>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</si>
  <si>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</si>
  <si>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</si>
  <si>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</si>
  <si>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</si>
  <si>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</si>
  <si>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</si>
  <si>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</si>
  <si>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</si>
  <si>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</si>
  <si>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</si>
  <si>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</si>
  <si>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</si>
  <si>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</si>
  <si>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</si>
  <si>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</si>
  <si>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</si>
  <si>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</si>
  <si>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</si>
  <si>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</si>
  <si>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</si>
  <si>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</si>
  <si>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</si>
  <si>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</si>
  <si>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</si>
  <si>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</si>
  <si>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</si>
  <si>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</si>
  <si>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</si>
  <si>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</si>
  <si>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</si>
  <si>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</si>
  <si>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</si>
  <si>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</si>
  <si>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</si>
  <si>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</si>
  <si>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</si>
  <si>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</si>
  <si>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</si>
  <si>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</si>
  <si>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</si>
  <si>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</si>
  <si>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</si>
  <si>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</si>
  <si>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</si>
  <si>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</si>
  <si>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</si>
  <si>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</si>
  <si>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</si>
  <si>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</si>
  <si>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</si>
  <si>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</si>
  <si>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</si>
  <si>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</si>
  <si>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</si>
  <si>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</si>
  <si>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</si>
  <si>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</si>
  <si>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</si>
  <si>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</si>
  <si>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</si>
  <si>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</si>
  <si>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</si>
  <si>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</si>
  <si>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</si>
  <si>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</si>
  <si>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</si>
  <si>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</si>
  <si>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</si>
  <si>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</si>
  <si>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</si>
  <si>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</si>
  <si>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</si>
  <si>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</si>
  <si>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</si>
  <si>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</si>
  <si>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</si>
  <si>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</si>
  <si>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</si>
  <si>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</si>
  <si>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</si>
  <si>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</si>
  <si>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</si>
  <si>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</si>
  <si>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</si>
  <si>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</si>
  <si>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</si>
  <si>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</si>
  <si>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</si>
  <si>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</si>
  <si>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</si>
  <si>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</si>
  <si>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</si>
  <si>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</si>
  <si>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</si>
  <si>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</si>
  <si>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</si>
  <si>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</si>
  <si>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</si>
  <si>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</si>
  <si>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</si>
  <si>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</si>
  <si>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</si>
  <si>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</si>
  <si>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</si>
  <si>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</si>
  <si>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</si>
  <si>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</si>
  <si>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</si>
  <si>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</si>
  <si>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</si>
  <si>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</si>
  <si>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</si>
  <si>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</si>
  <si>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</si>
  <si>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</si>
  <si>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</si>
  <si>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</si>
  <si>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</si>
  <si>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</si>
  <si>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</si>
  <si>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</si>
  <si>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</si>
  <si>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</si>
  <si>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</si>
  <si>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</si>
  <si>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</si>
  <si>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</si>
  <si>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</si>
  <si>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</si>
  <si>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</si>
  <si>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</si>
  <si>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</si>
  <si>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</si>
  <si>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</si>
  <si>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</si>
  <si>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</si>
  <si>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</si>
  <si>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</si>
  <si>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</si>
  <si>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</si>
  <si>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</si>
  <si>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</si>
  <si>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</si>
  <si>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</si>
  <si>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</si>
  <si>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</si>
  <si>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</si>
  <si>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</si>
  <si>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</si>
  <si>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</si>
  <si>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</si>
  <si>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</si>
  <si>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</si>
  <si>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</si>
  <si>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</si>
  <si>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</si>
  <si>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</si>
  <si>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</si>
  <si>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</si>
  <si>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</si>
  <si>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</si>
  <si>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</si>
  <si>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</si>
  <si>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</si>
  <si>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</si>
  <si>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</si>
  <si>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</si>
  <si>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</si>
  <si>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</si>
  <si>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</si>
  <si>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</si>
  <si>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</si>
  <si>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</si>
  <si>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</si>
  <si>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</si>
  <si>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</si>
  <si>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</si>
  <si>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</si>
  <si>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</si>
  <si>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</si>
  <si>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</si>
  <si>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</si>
  <si>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</si>
  <si>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</si>
  <si>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</si>
  <si>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</si>
  <si>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</si>
  <si>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</si>
  <si>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</si>
  <si>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</si>
  <si>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</si>
  <si>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</si>
  <si>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</si>
  <si>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</si>
  <si>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</si>
  <si>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</si>
  <si>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</si>
  <si>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</si>
  <si>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</si>
  <si>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</si>
  <si>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</si>
  <si>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</si>
  <si>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</si>
  <si>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</si>
  <si>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</si>
  <si>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</si>
  <si>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</si>
  <si>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</si>
  <si>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</si>
  <si>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</si>
  <si>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</si>
  <si>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</si>
  <si>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</si>
  <si>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</si>
  <si>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</si>
  <si>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</si>
  <si>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</si>
  <si>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</si>
  <si>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</si>
  <si>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</si>
  <si>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</si>
  <si>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</si>
  <si>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</si>
  <si>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</si>
  <si>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</si>
  <si>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</si>
  <si>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</si>
  <si>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</si>
  <si>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</si>
  <si>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</si>
  <si>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</si>
  <si>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</si>
  <si>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</si>
  <si>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</si>
  <si>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</si>
  <si>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</si>
  <si>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</si>
  <si>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</si>
  <si>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</si>
  <si>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</si>
  <si>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</si>
  <si>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</si>
  <si>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</si>
  <si>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</si>
  <si>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</si>
  <si>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</si>
  <si>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</si>
  <si>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</si>
  <si>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</si>
  <si>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</si>
  <si>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</si>
  <si>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</si>
  <si>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</si>
  <si>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</si>
  <si>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</si>
  <si>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</si>
  <si>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</si>
  <si>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</si>
  <si>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</si>
  <si>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</si>
  <si>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</si>
  <si>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</si>
  <si>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</si>
  <si>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</si>
  <si>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</si>
  <si>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</si>
  <si>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</si>
  <si>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</si>
  <si>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</si>
  <si>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</si>
  <si>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</si>
  <si>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</si>
  <si>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</si>
  <si>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</si>
  <si>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</si>
  <si>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</si>
  <si>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</si>
  <si>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</si>
  <si>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</si>
  <si>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</si>
  <si>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</si>
  <si>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</si>
  <si>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</si>
  <si>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</si>
  <si>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</si>
  <si>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</si>
  <si>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</si>
  <si>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</si>
  <si>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</si>
  <si>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</si>
  <si>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</si>
  <si>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</si>
  <si>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</si>
  <si>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</si>
  <si>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</si>
  <si>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</si>
  <si>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</si>
  <si>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</si>
  <si>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</si>
  <si>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</si>
  <si>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</si>
  <si>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</si>
  <si>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</si>
  <si>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</si>
  <si>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</si>
  <si>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</si>
  <si>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</si>
  <si>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</si>
  <si>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</si>
  <si>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</si>
  <si>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</si>
  <si>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</si>
  <si>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</si>
  <si>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</si>
  <si>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</si>
  <si>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</si>
  <si>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</si>
  <si>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</si>
  <si>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</si>
  <si>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</si>
  <si>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</si>
  <si>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</si>
  <si>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</si>
  <si>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</si>
  <si>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</si>
  <si>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</si>
  <si>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</si>
  <si>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</si>
  <si>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</si>
  <si>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</si>
  <si>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</si>
  <si>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</si>
  <si>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</si>
  <si>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</si>
  <si>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</si>
  <si>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</si>
  <si>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</si>
  <si>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</si>
  <si>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</si>
  <si>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</si>
  <si>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</si>
  <si>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</si>
  <si>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</si>
  <si>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</si>
  <si>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</si>
  <si>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</si>
  <si>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</si>
  <si>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</si>
  <si>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</si>
  <si>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</si>
  <si>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</si>
  <si>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</si>
  <si>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</si>
  <si>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</si>
  <si>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</si>
  <si>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</si>
  <si>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</si>
  <si>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</si>
  <si>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</si>
  <si>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</si>
  <si>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</si>
  <si>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</si>
  <si>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</si>
  <si>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</si>
  <si>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</si>
  <si>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</si>
  <si>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</si>
  <si>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</si>
  <si>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</si>
  <si>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</si>
  <si>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</si>
  <si>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</si>
  <si>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</si>
  <si>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</si>
  <si>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</si>
  <si>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</si>
  <si>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</si>
  <si>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</si>
  <si>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</si>
  <si>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</si>
  <si>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</si>
  <si>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</si>
  <si>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</si>
  <si>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</si>
  <si>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</si>
  <si>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</si>
  <si>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</si>
  <si>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</si>
  <si>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</si>
  <si>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</si>
  <si>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</si>
  <si>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</si>
  <si>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</si>
  <si>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</si>
  <si>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</si>
  <si>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</si>
  <si>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</si>
  <si>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</si>
  <si>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</si>
  <si>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</si>
  <si>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</si>
  <si>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</si>
  <si>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</si>
  <si>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</si>
  <si>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</si>
  <si>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</si>
  <si>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</si>
  <si>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</si>
  <si>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</si>
  <si>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</si>
  <si>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</si>
  <si>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</si>
  <si>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</si>
  <si>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</si>
  <si>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</si>
  <si>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</si>
  <si>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</si>
  <si>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</si>
  <si>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</si>
  <si>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</si>
  <si>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</si>
  <si>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</si>
  <si>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</si>
  <si>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</si>
  <si>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</si>
  <si>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</si>
  <si>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</si>
  <si>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</si>
  <si>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</si>
  <si>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</si>
  <si>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</si>
  <si>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</si>
  <si>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</si>
  <si>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</si>
  <si>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</si>
  <si>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</si>
  <si>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</si>
  <si>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</si>
  <si>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</si>
  <si>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</si>
  <si>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</si>
  <si>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</si>
  <si>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</si>
  <si>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</si>
  <si>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</si>
  <si>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</si>
  <si>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</si>
  <si>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</si>
  <si>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</si>
  <si>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</si>
  <si>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</si>
  <si>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</si>
  <si>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</si>
  <si>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</si>
  <si>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</si>
  <si>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</si>
  <si>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</si>
  <si>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</si>
  <si>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</si>
  <si>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</si>
  <si>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</si>
  <si>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</si>
  <si>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</si>
  <si>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</si>
  <si>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</si>
  <si>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</si>
  <si>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</si>
  <si>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</si>
  <si>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</si>
  <si>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</si>
  <si>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</si>
  <si>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</si>
  <si>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</si>
  <si>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</si>
  <si>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</si>
  <si>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</si>
  <si>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</si>
  <si>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</si>
  <si>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</si>
  <si>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</si>
  <si>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</si>
  <si>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</si>
  <si>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</si>
  <si>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</si>
  <si>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</si>
  <si>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</si>
  <si>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</si>
  <si>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</si>
  <si>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</si>
  <si>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</si>
  <si>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</si>
  <si>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</si>
  <si>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</si>
  <si>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</si>
  <si>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</si>
  <si>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</si>
  <si>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</si>
  <si>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</si>
  <si>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</si>
  <si>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</si>
  <si>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</si>
  <si>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</si>
  <si>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</si>
  <si>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</si>
  <si>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</si>
  <si>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</si>
  <si>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</si>
  <si>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</si>
  <si>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</si>
  <si>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</si>
  <si>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</si>
  <si>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</si>
  <si>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</si>
  <si>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</si>
  <si>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</si>
  <si>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</si>
  <si>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</si>
  <si>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</si>
  <si>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</si>
  <si>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</si>
  <si>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</si>
  <si>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</si>
  <si>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</si>
  <si>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</si>
  <si>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</si>
  <si>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</si>
  <si>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</si>
  <si>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</si>
  <si>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</si>
  <si>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</si>
  <si>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</si>
  <si>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</si>
  <si>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</si>
  <si>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</si>
  <si>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</si>
  <si>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</si>
  <si>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</si>
  <si>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</si>
  <si>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</si>
  <si>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</si>
  <si>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</si>
  <si>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</si>
  <si>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</si>
  <si>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</si>
  <si>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</si>
  <si>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</si>
  <si>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</si>
  <si>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</si>
  <si>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</si>
  <si>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</si>
  <si>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</si>
  <si>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</si>
  <si>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</si>
  <si>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</si>
  <si>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</si>
  <si>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</si>
  <si>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</si>
  <si>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</si>
  <si>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</si>
  <si>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</si>
  <si>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</si>
  <si>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</si>
  <si>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</si>
  <si>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</si>
  <si>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</si>
  <si>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</si>
  <si>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</si>
  <si>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</si>
  <si>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</si>
  <si>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</si>
  <si>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</si>
  <si>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</si>
  <si>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</si>
  <si>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</si>
  <si>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</si>
  <si>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</si>
  <si>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</si>
  <si>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</si>
  <si>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</si>
  <si>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</si>
  <si>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</si>
  <si>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</si>
  <si>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</si>
  <si>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</si>
  <si>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</si>
  <si>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</si>
  <si>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</si>
  <si>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</si>
  <si>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</si>
  <si>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</si>
  <si>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</si>
  <si>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</si>
  <si>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</si>
  <si>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</si>
  <si>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</si>
  <si>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</si>
  <si>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</si>
  <si>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</si>
  <si>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</si>
  <si>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</si>
  <si>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</si>
  <si>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</si>
  <si>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</si>
  <si>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</si>
  <si>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</si>
  <si>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</si>
  <si>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</si>
  <si>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</si>
  <si>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</si>
  <si>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</si>
  <si>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</si>
  <si>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</si>
  <si>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</si>
  <si>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</si>
  <si>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</si>
  <si>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</si>
  <si>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</si>
  <si>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</si>
  <si>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</si>
  <si>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</si>
  <si>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</si>
  <si>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</si>
  <si>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</si>
  <si>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</si>
  <si>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</si>
  <si>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</si>
  <si>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</si>
  <si>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</si>
  <si>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</si>
  <si>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</si>
  <si>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</si>
  <si>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</si>
  <si>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</si>
  <si>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</si>
  <si>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</si>
  <si>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</si>
  <si>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</si>
  <si>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</si>
  <si>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</si>
  <si>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</si>
  <si>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</si>
  <si>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</si>
  <si>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</si>
  <si>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</si>
  <si>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</si>
  <si>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</si>
  <si>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</si>
  <si>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</si>
  <si>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</si>
  <si>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</si>
  <si>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</si>
  <si>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</si>
  <si>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</si>
  <si>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</si>
  <si>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</si>
  <si>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</si>
  <si>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</si>
  <si>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</si>
  <si>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</si>
  <si>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</si>
  <si>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</si>
  <si>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</si>
  <si>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</si>
  <si>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</si>
  <si>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</si>
  <si>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</si>
  <si>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</si>
  <si>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</si>
  <si>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</si>
  <si>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</si>
  <si>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</si>
  <si>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</si>
  <si>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</si>
  <si>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</si>
  <si>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</si>
  <si>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</si>
  <si>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</si>
  <si>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</si>
  <si>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</si>
  <si>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</si>
  <si>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</si>
  <si>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</si>
  <si>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</si>
  <si>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</si>
  <si>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</si>
  <si>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</si>
  <si>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</si>
  <si>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</si>
  <si>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</si>
  <si>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</si>
  <si>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</si>
  <si>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</si>
  <si>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</si>
  <si>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</si>
  <si>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</si>
  <si>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</si>
  <si>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</si>
  <si>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</si>
  <si>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</si>
  <si>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</si>
  <si>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</si>
  <si>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</si>
  <si>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</si>
  <si>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</si>
  <si>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</si>
  <si>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</si>
  <si>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</si>
  <si>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</si>
  <si>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</si>
  <si>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</si>
  <si>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</si>
  <si>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</si>
  <si>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</si>
  <si>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</si>
  <si>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</si>
  <si>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</si>
  <si>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</si>
  <si>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</si>
  <si>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</si>
  <si>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</si>
  <si>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</si>
  <si>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</si>
  <si>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</si>
  <si>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</si>
  <si>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</si>
  <si>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</si>
  <si>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</si>
  <si>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</si>
  <si>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</si>
  <si>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</si>
  <si>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</si>
  <si>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</si>
  <si>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</si>
  <si>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</si>
  <si>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</si>
  <si>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</si>
  <si>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</si>
  <si>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</si>
  <si>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</si>
  <si>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</si>
  <si>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</si>
  <si>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</si>
  <si>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</si>
  <si>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</si>
  <si>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</si>
  <si>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</si>
  <si>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</si>
  <si>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</si>
  <si>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</si>
  <si>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</si>
  <si>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</si>
  <si>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</si>
  <si>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</si>
  <si>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</si>
  <si>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</si>
  <si>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</si>
  <si>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</si>
  <si>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</si>
  <si>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</si>
  <si>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</si>
  <si>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</si>
  <si>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</si>
  <si>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</si>
  <si>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</si>
  <si>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</si>
  <si>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</si>
  <si>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</si>
  <si>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</si>
  <si>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</si>
  <si>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</si>
  <si>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</si>
  <si>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</si>
  <si>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</si>
  <si>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</si>
  <si>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</si>
  <si>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</si>
  <si>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</si>
  <si>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</si>
  <si>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</si>
  <si>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</si>
  <si>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</si>
  <si>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</si>
  <si>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</si>
  <si>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</si>
  <si>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</si>
  <si>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</si>
  <si>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</si>
  <si>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</si>
  <si>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</si>
  <si>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</si>
  <si>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</si>
  <si>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</si>
  <si>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</si>
  <si>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</si>
  <si>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</si>
  <si>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</si>
  <si>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</si>
  <si>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</si>
  <si>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</si>
  <si>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</si>
  <si>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</si>
  <si>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</si>
  <si>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</si>
  <si>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</si>
  <si>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</si>
  <si>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</si>
  <si>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</si>
  <si>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</si>
  <si>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</si>
  <si>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</si>
  <si>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</si>
  <si>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</si>
  <si>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</si>
  <si>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</si>
  <si>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</si>
  <si>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</si>
  <si>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</si>
  <si>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</si>
  <si>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</si>
  <si>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</si>
  <si>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</si>
  <si>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</si>
  <si>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</si>
  <si>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</si>
  <si>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</si>
  <si>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</si>
  <si>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</si>
  <si>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</si>
  <si>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</si>
  <si>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</si>
  <si>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</si>
  <si>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</si>
  <si>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</si>
  <si>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</si>
  <si>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</si>
  <si>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</si>
  <si>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</si>
  <si>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</si>
  <si>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</si>
  <si>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</si>
  <si>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</si>
  <si>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</si>
  <si>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</si>
  <si>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</si>
  <si>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</si>
  <si>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</si>
  <si>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</si>
  <si>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</si>
  <si>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</si>
  <si>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</si>
  <si>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</si>
  <si>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</si>
  <si>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</si>
  <si>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</si>
  <si>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</si>
  <si>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</si>
  <si>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</si>
  <si>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</si>
  <si>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</si>
  <si>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</si>
  <si>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</si>
  <si>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</si>
  <si>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</si>
  <si>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</si>
  <si>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</si>
  <si>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</si>
  <si>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</si>
  <si>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</si>
  <si>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</si>
  <si>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</si>
  <si>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</si>
  <si>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</si>
  <si>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</si>
  <si>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</si>
  <si>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</si>
  <si>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</si>
  <si>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</si>
  <si>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</si>
  <si>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</si>
  <si>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</si>
  <si>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</si>
  <si>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</si>
  <si>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</si>
  <si>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</si>
  <si>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</si>
  <si>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</si>
  <si>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</si>
  <si>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</si>
  <si>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</si>
  <si>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</si>
  <si>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</si>
  <si>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</si>
  <si>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</si>
  <si>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</si>
  <si>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</si>
  <si>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</si>
  <si>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</si>
  <si>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</si>
  <si>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</si>
  <si>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</si>
  <si>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</si>
  <si>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</si>
  <si>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</si>
  <si>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</si>
  <si>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</si>
  <si>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</si>
  <si>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</si>
  <si>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</si>
  <si>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</si>
  <si>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</si>
  <si>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</si>
  <si>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</si>
  <si>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</si>
  <si>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</si>
  <si>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</si>
  <si>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</si>
  <si>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</si>
  <si>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</si>
  <si>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</si>
  <si>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</si>
  <si>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</si>
  <si>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</si>
  <si>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</si>
  <si>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</si>
  <si>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</si>
  <si>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</si>
  <si>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</si>
  <si>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</si>
  <si>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</si>
  <si>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</si>
  <si>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</si>
  <si>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</si>
  <si>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</si>
  <si>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</si>
  <si>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</si>
  <si>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</si>
  <si>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</si>
  <si>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</si>
  <si>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</si>
  <si>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</si>
  <si>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</si>
  <si>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</si>
  <si>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</si>
  <si>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</si>
  <si>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</si>
  <si>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</si>
  <si>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</si>
  <si>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</si>
  <si>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</si>
  <si>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</si>
  <si>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</si>
  <si>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</si>
  <si>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</si>
  <si>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</si>
  <si>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</si>
  <si>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</si>
  <si>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</si>
  <si>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</si>
  <si>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</si>
  <si>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</si>
  <si>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</si>
  <si>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</si>
  <si>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</si>
  <si>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</si>
  <si>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</si>
  <si>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</si>
  <si>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</si>
  <si>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</si>
  <si>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</si>
  <si>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</si>
  <si>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</si>
  <si>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</si>
  <si>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</si>
  <si>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</si>
  <si>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</si>
  <si>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</si>
  <si>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</si>
  <si>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</si>
  <si>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</si>
  <si>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</si>
  <si>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</si>
  <si>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</si>
  <si>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</si>
  <si>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</si>
  <si>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</si>
  <si>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</si>
  <si>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</si>
  <si>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</si>
  <si>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</si>
  <si>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</si>
  <si>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</si>
  <si>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</si>
  <si>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</si>
  <si>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</si>
  <si>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</si>
  <si>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</si>
  <si>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</si>
  <si>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</si>
  <si>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</si>
  <si>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</si>
  <si>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</si>
  <si>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</si>
  <si>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</si>
  <si>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</si>
  <si>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</si>
  <si>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</si>
  <si>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</si>
  <si>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</si>
  <si>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</si>
  <si>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</si>
  <si>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</si>
  <si>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</si>
  <si>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</si>
  <si>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</si>
  <si>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</si>
  <si>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</si>
  <si>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</si>
  <si>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</si>
  <si>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</si>
  <si>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</si>
  <si>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</si>
  <si>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</si>
  <si>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</si>
  <si>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</si>
  <si>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</si>
  <si>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</si>
  <si>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</si>
  <si>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</si>
  <si>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</si>
  <si>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</si>
  <si>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</si>
  <si>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</si>
  <si>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</si>
  <si>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</si>
  <si>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ST_nuevo</t>
  </si>
  <si>
    <t>Gender_nuevo</t>
  </si>
  <si>
    <t>Education_nuevo</t>
  </si>
  <si>
    <t>Número de puertas</t>
  </si>
  <si>
    <t>Duración de las garantias en Años</t>
  </si>
  <si>
    <t>Suma_Income</t>
  </si>
  <si>
    <t>AVG_Income</t>
  </si>
  <si>
    <t>COUNT_Income</t>
  </si>
  <si>
    <t>COUNTIF_Income</t>
  </si>
  <si>
    <t>MAX_Income</t>
  </si>
  <si>
    <t>MIN_Income</t>
  </si>
  <si>
    <t>IF_Income</t>
  </si>
  <si>
    <t>Buscar Vertical</t>
  </si>
  <si>
    <t>CONCATENAR</t>
  </si>
  <si>
    <t>HOY</t>
  </si>
  <si>
    <t>AHORA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</si>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</sst>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0" applyNumberFormat="1"/>
    <xf numFmtId="2" fontId="0" fillId="0" borderId="0" xfId="1" applyNumberFormat="1" applyFont="1"/>
    <xf numFmtId="22" fontId="0" fillId="0" borderId="0" xfId="0" applyNumberFormat="1"/>
    <xf numFmtId="0" fontId="0" fillId="2" borderId="0" xfId="0" applyFill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L1072"/>
  <sheetViews>
    <sheetView zoomScale="80" zoomScaleNormal="80" workbookViewId="0">
      <selection activeCell="M1" sqref="M1:O1"/>
    </sheetView>
  </sheetViews>
  <sheetFormatPr defaultRowHeight="14.5" x14ac:dyDescent="0.35"/>
  <cols>
    <col min="1" max="1" width="9.54296875" bestFit="1" customWidth="1"/>
    <col min="2" max="2" width="10.54296875" bestFit="1" customWidth="1"/>
    <col min="3" max="3" width="7.81640625" bestFit="1" customWidth="1"/>
    <col min="4" max="4" width="18.453125" bestFit="1" customWidth="1"/>
    <col min="5" max="5" width="21.453125" bestFit="1" customWidth="1"/>
    <col min="6" max="6" width="7.17968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54296875" bestFit="1" customWidth="1"/>
    <col min="11" max="11" width="17.453125" bestFit="1" customWidth="1"/>
    <col min="12" max="12" width="10.5429687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autoFilter ref="A1:L1072" xr:uid="{3509AF15-976F-4FCD-9F65-3ECA38D457A8}"/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2"/>
  <sheetViews>
    <sheetView topLeftCell="J1" zoomScale="80" zoomScaleNormal="80" workbookViewId="0">
      <selection activeCell="O13" sqref="O13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5.54296875" style="4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style="4" bestFit="1" customWidth="1"/>
    <col min="12" max="12" width="10.54296875" bestFit="1" customWidth="1"/>
    <col min="13" max="13" width="11.90625" bestFit="1" customWidth="1"/>
    <col min="14" max="14" width="16" bestFit="1" customWidth="1"/>
    <col min="15" max="15" width="18.81640625" bestFit="1" customWidth="1"/>
    <col min="16" max="16" width="10.36328125" bestFit="1" customWidth="1"/>
    <col min="17" max="17" width="17.1796875" bestFit="1" customWidth="1"/>
    <col min="18" max="18" width="32.1796875" bestFit="1" customWidth="1"/>
  </cols>
  <sheetData>
    <row r="1" spans="1:18" x14ac:dyDescent="0.35">
      <c r="A1" t="s">
        <v>6</v>
      </c>
      <c r="B1" t="s">
        <v>1</v>
      </c>
      <c r="C1" t="s">
        <v>7</v>
      </c>
      <c r="D1" t="s">
        <v>0</v>
      </c>
      <c r="E1" s="5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s="4" t="s">
        <v>14</v>
      </c>
      <c r="L1" t="s">
        <v>15</v>
      </c>
      <c r="M1" s="7" t="s">
        <v>9188</v>
      </c>
      <c r="N1" s="7" t="s">
        <v>9189</v>
      </c>
      <c r="O1" s="7" t="s">
        <v>9190</v>
      </c>
      <c r="P1" s="7" t="s">
        <v>12</v>
      </c>
      <c r="Q1" s="7" t="s">
        <v>9191</v>
      </c>
      <c r="R1" s="7" t="s">
        <v>9192</v>
      </c>
    </row>
    <row r="2" spans="1:18" x14ac:dyDescent="0.35">
      <c r="A2" t="s">
        <v>16</v>
      </c>
      <c r="B2" t="s">
        <v>3</v>
      </c>
      <c r="C2" t="s">
        <v>17</v>
      </c>
      <c r="D2" t="s">
        <v>2</v>
      </c>
      <c r="E2" s="5"/>
      <c r="F2">
        <v>0</v>
      </c>
      <c r="G2">
        <v>1000</v>
      </c>
      <c r="H2" s="2">
        <v>0</v>
      </c>
      <c r="I2" t="s">
        <v>18</v>
      </c>
      <c r="J2" t="s">
        <v>19</v>
      </c>
      <c r="K2" s="4">
        <v>2.7049340000000002</v>
      </c>
      <c r="L2" s="2">
        <v>35002.704934000001</v>
      </c>
      <c r="M2" t="str">
        <f>IF(OR(B2="California",B2="Cali"),"California",IF(OR(B2="Arizona",B2="AZ"),"Arizona",IF(OR(B2="Washington",B2="WA"),"Washington",B2)))</f>
        <v>Washington</v>
      </c>
      <c r="N2" t="str">
        <f>IF(OR(C2="F",C2="Femal",C2="female"),"F",IF(OR(C2="M",C2="Male"),"M","NA"))</f>
        <v>NA</v>
      </c>
      <c r="O2" t="str">
        <f>IF(OR(D2="Bachelor",D2="Bachelors"),"Bachelor",D2)</f>
        <v>Master</v>
      </c>
      <c r="P2" t="str">
        <f>LEFT(I2,FIND(" ",I2)-1)</f>
        <v>Personal</v>
      </c>
      <c r="Q2">
        <f>IF(OR(J2="Luxury Car",J2="Two-Door Car",J2="Sports Car"),2,IF(OR(J2="Luxury SUV",J2="SUV",J2="Four-Door Car"),4,"NA"))</f>
        <v>4</v>
      </c>
      <c r="R2">
        <f ca="1">DATEDIF(L2,TODAY(),"Y")</f>
        <v>30</v>
      </c>
    </row>
    <row r="3" spans="1:18" x14ac:dyDescent="0.35">
      <c r="A3" t="s">
        <v>20</v>
      </c>
      <c r="B3" t="s">
        <v>5</v>
      </c>
      <c r="C3" t="s">
        <v>21</v>
      </c>
      <c r="D3" t="s">
        <v>4</v>
      </c>
      <c r="E3" s="5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 s="4">
        <v>1131.464935</v>
      </c>
      <c r="L3" s="2">
        <v>36131.464934999996</v>
      </c>
      <c r="M3" t="str">
        <f t="shared" ref="M3:M66" si="0">IF(OR(B3="California",B3="Cali"),"California",IF(OR(B3="Arizona",B3="AZ"),"Arizona",IF(OR(B3="Washington",B3="WA"),"Washington",B3)))</f>
        <v>Arizona</v>
      </c>
      <c r="N3" t="str">
        <f t="shared" ref="N3:N66" si="1">IF(OR(C3="F",C3="Femal",C3="female"),"F",IF(OR(C3="M",C3="Male"),"M","NA"))</f>
        <v>F</v>
      </c>
      <c r="O3" t="str">
        <f t="shared" ref="O3:O66" si="2">IF(OR(D3="Bachelor",D3="Bachelors"),"Bachelor",D3)</f>
        <v>Bachelor</v>
      </c>
      <c r="P3" t="str">
        <f t="shared" ref="P3:P66" si="3">LEFT(I3,FIND(" ",I3)-1)</f>
        <v>Personal</v>
      </c>
      <c r="Q3">
        <f t="shared" ref="Q3:Q66" si="4">IF(OR(J3="Luxury Car",J3="Two-Door Car",J3="Sports Car"),2,IF(OR(J3="Luxury SUV",J3="SUV",J3="Four-Door Car"),4,"NA"))</f>
        <v>4</v>
      </c>
      <c r="R3">
        <f t="shared" ref="R3:R66" ca="1" si="5">DATEDIF(L3,TODAY(),"Y")</f>
        <v>27</v>
      </c>
    </row>
    <row r="4" spans="1:18" x14ac:dyDescent="0.35">
      <c r="A4" t="s">
        <v>22</v>
      </c>
      <c r="B4" t="s">
        <v>23</v>
      </c>
      <c r="C4" t="s">
        <v>21</v>
      </c>
      <c r="D4" t="s">
        <v>4</v>
      </c>
      <c r="E4" s="5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 s="4">
        <v>566.47224700000004</v>
      </c>
      <c r="L4" s="2">
        <v>35566.472246999998</v>
      </c>
      <c r="M4" t="str">
        <f t="shared" si="0"/>
        <v>Nevada</v>
      </c>
      <c r="N4" t="str">
        <f t="shared" si="1"/>
        <v>F</v>
      </c>
      <c r="O4" t="str">
        <f t="shared" si="2"/>
        <v>Bachelor</v>
      </c>
      <c r="P4" t="str">
        <f t="shared" si="3"/>
        <v>Personal</v>
      </c>
      <c r="Q4">
        <f t="shared" si="4"/>
        <v>2</v>
      </c>
      <c r="R4">
        <f t="shared" ca="1" si="5"/>
        <v>29</v>
      </c>
    </row>
    <row r="5" spans="1:18" x14ac:dyDescent="0.35">
      <c r="A5" t="s">
        <v>25</v>
      </c>
      <c r="B5" t="s">
        <v>26</v>
      </c>
      <c r="C5" t="s">
        <v>27</v>
      </c>
      <c r="D5" t="s">
        <v>4</v>
      </c>
      <c r="E5" s="5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 s="4">
        <v>529.88134400000001</v>
      </c>
      <c r="L5" s="2">
        <v>35529.881344000001</v>
      </c>
      <c r="M5" t="str">
        <f t="shared" si="0"/>
        <v>California</v>
      </c>
      <c r="N5" t="str">
        <f t="shared" si="1"/>
        <v>M</v>
      </c>
      <c r="O5" t="str">
        <f t="shared" si="2"/>
        <v>Bachelor</v>
      </c>
      <c r="P5" t="str">
        <f t="shared" si="3"/>
        <v>Corporate</v>
      </c>
      <c r="Q5">
        <f t="shared" si="4"/>
        <v>4</v>
      </c>
      <c r="R5">
        <f t="shared" ca="1" si="5"/>
        <v>29</v>
      </c>
    </row>
    <row r="6" spans="1:18" x14ac:dyDescent="0.35">
      <c r="A6" t="s">
        <v>30</v>
      </c>
      <c r="B6" t="s">
        <v>3</v>
      </c>
      <c r="C6" t="s">
        <v>27</v>
      </c>
      <c r="D6" t="s">
        <v>31</v>
      </c>
      <c r="E6" s="5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 s="4">
        <v>17.269323</v>
      </c>
      <c r="L6" s="2">
        <v>35017.269323</v>
      </c>
      <c r="M6" t="str">
        <f t="shared" si="0"/>
        <v>Washington</v>
      </c>
      <c r="N6" t="str">
        <f t="shared" si="1"/>
        <v>M</v>
      </c>
      <c r="O6" t="str">
        <f t="shared" si="2"/>
        <v>High School or Below</v>
      </c>
      <c r="P6" t="str">
        <f t="shared" si="3"/>
        <v>Personal</v>
      </c>
      <c r="Q6">
        <f t="shared" si="4"/>
        <v>4</v>
      </c>
      <c r="R6">
        <f t="shared" ca="1" si="5"/>
        <v>30</v>
      </c>
    </row>
    <row r="7" spans="1:18" x14ac:dyDescent="0.35">
      <c r="A7" t="s">
        <v>32</v>
      </c>
      <c r="B7" t="s">
        <v>33</v>
      </c>
      <c r="C7" t="s">
        <v>21</v>
      </c>
      <c r="D7" t="s">
        <v>4</v>
      </c>
      <c r="E7" s="5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 s="4">
        <v>159.38304199999999</v>
      </c>
      <c r="L7" s="2">
        <v>35159.383042000001</v>
      </c>
      <c r="M7" t="str">
        <f t="shared" si="0"/>
        <v>Oregon</v>
      </c>
      <c r="N7" t="str">
        <f t="shared" si="1"/>
        <v>F</v>
      </c>
      <c r="O7" t="str">
        <f t="shared" si="2"/>
        <v>Bachelor</v>
      </c>
      <c r="P7" t="str">
        <f t="shared" si="3"/>
        <v>Personal</v>
      </c>
      <c r="Q7">
        <f t="shared" si="4"/>
        <v>2</v>
      </c>
      <c r="R7">
        <f t="shared" ca="1" si="5"/>
        <v>30</v>
      </c>
    </row>
    <row r="8" spans="1:18" x14ac:dyDescent="0.35">
      <c r="A8" t="s">
        <v>34</v>
      </c>
      <c r="B8" t="s">
        <v>33</v>
      </c>
      <c r="C8" t="s">
        <v>21</v>
      </c>
      <c r="D8" t="s">
        <v>35</v>
      </c>
      <c r="E8" s="5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 s="4">
        <v>321.60000000000002</v>
      </c>
      <c r="L8" s="2">
        <v>35321.599999999999</v>
      </c>
      <c r="M8" t="str">
        <f t="shared" si="0"/>
        <v>Oregon</v>
      </c>
      <c r="N8" t="str">
        <f t="shared" si="1"/>
        <v>F</v>
      </c>
      <c r="O8" t="str">
        <f t="shared" si="2"/>
        <v>College</v>
      </c>
      <c r="P8" t="str">
        <f t="shared" si="3"/>
        <v>Corporate</v>
      </c>
      <c r="Q8">
        <f t="shared" si="4"/>
        <v>4</v>
      </c>
      <c r="R8">
        <f t="shared" ca="1" si="5"/>
        <v>29</v>
      </c>
    </row>
    <row r="9" spans="1:18" x14ac:dyDescent="0.35">
      <c r="A9" t="s">
        <v>36</v>
      </c>
      <c r="B9" t="s">
        <v>5</v>
      </c>
      <c r="C9" t="s">
        <v>27</v>
      </c>
      <c r="D9" t="s">
        <v>2</v>
      </c>
      <c r="E9" s="5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 s="4">
        <v>363.02967999999998</v>
      </c>
      <c r="L9" s="2">
        <v>35363.02968</v>
      </c>
      <c r="M9" t="str">
        <f t="shared" si="0"/>
        <v>Arizona</v>
      </c>
      <c r="N9" t="str">
        <f t="shared" si="1"/>
        <v>M</v>
      </c>
      <c r="O9" t="str">
        <f t="shared" si="2"/>
        <v>Master</v>
      </c>
      <c r="P9" t="str">
        <f t="shared" si="3"/>
        <v>Corporate</v>
      </c>
      <c r="Q9">
        <f t="shared" si="4"/>
        <v>4</v>
      </c>
      <c r="R9">
        <f t="shared" ca="1" si="5"/>
        <v>29</v>
      </c>
    </row>
    <row r="10" spans="1:18" x14ac:dyDescent="0.35">
      <c r="A10" t="s">
        <v>37</v>
      </c>
      <c r="B10" t="s">
        <v>33</v>
      </c>
      <c r="C10" t="s">
        <v>27</v>
      </c>
      <c r="D10" t="s">
        <v>4</v>
      </c>
      <c r="E10" s="5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 s="4">
        <v>511.2</v>
      </c>
      <c r="L10" s="2">
        <v>35511.199999999997</v>
      </c>
      <c r="M10" t="str">
        <f t="shared" si="0"/>
        <v>Oregon</v>
      </c>
      <c r="N10" t="str">
        <f t="shared" si="1"/>
        <v>M</v>
      </c>
      <c r="O10" t="str">
        <f t="shared" si="2"/>
        <v>Bachelor</v>
      </c>
      <c r="P10" t="str">
        <f t="shared" si="3"/>
        <v>Corporate</v>
      </c>
      <c r="Q10">
        <f t="shared" si="4"/>
        <v>4</v>
      </c>
      <c r="R10">
        <f t="shared" ca="1" si="5"/>
        <v>29</v>
      </c>
    </row>
    <row r="11" spans="1:18" x14ac:dyDescent="0.35">
      <c r="A11" t="s">
        <v>38</v>
      </c>
      <c r="B11" t="s">
        <v>33</v>
      </c>
      <c r="C11" t="s">
        <v>21</v>
      </c>
      <c r="D11" t="s">
        <v>35</v>
      </c>
      <c r="E11" s="5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 s="4">
        <v>425.52783399999998</v>
      </c>
      <c r="L11" s="2">
        <v>35425.527834</v>
      </c>
      <c r="M11" t="str">
        <f t="shared" si="0"/>
        <v>Oregon</v>
      </c>
      <c r="N11" t="str">
        <f t="shared" si="1"/>
        <v>F</v>
      </c>
      <c r="O11" t="str">
        <f t="shared" si="2"/>
        <v>College</v>
      </c>
      <c r="P11" t="str">
        <f t="shared" si="3"/>
        <v>Special</v>
      </c>
      <c r="Q11">
        <f t="shared" si="4"/>
        <v>4</v>
      </c>
      <c r="R11">
        <f t="shared" ca="1" si="5"/>
        <v>29</v>
      </c>
    </row>
    <row r="12" spans="1:18" x14ac:dyDescent="0.3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 s="4">
        <v>482.4</v>
      </c>
      <c r="L12" s="2">
        <v>35482.400000000001</v>
      </c>
      <c r="M12" t="str">
        <f t="shared" si="0"/>
        <v>California</v>
      </c>
      <c r="N12" t="str">
        <f t="shared" si="1"/>
        <v>M</v>
      </c>
      <c r="O12" t="str">
        <f t="shared" si="2"/>
        <v>College</v>
      </c>
      <c r="P12" t="str">
        <f t="shared" si="3"/>
        <v>Personal</v>
      </c>
      <c r="Q12">
        <f t="shared" si="4"/>
        <v>4</v>
      </c>
      <c r="R12">
        <f t="shared" ca="1" si="5"/>
        <v>29</v>
      </c>
    </row>
    <row r="13" spans="1:18" x14ac:dyDescent="0.35">
      <c r="A13" t="s">
        <v>41</v>
      </c>
      <c r="B13" t="s">
        <v>26</v>
      </c>
      <c r="C13" t="s">
        <v>17</v>
      </c>
      <c r="D13" t="s">
        <v>35</v>
      </c>
      <c r="E13" s="5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 s="4">
        <v>528</v>
      </c>
      <c r="L13" s="2">
        <v>35528</v>
      </c>
      <c r="M13" t="str">
        <f t="shared" si="0"/>
        <v>California</v>
      </c>
      <c r="N13" t="str">
        <f t="shared" si="1"/>
        <v>NA</v>
      </c>
      <c r="O13" t="str">
        <f t="shared" si="2"/>
        <v>College</v>
      </c>
      <c r="P13" t="str">
        <f t="shared" si="3"/>
        <v>Personal</v>
      </c>
      <c r="Q13">
        <f t="shared" si="4"/>
        <v>4</v>
      </c>
      <c r="R13">
        <f t="shared" ca="1" si="5"/>
        <v>29</v>
      </c>
    </row>
    <row r="14" spans="1:18" x14ac:dyDescent="0.35">
      <c r="A14" t="s">
        <v>42</v>
      </c>
      <c r="B14" t="s">
        <v>26</v>
      </c>
      <c r="C14" t="s">
        <v>17</v>
      </c>
      <c r="D14" t="s">
        <v>2</v>
      </c>
      <c r="E14" s="5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 s="4">
        <v>472.02973700000001</v>
      </c>
      <c r="L14" s="2">
        <v>35472.029736999997</v>
      </c>
      <c r="M14" t="str">
        <f t="shared" si="0"/>
        <v>California</v>
      </c>
      <c r="N14" t="str">
        <f t="shared" si="1"/>
        <v>NA</v>
      </c>
      <c r="O14" t="str">
        <f t="shared" si="2"/>
        <v>Master</v>
      </c>
      <c r="P14" t="str">
        <f t="shared" si="3"/>
        <v>Corporate</v>
      </c>
      <c r="Q14">
        <f t="shared" si="4"/>
        <v>4</v>
      </c>
      <c r="R14">
        <f t="shared" ca="1" si="5"/>
        <v>29</v>
      </c>
    </row>
    <row r="15" spans="1:18" x14ac:dyDescent="0.35">
      <c r="A15" t="s">
        <v>43</v>
      </c>
      <c r="B15" t="s">
        <v>5</v>
      </c>
      <c r="C15" t="s">
        <v>17</v>
      </c>
      <c r="D15" t="s">
        <v>31</v>
      </c>
      <c r="E15" s="5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 s="4">
        <v>528</v>
      </c>
      <c r="L15" s="2">
        <v>35528</v>
      </c>
      <c r="M15" t="str">
        <f t="shared" si="0"/>
        <v>Arizona</v>
      </c>
      <c r="N15" t="str">
        <f t="shared" si="1"/>
        <v>NA</v>
      </c>
      <c r="O15" t="str">
        <f t="shared" si="2"/>
        <v>High School or Below</v>
      </c>
      <c r="P15" t="str">
        <f t="shared" si="3"/>
        <v>Corporate</v>
      </c>
      <c r="Q15">
        <f t="shared" si="4"/>
        <v>4</v>
      </c>
      <c r="R15">
        <f t="shared" ca="1" si="5"/>
        <v>29</v>
      </c>
    </row>
    <row r="16" spans="1:18" x14ac:dyDescent="0.35">
      <c r="A16" t="s">
        <v>44</v>
      </c>
      <c r="B16" t="s">
        <v>26</v>
      </c>
      <c r="C16" t="s">
        <v>17</v>
      </c>
      <c r="D16" t="s">
        <v>35</v>
      </c>
      <c r="E16" s="5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 s="4">
        <v>307.13913200000002</v>
      </c>
      <c r="L16" s="2">
        <v>35307.139131999997</v>
      </c>
      <c r="M16" t="str">
        <f t="shared" si="0"/>
        <v>California</v>
      </c>
      <c r="N16" t="str">
        <f t="shared" si="1"/>
        <v>NA</v>
      </c>
      <c r="O16" t="str">
        <f t="shared" si="2"/>
        <v>College</v>
      </c>
      <c r="P16" t="str">
        <f t="shared" si="3"/>
        <v>Corporate</v>
      </c>
      <c r="Q16">
        <f t="shared" si="4"/>
        <v>4</v>
      </c>
      <c r="R16">
        <f t="shared" ca="1" si="5"/>
        <v>30</v>
      </c>
    </row>
    <row r="17" spans="1:18" x14ac:dyDescent="0.35">
      <c r="A17" t="s">
        <v>45</v>
      </c>
      <c r="B17" t="s">
        <v>33</v>
      </c>
      <c r="C17" t="s">
        <v>17</v>
      </c>
      <c r="D17" t="s">
        <v>4</v>
      </c>
      <c r="E17" s="5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 s="4">
        <v>42.920271</v>
      </c>
      <c r="L17" s="2">
        <v>35042.920271000003</v>
      </c>
      <c r="M17" t="str">
        <f t="shared" si="0"/>
        <v>Oregon</v>
      </c>
      <c r="N17" t="str">
        <f t="shared" si="1"/>
        <v>NA</v>
      </c>
      <c r="O17" t="str">
        <f t="shared" si="2"/>
        <v>Bachelor</v>
      </c>
      <c r="P17" t="str">
        <f t="shared" si="3"/>
        <v>Corporate</v>
      </c>
      <c r="Q17">
        <f t="shared" si="4"/>
        <v>4</v>
      </c>
      <c r="R17">
        <f t="shared" ca="1" si="5"/>
        <v>30</v>
      </c>
    </row>
    <row r="18" spans="1:18" x14ac:dyDescent="0.35">
      <c r="A18" t="s">
        <v>46</v>
      </c>
      <c r="B18" t="s">
        <v>23</v>
      </c>
      <c r="C18" t="s">
        <v>17</v>
      </c>
      <c r="D18" t="s">
        <v>31</v>
      </c>
      <c r="E18" s="5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 s="4">
        <v>454.24509799999998</v>
      </c>
      <c r="L18" s="2">
        <v>35454.245097999999</v>
      </c>
      <c r="M18" t="str">
        <f t="shared" si="0"/>
        <v>Nevada</v>
      </c>
      <c r="N18" t="str">
        <f t="shared" si="1"/>
        <v>NA</v>
      </c>
      <c r="O18" t="str">
        <f t="shared" si="2"/>
        <v>High School or Below</v>
      </c>
      <c r="P18" t="str">
        <f t="shared" si="3"/>
        <v>Personal</v>
      </c>
      <c r="Q18">
        <f t="shared" si="4"/>
        <v>2</v>
      </c>
      <c r="R18">
        <f t="shared" ca="1" si="5"/>
        <v>29</v>
      </c>
    </row>
    <row r="19" spans="1:18" x14ac:dyDescent="0.35">
      <c r="A19" t="s">
        <v>47</v>
      </c>
      <c r="B19" t="s">
        <v>48</v>
      </c>
      <c r="C19" t="s">
        <v>17</v>
      </c>
      <c r="D19" t="s">
        <v>35</v>
      </c>
      <c r="E19" s="5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 s="4">
        <v>647.44203100000004</v>
      </c>
      <c r="L19" s="2">
        <v>35647.442030999999</v>
      </c>
      <c r="M19" t="str">
        <f t="shared" si="0"/>
        <v>California</v>
      </c>
      <c r="N19" t="str">
        <f t="shared" si="1"/>
        <v>NA</v>
      </c>
      <c r="O19" t="str">
        <f t="shared" si="2"/>
        <v>College</v>
      </c>
      <c r="P19" t="str">
        <f t="shared" si="3"/>
        <v>Personal</v>
      </c>
      <c r="Q19">
        <f t="shared" si="4"/>
        <v>4</v>
      </c>
      <c r="R19">
        <f t="shared" ca="1" si="5"/>
        <v>29</v>
      </c>
    </row>
    <row r="20" spans="1:18" x14ac:dyDescent="0.35">
      <c r="A20" t="s">
        <v>49</v>
      </c>
      <c r="B20" t="s">
        <v>33</v>
      </c>
      <c r="C20" t="s">
        <v>17</v>
      </c>
      <c r="D20" t="s">
        <v>35</v>
      </c>
      <c r="E20" s="5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 s="4">
        <v>308.98166400000002</v>
      </c>
      <c r="L20" s="2">
        <v>35308.981663999999</v>
      </c>
      <c r="M20" t="str">
        <f t="shared" si="0"/>
        <v>Oregon</v>
      </c>
      <c r="N20" t="str">
        <f t="shared" si="1"/>
        <v>NA</v>
      </c>
      <c r="O20" t="str">
        <f t="shared" si="2"/>
        <v>College</v>
      </c>
      <c r="P20" t="str">
        <f t="shared" si="3"/>
        <v>Personal</v>
      </c>
      <c r="Q20">
        <f t="shared" si="4"/>
        <v>4</v>
      </c>
      <c r="R20">
        <f t="shared" ca="1" si="5"/>
        <v>30</v>
      </c>
    </row>
    <row r="21" spans="1:18" x14ac:dyDescent="0.35">
      <c r="A21" t="s">
        <v>50</v>
      </c>
      <c r="B21" t="s">
        <v>26</v>
      </c>
      <c r="C21" t="s">
        <v>17</v>
      </c>
      <c r="D21" t="s">
        <v>31</v>
      </c>
      <c r="E21" s="5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 s="4">
        <v>484.8</v>
      </c>
      <c r="L21" s="2">
        <v>35484.800000000003</v>
      </c>
      <c r="M21" t="str">
        <f t="shared" si="0"/>
        <v>California</v>
      </c>
      <c r="N21" t="str">
        <f t="shared" si="1"/>
        <v>NA</v>
      </c>
      <c r="O21" t="str">
        <f t="shared" si="2"/>
        <v>High School or Below</v>
      </c>
      <c r="P21" t="str">
        <f t="shared" si="3"/>
        <v>Corporate</v>
      </c>
      <c r="Q21">
        <f t="shared" si="4"/>
        <v>4</v>
      </c>
      <c r="R21">
        <f t="shared" ca="1" si="5"/>
        <v>29</v>
      </c>
    </row>
    <row r="22" spans="1:18" x14ac:dyDescent="0.35">
      <c r="A22" t="s">
        <v>51</v>
      </c>
      <c r="B22" t="s">
        <v>33</v>
      </c>
      <c r="C22" t="s">
        <v>17</v>
      </c>
      <c r="D22" t="s">
        <v>31</v>
      </c>
      <c r="E22" s="5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 s="4">
        <v>355.2</v>
      </c>
      <c r="L22" s="2">
        <v>35355.199999999997</v>
      </c>
      <c r="M22" t="str">
        <f t="shared" si="0"/>
        <v>Oregon</v>
      </c>
      <c r="N22" t="str">
        <f t="shared" si="1"/>
        <v>NA</v>
      </c>
      <c r="O22" t="str">
        <f t="shared" si="2"/>
        <v>High School or Below</v>
      </c>
      <c r="P22" t="str">
        <f t="shared" si="3"/>
        <v>Personal</v>
      </c>
      <c r="Q22">
        <f t="shared" si="4"/>
        <v>2</v>
      </c>
      <c r="R22">
        <f t="shared" ca="1" si="5"/>
        <v>29</v>
      </c>
    </row>
    <row r="23" spans="1:18" x14ac:dyDescent="0.35">
      <c r="A23" t="s">
        <v>52</v>
      </c>
      <c r="B23" t="s">
        <v>3</v>
      </c>
      <c r="C23" t="s">
        <v>27</v>
      </c>
      <c r="D23" t="s">
        <v>53</v>
      </c>
      <c r="E23" s="5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 s="4">
        <v>20.382876</v>
      </c>
      <c r="L23" s="2">
        <v>35020.382876000003</v>
      </c>
      <c r="M23" t="str">
        <f t="shared" si="0"/>
        <v>Washington</v>
      </c>
      <c r="N23" t="str">
        <f t="shared" si="1"/>
        <v>M</v>
      </c>
      <c r="O23" t="str">
        <f t="shared" si="2"/>
        <v>Bachelor</v>
      </c>
      <c r="P23" t="str">
        <f t="shared" si="3"/>
        <v>Personal</v>
      </c>
      <c r="Q23">
        <f t="shared" si="4"/>
        <v>2</v>
      </c>
      <c r="R23">
        <f t="shared" ca="1" si="5"/>
        <v>30</v>
      </c>
    </row>
    <row r="24" spans="1:18" x14ac:dyDescent="0.35">
      <c r="A24" t="s">
        <v>54</v>
      </c>
      <c r="B24" t="s">
        <v>5</v>
      </c>
      <c r="C24" t="s">
        <v>17</v>
      </c>
      <c r="D24" t="s">
        <v>4</v>
      </c>
      <c r="E24" s="5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 s="4">
        <v>511.2</v>
      </c>
      <c r="L24" s="2">
        <v>35511.199999999997</v>
      </c>
      <c r="M24" t="str">
        <f t="shared" si="0"/>
        <v>Arizona</v>
      </c>
      <c r="N24" t="str">
        <f t="shared" si="1"/>
        <v>NA</v>
      </c>
      <c r="O24" t="str">
        <f t="shared" si="2"/>
        <v>Bachelor</v>
      </c>
      <c r="P24" t="str">
        <f t="shared" si="3"/>
        <v>Personal</v>
      </c>
      <c r="Q24">
        <f t="shared" si="4"/>
        <v>4</v>
      </c>
      <c r="R24">
        <f t="shared" ca="1" si="5"/>
        <v>29</v>
      </c>
    </row>
    <row r="25" spans="1:18" x14ac:dyDescent="0.35">
      <c r="A25" t="s">
        <v>55</v>
      </c>
      <c r="B25" t="s">
        <v>23</v>
      </c>
      <c r="C25" t="s">
        <v>17</v>
      </c>
      <c r="D25" t="s">
        <v>4</v>
      </c>
      <c r="E25" s="5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 s="4">
        <v>554.37676299999998</v>
      </c>
      <c r="L25" s="2">
        <v>35554.376763</v>
      </c>
      <c r="M25" t="str">
        <f t="shared" si="0"/>
        <v>Nevada</v>
      </c>
      <c r="N25" t="str">
        <f t="shared" si="1"/>
        <v>NA</v>
      </c>
      <c r="O25" t="str">
        <f t="shared" si="2"/>
        <v>Bachelor</v>
      </c>
      <c r="P25" t="str">
        <f t="shared" si="3"/>
        <v>Corporate</v>
      </c>
      <c r="Q25">
        <f t="shared" si="4"/>
        <v>4</v>
      </c>
      <c r="R25">
        <f t="shared" ca="1" si="5"/>
        <v>29</v>
      </c>
    </row>
    <row r="26" spans="1:18" x14ac:dyDescent="0.35">
      <c r="A26" t="s">
        <v>56</v>
      </c>
      <c r="B26" t="s">
        <v>26</v>
      </c>
      <c r="C26" t="s">
        <v>17</v>
      </c>
      <c r="D26" t="s">
        <v>4</v>
      </c>
      <c r="E26" s="5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 s="4">
        <v>439.2</v>
      </c>
      <c r="L26" s="2">
        <v>35439.199999999997</v>
      </c>
      <c r="M26" t="str">
        <f t="shared" si="0"/>
        <v>California</v>
      </c>
      <c r="N26" t="str">
        <f t="shared" si="1"/>
        <v>NA</v>
      </c>
      <c r="O26" t="str">
        <f t="shared" si="2"/>
        <v>Bachelor</v>
      </c>
      <c r="P26" t="str">
        <f t="shared" si="3"/>
        <v>Corporate</v>
      </c>
      <c r="Q26">
        <f t="shared" si="4"/>
        <v>4</v>
      </c>
      <c r="R26">
        <f t="shared" ca="1" si="5"/>
        <v>29</v>
      </c>
    </row>
    <row r="27" spans="1:18" x14ac:dyDescent="0.35">
      <c r="A27" t="s">
        <v>57</v>
      </c>
      <c r="B27" t="s">
        <v>33</v>
      </c>
      <c r="C27" t="s">
        <v>17</v>
      </c>
      <c r="D27" t="s">
        <v>35</v>
      </c>
      <c r="E27" s="5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 s="4">
        <v>389.18500599999999</v>
      </c>
      <c r="L27" s="2">
        <v>35389.185006</v>
      </c>
      <c r="M27" t="str">
        <f t="shared" si="0"/>
        <v>Oregon</v>
      </c>
      <c r="N27" t="str">
        <f t="shared" si="1"/>
        <v>NA</v>
      </c>
      <c r="O27" t="str">
        <f t="shared" si="2"/>
        <v>College</v>
      </c>
      <c r="P27" t="str">
        <f t="shared" si="3"/>
        <v>Personal</v>
      </c>
      <c r="Q27">
        <f t="shared" si="4"/>
        <v>4</v>
      </c>
      <c r="R27">
        <f t="shared" ca="1" si="5"/>
        <v>29</v>
      </c>
    </row>
    <row r="28" spans="1:18" x14ac:dyDescent="0.35">
      <c r="A28" t="s">
        <v>58</v>
      </c>
      <c r="B28" t="s">
        <v>26</v>
      </c>
      <c r="C28" t="s">
        <v>17</v>
      </c>
      <c r="D28" t="s">
        <v>4</v>
      </c>
      <c r="E28" s="5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 s="4">
        <v>799.2</v>
      </c>
      <c r="L28" s="2">
        <v>35799.199999999997</v>
      </c>
      <c r="M28" t="str">
        <f t="shared" si="0"/>
        <v>California</v>
      </c>
      <c r="N28" t="str">
        <f t="shared" si="1"/>
        <v>NA</v>
      </c>
      <c r="O28" t="str">
        <f t="shared" si="2"/>
        <v>Bachelor</v>
      </c>
      <c r="P28" t="str">
        <f t="shared" si="3"/>
        <v>Personal</v>
      </c>
      <c r="Q28">
        <f t="shared" si="4"/>
        <v>4</v>
      </c>
      <c r="R28">
        <f t="shared" ca="1" si="5"/>
        <v>28</v>
      </c>
    </row>
    <row r="29" spans="1:18" x14ac:dyDescent="0.35">
      <c r="A29" t="s">
        <v>59</v>
      </c>
      <c r="B29" t="s">
        <v>3</v>
      </c>
      <c r="C29" t="s">
        <v>27</v>
      </c>
      <c r="D29" t="s">
        <v>35</v>
      </c>
      <c r="E29" s="5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 s="4">
        <v>20.985105000000001</v>
      </c>
      <c r="L29" s="2">
        <v>35020.985105</v>
      </c>
      <c r="M29" t="str">
        <f t="shared" si="0"/>
        <v>Washington</v>
      </c>
      <c r="N29" t="str">
        <f t="shared" si="1"/>
        <v>M</v>
      </c>
      <c r="O29" t="str">
        <f t="shared" si="2"/>
        <v>College</v>
      </c>
      <c r="P29" t="str">
        <f t="shared" si="3"/>
        <v>Personal</v>
      </c>
      <c r="Q29">
        <f t="shared" si="4"/>
        <v>4</v>
      </c>
      <c r="R29">
        <f t="shared" ca="1" si="5"/>
        <v>30</v>
      </c>
    </row>
    <row r="30" spans="1:18" x14ac:dyDescent="0.35">
      <c r="A30" t="s">
        <v>60</v>
      </c>
      <c r="B30" t="s">
        <v>61</v>
      </c>
      <c r="C30" t="s">
        <v>17</v>
      </c>
      <c r="D30" t="s">
        <v>35</v>
      </c>
      <c r="E30" s="5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 s="4">
        <v>532.79999999999995</v>
      </c>
      <c r="L30" s="2">
        <v>35532.800000000003</v>
      </c>
      <c r="M30" t="str">
        <f t="shared" si="0"/>
        <v>Arizona</v>
      </c>
      <c r="N30" t="str">
        <f t="shared" si="1"/>
        <v>NA</v>
      </c>
      <c r="O30" t="str">
        <f t="shared" si="2"/>
        <v>College</v>
      </c>
      <c r="P30" t="str">
        <f t="shared" si="3"/>
        <v>Personal</v>
      </c>
      <c r="Q30">
        <f t="shared" si="4"/>
        <v>4</v>
      </c>
      <c r="R30">
        <f t="shared" ca="1" si="5"/>
        <v>29</v>
      </c>
    </row>
    <row r="31" spans="1:18" x14ac:dyDescent="0.35">
      <c r="A31" t="s">
        <v>62</v>
      </c>
      <c r="B31" t="s">
        <v>33</v>
      </c>
      <c r="C31" t="s">
        <v>17</v>
      </c>
      <c r="D31" t="s">
        <v>2</v>
      </c>
      <c r="E31" s="5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 s="4">
        <v>384</v>
      </c>
      <c r="L31" s="2">
        <v>35384</v>
      </c>
      <c r="M31" t="str">
        <f t="shared" si="0"/>
        <v>Oregon</v>
      </c>
      <c r="N31" t="str">
        <f t="shared" si="1"/>
        <v>NA</v>
      </c>
      <c r="O31" t="str">
        <f t="shared" si="2"/>
        <v>Master</v>
      </c>
      <c r="P31" t="str">
        <f t="shared" si="3"/>
        <v>Personal</v>
      </c>
      <c r="Q31">
        <f t="shared" si="4"/>
        <v>4</v>
      </c>
      <c r="R31">
        <f t="shared" ca="1" si="5"/>
        <v>29</v>
      </c>
    </row>
    <row r="32" spans="1:18" x14ac:dyDescent="0.35">
      <c r="A32" t="s">
        <v>63</v>
      </c>
      <c r="B32" t="s">
        <v>5</v>
      </c>
      <c r="C32" t="s">
        <v>17</v>
      </c>
      <c r="D32" t="s">
        <v>35</v>
      </c>
      <c r="E32" s="5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 s="4">
        <v>322.29404299999999</v>
      </c>
      <c r="L32" s="2">
        <v>35322.294043000002</v>
      </c>
      <c r="M32" t="str">
        <f t="shared" si="0"/>
        <v>Arizona</v>
      </c>
      <c r="N32" t="str">
        <f t="shared" si="1"/>
        <v>NA</v>
      </c>
      <c r="O32" t="str">
        <f t="shared" si="2"/>
        <v>College</v>
      </c>
      <c r="P32" t="str">
        <f t="shared" si="3"/>
        <v>Personal</v>
      </c>
      <c r="Q32">
        <f t="shared" si="4"/>
        <v>4</v>
      </c>
      <c r="R32">
        <f t="shared" ca="1" si="5"/>
        <v>29</v>
      </c>
    </row>
    <row r="33" spans="1:18" x14ac:dyDescent="0.35">
      <c r="A33" t="s">
        <v>64</v>
      </c>
      <c r="B33" t="s">
        <v>23</v>
      </c>
      <c r="C33" t="s">
        <v>17</v>
      </c>
      <c r="D33" t="s">
        <v>31</v>
      </c>
      <c r="E33" s="5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 s="4">
        <v>615.92776900000001</v>
      </c>
      <c r="L33" s="2">
        <v>35615.927769000002</v>
      </c>
      <c r="M33" t="str">
        <f t="shared" si="0"/>
        <v>Nevada</v>
      </c>
      <c r="N33" t="str">
        <f t="shared" si="1"/>
        <v>NA</v>
      </c>
      <c r="O33" t="str">
        <f t="shared" si="2"/>
        <v>High School or Below</v>
      </c>
      <c r="P33" t="str">
        <f t="shared" si="3"/>
        <v>Corporate</v>
      </c>
      <c r="Q33">
        <f t="shared" si="4"/>
        <v>4</v>
      </c>
      <c r="R33">
        <f t="shared" ca="1" si="5"/>
        <v>29</v>
      </c>
    </row>
    <row r="34" spans="1:18" x14ac:dyDescent="0.35">
      <c r="A34" t="s">
        <v>66</v>
      </c>
      <c r="B34" t="s">
        <v>26</v>
      </c>
      <c r="C34" t="s">
        <v>17</v>
      </c>
      <c r="D34" t="s">
        <v>4</v>
      </c>
      <c r="E34" s="5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 s="4">
        <v>308.15089</v>
      </c>
      <c r="L34" s="2">
        <v>35308.150889999997</v>
      </c>
      <c r="M34" t="str">
        <f t="shared" si="0"/>
        <v>California</v>
      </c>
      <c r="N34" t="str">
        <f t="shared" si="1"/>
        <v>NA</v>
      </c>
      <c r="O34" t="str">
        <f t="shared" si="2"/>
        <v>Bachelor</v>
      </c>
      <c r="P34" t="str">
        <f t="shared" si="3"/>
        <v>Personal</v>
      </c>
      <c r="Q34">
        <f t="shared" si="4"/>
        <v>4</v>
      </c>
      <c r="R34">
        <f t="shared" ca="1" si="5"/>
        <v>30</v>
      </c>
    </row>
    <row r="35" spans="1:18" x14ac:dyDescent="0.35">
      <c r="A35" t="s">
        <v>67</v>
      </c>
      <c r="B35" t="s">
        <v>3</v>
      </c>
      <c r="C35" t="s">
        <v>21</v>
      </c>
      <c r="D35" t="s">
        <v>35</v>
      </c>
      <c r="E35" s="5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 s="4">
        <v>23.820157999999999</v>
      </c>
      <c r="L35" s="2">
        <v>35023.820158000002</v>
      </c>
      <c r="M35" t="str">
        <f t="shared" si="0"/>
        <v>Washington</v>
      </c>
      <c r="N35" t="str">
        <f t="shared" si="1"/>
        <v>F</v>
      </c>
      <c r="O35" t="str">
        <f t="shared" si="2"/>
        <v>College</v>
      </c>
      <c r="P35" t="str">
        <f t="shared" si="3"/>
        <v>Personal</v>
      </c>
      <c r="Q35">
        <f t="shared" si="4"/>
        <v>4</v>
      </c>
      <c r="R35">
        <f t="shared" ca="1" si="5"/>
        <v>30</v>
      </c>
    </row>
    <row r="36" spans="1:18" x14ac:dyDescent="0.35">
      <c r="A36" t="s">
        <v>68</v>
      </c>
      <c r="B36" t="s">
        <v>33</v>
      </c>
      <c r="C36" t="s">
        <v>17</v>
      </c>
      <c r="D36" t="s">
        <v>4</v>
      </c>
      <c r="E36" s="5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 s="4">
        <v>15.437681</v>
      </c>
      <c r="L36" s="2">
        <v>35015.437681000003</v>
      </c>
      <c r="M36" t="str">
        <f t="shared" si="0"/>
        <v>Oregon</v>
      </c>
      <c r="N36" t="str">
        <f t="shared" si="1"/>
        <v>NA</v>
      </c>
      <c r="O36" t="str">
        <f t="shared" si="2"/>
        <v>Bachelor</v>
      </c>
      <c r="P36" t="str">
        <f t="shared" si="3"/>
        <v>Corporate</v>
      </c>
      <c r="Q36">
        <f t="shared" si="4"/>
        <v>4</v>
      </c>
      <c r="R36">
        <f t="shared" ca="1" si="5"/>
        <v>30</v>
      </c>
    </row>
    <row r="37" spans="1:18" x14ac:dyDescent="0.35">
      <c r="A37" t="s">
        <v>69</v>
      </c>
      <c r="B37" t="s">
        <v>5</v>
      </c>
      <c r="C37" t="s">
        <v>17</v>
      </c>
      <c r="D37" t="s">
        <v>31</v>
      </c>
      <c r="E37" s="5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 s="4">
        <v>204.47514699999999</v>
      </c>
      <c r="L37" s="2">
        <v>35204.475146999997</v>
      </c>
      <c r="M37" t="str">
        <f t="shared" si="0"/>
        <v>Arizona</v>
      </c>
      <c r="N37" t="str">
        <f t="shared" si="1"/>
        <v>NA</v>
      </c>
      <c r="O37" t="str">
        <f t="shared" si="2"/>
        <v>High School or Below</v>
      </c>
      <c r="P37" t="str">
        <f t="shared" si="3"/>
        <v>Personal</v>
      </c>
      <c r="Q37">
        <f t="shared" si="4"/>
        <v>4</v>
      </c>
      <c r="R37">
        <f t="shared" ca="1" si="5"/>
        <v>30</v>
      </c>
    </row>
    <row r="38" spans="1:18" x14ac:dyDescent="0.35">
      <c r="A38" t="s">
        <v>70</v>
      </c>
      <c r="B38" t="s">
        <v>26</v>
      </c>
      <c r="C38" t="s">
        <v>17</v>
      </c>
      <c r="D38" t="s">
        <v>4</v>
      </c>
      <c r="E38" s="5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 s="4">
        <v>561.6</v>
      </c>
      <c r="L38" s="2">
        <v>35561.599999999999</v>
      </c>
      <c r="M38" t="str">
        <f t="shared" si="0"/>
        <v>California</v>
      </c>
      <c r="N38" t="str">
        <f t="shared" si="1"/>
        <v>NA</v>
      </c>
      <c r="O38" t="str">
        <f t="shared" si="2"/>
        <v>Bachelor</v>
      </c>
      <c r="P38" t="str">
        <f t="shared" si="3"/>
        <v>Personal</v>
      </c>
      <c r="Q38">
        <f t="shared" si="4"/>
        <v>4</v>
      </c>
      <c r="R38">
        <f t="shared" ca="1" si="5"/>
        <v>29</v>
      </c>
    </row>
    <row r="39" spans="1:18" x14ac:dyDescent="0.35">
      <c r="A39" t="s">
        <v>71</v>
      </c>
      <c r="B39" t="s">
        <v>33</v>
      </c>
      <c r="C39" t="s">
        <v>17</v>
      </c>
      <c r="D39" t="s">
        <v>2</v>
      </c>
      <c r="E39" s="5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 s="4">
        <v>436.8</v>
      </c>
      <c r="L39" s="2">
        <v>35436.800000000003</v>
      </c>
      <c r="M39" t="str">
        <f t="shared" si="0"/>
        <v>Oregon</v>
      </c>
      <c r="N39" t="str">
        <f t="shared" si="1"/>
        <v>NA</v>
      </c>
      <c r="O39" t="str">
        <f t="shared" si="2"/>
        <v>Master</v>
      </c>
      <c r="P39" t="str">
        <f t="shared" si="3"/>
        <v>Personal</v>
      </c>
      <c r="Q39">
        <f t="shared" si="4"/>
        <v>4</v>
      </c>
      <c r="R39">
        <f t="shared" ca="1" si="5"/>
        <v>29</v>
      </c>
    </row>
    <row r="40" spans="1:18" x14ac:dyDescent="0.35">
      <c r="A40" t="s">
        <v>72</v>
      </c>
      <c r="B40" t="s">
        <v>33</v>
      </c>
      <c r="C40" t="s">
        <v>17</v>
      </c>
      <c r="D40" t="s">
        <v>4</v>
      </c>
      <c r="E40" s="5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 s="4">
        <v>648</v>
      </c>
      <c r="L40" s="2">
        <v>35648</v>
      </c>
      <c r="M40" t="str">
        <f t="shared" si="0"/>
        <v>Oregon</v>
      </c>
      <c r="N40" t="str">
        <f t="shared" si="1"/>
        <v>NA</v>
      </c>
      <c r="O40" t="str">
        <f t="shared" si="2"/>
        <v>Bachelor</v>
      </c>
      <c r="P40" t="str">
        <f t="shared" si="3"/>
        <v>Personal</v>
      </c>
      <c r="Q40">
        <f t="shared" si="4"/>
        <v>2</v>
      </c>
      <c r="R40">
        <f t="shared" ca="1" si="5"/>
        <v>29</v>
      </c>
    </row>
    <row r="41" spans="1:18" x14ac:dyDescent="0.35">
      <c r="A41" t="s">
        <v>73</v>
      </c>
      <c r="B41" t="s">
        <v>5</v>
      </c>
      <c r="C41" t="s">
        <v>17</v>
      </c>
      <c r="D41" t="s">
        <v>31</v>
      </c>
      <c r="E41" s="5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 s="4">
        <v>157.39784900000001</v>
      </c>
      <c r="L41" s="2">
        <v>35157.397849000001</v>
      </c>
      <c r="M41" t="str">
        <f t="shared" si="0"/>
        <v>Arizona</v>
      </c>
      <c r="N41" t="str">
        <f t="shared" si="1"/>
        <v>NA</v>
      </c>
      <c r="O41" t="str">
        <f t="shared" si="2"/>
        <v>High School or Below</v>
      </c>
      <c r="P41" t="str">
        <f t="shared" si="3"/>
        <v>Personal</v>
      </c>
      <c r="Q41">
        <f t="shared" si="4"/>
        <v>4</v>
      </c>
      <c r="R41">
        <f t="shared" ca="1" si="5"/>
        <v>30</v>
      </c>
    </row>
    <row r="42" spans="1:18" x14ac:dyDescent="0.35">
      <c r="A42" t="s">
        <v>74</v>
      </c>
      <c r="B42" t="s">
        <v>23</v>
      </c>
      <c r="C42" t="s">
        <v>17</v>
      </c>
      <c r="D42" t="s">
        <v>31</v>
      </c>
      <c r="E42" s="5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 s="4">
        <v>484.31853599999999</v>
      </c>
      <c r="L42" s="2">
        <v>35484.318535999999</v>
      </c>
      <c r="M42" t="str">
        <f t="shared" si="0"/>
        <v>Nevada</v>
      </c>
      <c r="N42" t="str">
        <f t="shared" si="1"/>
        <v>NA</v>
      </c>
      <c r="O42" t="str">
        <f t="shared" si="2"/>
        <v>High School or Below</v>
      </c>
      <c r="P42" t="str">
        <f t="shared" si="3"/>
        <v>Corporate</v>
      </c>
      <c r="Q42">
        <f t="shared" si="4"/>
        <v>2</v>
      </c>
      <c r="R42">
        <f t="shared" ca="1" si="5"/>
        <v>29</v>
      </c>
    </row>
    <row r="43" spans="1:18" x14ac:dyDescent="0.35">
      <c r="A43" t="s">
        <v>75</v>
      </c>
      <c r="B43" t="s">
        <v>33</v>
      </c>
      <c r="C43" t="s">
        <v>17</v>
      </c>
      <c r="D43" t="s">
        <v>35</v>
      </c>
      <c r="E43" s="5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 s="4">
        <v>18.918935000000001</v>
      </c>
      <c r="L43" s="2">
        <v>35018.918935000002</v>
      </c>
      <c r="M43" t="str">
        <f t="shared" si="0"/>
        <v>Oregon</v>
      </c>
      <c r="N43" t="str">
        <f t="shared" si="1"/>
        <v>NA</v>
      </c>
      <c r="O43" t="str">
        <f t="shared" si="2"/>
        <v>College</v>
      </c>
      <c r="P43" t="str">
        <f t="shared" si="3"/>
        <v>Corporate</v>
      </c>
      <c r="Q43">
        <f t="shared" si="4"/>
        <v>2</v>
      </c>
      <c r="R43">
        <f t="shared" ca="1" si="5"/>
        <v>30</v>
      </c>
    </row>
    <row r="44" spans="1:18" x14ac:dyDescent="0.35">
      <c r="A44" t="s">
        <v>76</v>
      </c>
      <c r="B44" t="s">
        <v>26</v>
      </c>
      <c r="C44" t="s">
        <v>17</v>
      </c>
      <c r="D44" t="s">
        <v>4</v>
      </c>
      <c r="E44" s="5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 s="4">
        <v>882.87194499999998</v>
      </c>
      <c r="L44" s="2">
        <v>35882.871944999999</v>
      </c>
      <c r="M44" t="str">
        <f t="shared" si="0"/>
        <v>California</v>
      </c>
      <c r="N44" t="str">
        <f t="shared" si="1"/>
        <v>NA</v>
      </c>
      <c r="O44" t="str">
        <f t="shared" si="2"/>
        <v>Bachelor</v>
      </c>
      <c r="P44" t="str">
        <f t="shared" si="3"/>
        <v>Personal</v>
      </c>
      <c r="Q44">
        <f t="shared" si="4"/>
        <v>4</v>
      </c>
      <c r="R44">
        <f t="shared" ca="1" si="5"/>
        <v>28</v>
      </c>
    </row>
    <row r="45" spans="1:18" x14ac:dyDescent="0.35">
      <c r="A45" t="s">
        <v>77</v>
      </c>
      <c r="B45" t="s">
        <v>5</v>
      </c>
      <c r="C45" t="s">
        <v>17</v>
      </c>
      <c r="D45" t="s">
        <v>31</v>
      </c>
      <c r="E45" s="5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 s="4">
        <v>494.4</v>
      </c>
      <c r="L45" s="2">
        <v>35494.400000000001</v>
      </c>
      <c r="M45" t="str">
        <f t="shared" si="0"/>
        <v>Arizona</v>
      </c>
      <c r="N45" t="str">
        <f t="shared" si="1"/>
        <v>NA</v>
      </c>
      <c r="O45" t="str">
        <f t="shared" si="2"/>
        <v>High School or Below</v>
      </c>
      <c r="P45" t="str">
        <f t="shared" si="3"/>
        <v>Personal</v>
      </c>
      <c r="Q45">
        <f t="shared" si="4"/>
        <v>2</v>
      </c>
      <c r="R45">
        <f t="shared" ca="1" si="5"/>
        <v>29</v>
      </c>
    </row>
    <row r="46" spans="1:18" x14ac:dyDescent="0.35">
      <c r="A46" t="s">
        <v>79</v>
      </c>
      <c r="B46" t="s">
        <v>3</v>
      </c>
      <c r="C46" t="s">
        <v>27</v>
      </c>
      <c r="D46" t="s">
        <v>80</v>
      </c>
      <c r="E46" s="5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 s="4">
        <v>31.707317</v>
      </c>
      <c r="L46" s="2">
        <v>35031.707317</v>
      </c>
      <c r="M46" t="str">
        <f t="shared" si="0"/>
        <v>Washington</v>
      </c>
      <c r="N46" t="str">
        <f t="shared" si="1"/>
        <v>M</v>
      </c>
      <c r="O46" t="str">
        <f t="shared" si="2"/>
        <v>Doctor</v>
      </c>
      <c r="P46" t="str">
        <f t="shared" si="3"/>
        <v>Personal</v>
      </c>
      <c r="Q46">
        <f t="shared" si="4"/>
        <v>4</v>
      </c>
      <c r="R46">
        <f t="shared" ca="1" si="5"/>
        <v>30</v>
      </c>
    </row>
    <row r="47" spans="1:18" x14ac:dyDescent="0.35">
      <c r="A47" t="s">
        <v>81</v>
      </c>
      <c r="B47" t="s">
        <v>33</v>
      </c>
      <c r="C47" t="s">
        <v>17</v>
      </c>
      <c r="D47" t="s">
        <v>80</v>
      </c>
      <c r="E47" s="5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 s="4">
        <v>0.51775300000000002</v>
      </c>
      <c r="L47" s="2">
        <v>35000.517753</v>
      </c>
      <c r="M47" t="str">
        <f t="shared" si="0"/>
        <v>Oregon</v>
      </c>
      <c r="N47" t="str">
        <f t="shared" si="1"/>
        <v>NA</v>
      </c>
      <c r="O47" t="str">
        <f t="shared" si="2"/>
        <v>Doctor</v>
      </c>
      <c r="P47" t="str">
        <f t="shared" si="3"/>
        <v>Personal</v>
      </c>
      <c r="Q47">
        <f t="shared" si="4"/>
        <v>4</v>
      </c>
      <c r="R47">
        <f t="shared" ca="1" si="5"/>
        <v>30</v>
      </c>
    </row>
    <row r="48" spans="1:18" x14ac:dyDescent="0.35">
      <c r="A48" t="s">
        <v>82</v>
      </c>
      <c r="B48" t="s">
        <v>5</v>
      </c>
      <c r="C48" t="s">
        <v>17</v>
      </c>
      <c r="D48" t="s">
        <v>4</v>
      </c>
      <c r="E48" s="5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 s="4">
        <v>579.16595400000006</v>
      </c>
      <c r="L48" s="2">
        <v>35579.165953999996</v>
      </c>
      <c r="M48" t="str">
        <f t="shared" si="0"/>
        <v>Arizona</v>
      </c>
      <c r="N48" t="str">
        <f t="shared" si="1"/>
        <v>NA</v>
      </c>
      <c r="O48" t="str">
        <f t="shared" si="2"/>
        <v>Bachelor</v>
      </c>
      <c r="P48" t="str">
        <f t="shared" si="3"/>
        <v>Personal</v>
      </c>
      <c r="Q48">
        <f t="shared" si="4"/>
        <v>4</v>
      </c>
      <c r="R48">
        <f t="shared" ca="1" si="5"/>
        <v>29</v>
      </c>
    </row>
    <row r="49" spans="1:18" x14ac:dyDescent="0.35">
      <c r="A49" t="s">
        <v>83</v>
      </c>
      <c r="B49" t="s">
        <v>33</v>
      </c>
      <c r="C49" t="s">
        <v>17</v>
      </c>
      <c r="D49" t="s">
        <v>31</v>
      </c>
      <c r="E49" s="5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 s="4">
        <v>447.79343999999998</v>
      </c>
      <c r="L49" s="2">
        <v>35447.793440000001</v>
      </c>
      <c r="M49" t="str">
        <f t="shared" si="0"/>
        <v>Oregon</v>
      </c>
      <c r="N49" t="str">
        <f t="shared" si="1"/>
        <v>NA</v>
      </c>
      <c r="O49" t="str">
        <f t="shared" si="2"/>
        <v>High School or Below</v>
      </c>
      <c r="P49" t="str">
        <f t="shared" si="3"/>
        <v>Personal</v>
      </c>
      <c r="Q49">
        <f t="shared" si="4"/>
        <v>2</v>
      </c>
      <c r="R49">
        <f t="shared" ca="1" si="5"/>
        <v>29</v>
      </c>
    </row>
    <row r="50" spans="1:18" x14ac:dyDescent="0.35">
      <c r="A50" t="s">
        <v>84</v>
      </c>
      <c r="B50" t="s">
        <v>26</v>
      </c>
      <c r="C50" t="s">
        <v>17</v>
      </c>
      <c r="D50" t="s">
        <v>4</v>
      </c>
      <c r="E50" s="5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 s="4">
        <v>529.62408400000004</v>
      </c>
      <c r="L50" s="2">
        <v>35529.624084000003</v>
      </c>
      <c r="M50" t="str">
        <f t="shared" si="0"/>
        <v>California</v>
      </c>
      <c r="N50" t="str">
        <f t="shared" si="1"/>
        <v>NA</v>
      </c>
      <c r="O50" t="str">
        <f t="shared" si="2"/>
        <v>Bachelor</v>
      </c>
      <c r="P50" t="str">
        <f t="shared" si="3"/>
        <v>Corporate</v>
      </c>
      <c r="Q50">
        <f t="shared" si="4"/>
        <v>4</v>
      </c>
      <c r="R50">
        <f t="shared" ca="1" si="5"/>
        <v>29</v>
      </c>
    </row>
    <row r="51" spans="1:18" x14ac:dyDescent="0.35">
      <c r="A51" t="s">
        <v>85</v>
      </c>
      <c r="B51" t="s">
        <v>5</v>
      </c>
      <c r="C51" t="s">
        <v>17</v>
      </c>
      <c r="D51" t="s">
        <v>31</v>
      </c>
      <c r="E51" s="5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 s="4">
        <v>313.02317499999998</v>
      </c>
      <c r="L51" s="2">
        <v>35313.023175000002</v>
      </c>
      <c r="M51" t="str">
        <f t="shared" si="0"/>
        <v>Arizona</v>
      </c>
      <c r="N51" t="str">
        <f t="shared" si="1"/>
        <v>NA</v>
      </c>
      <c r="O51" t="str">
        <f t="shared" si="2"/>
        <v>High School or Below</v>
      </c>
      <c r="P51" t="str">
        <f t="shared" si="3"/>
        <v>Personal</v>
      </c>
      <c r="Q51">
        <f t="shared" si="4"/>
        <v>4</v>
      </c>
      <c r="R51">
        <f t="shared" ca="1" si="5"/>
        <v>30</v>
      </c>
    </row>
    <row r="52" spans="1:18" x14ac:dyDescent="0.35">
      <c r="A52" t="s">
        <v>86</v>
      </c>
      <c r="B52" t="s">
        <v>33</v>
      </c>
      <c r="C52" t="s">
        <v>17</v>
      </c>
      <c r="D52" t="s">
        <v>35</v>
      </c>
      <c r="E52" s="5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 s="4">
        <v>593.830288</v>
      </c>
      <c r="L52" s="2">
        <v>35593.830287999997</v>
      </c>
      <c r="M52" t="str">
        <f t="shared" si="0"/>
        <v>Oregon</v>
      </c>
      <c r="N52" t="str">
        <f t="shared" si="1"/>
        <v>NA</v>
      </c>
      <c r="O52" t="str">
        <f t="shared" si="2"/>
        <v>College</v>
      </c>
      <c r="P52" t="str">
        <f t="shared" si="3"/>
        <v>Personal</v>
      </c>
      <c r="Q52">
        <f t="shared" si="4"/>
        <v>4</v>
      </c>
      <c r="R52">
        <f t="shared" ca="1" si="5"/>
        <v>29</v>
      </c>
    </row>
    <row r="53" spans="1:18" x14ac:dyDescent="0.35">
      <c r="A53" t="s">
        <v>87</v>
      </c>
      <c r="B53" t="s">
        <v>26</v>
      </c>
      <c r="C53" t="s">
        <v>17</v>
      </c>
      <c r="D53" t="s">
        <v>4</v>
      </c>
      <c r="E53" s="5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 s="4">
        <v>508.8</v>
      </c>
      <c r="L53" s="2">
        <v>35508.800000000003</v>
      </c>
      <c r="M53" t="str">
        <f t="shared" si="0"/>
        <v>California</v>
      </c>
      <c r="N53" t="str">
        <f t="shared" si="1"/>
        <v>NA</v>
      </c>
      <c r="O53" t="str">
        <f t="shared" si="2"/>
        <v>Bachelor</v>
      </c>
      <c r="P53" t="str">
        <f t="shared" si="3"/>
        <v>Corporate</v>
      </c>
      <c r="Q53">
        <f t="shared" si="4"/>
        <v>4</v>
      </c>
      <c r="R53">
        <f t="shared" ca="1" si="5"/>
        <v>29</v>
      </c>
    </row>
    <row r="54" spans="1:18" x14ac:dyDescent="0.35">
      <c r="A54" t="s">
        <v>88</v>
      </c>
      <c r="B54" t="s">
        <v>23</v>
      </c>
      <c r="C54" t="s">
        <v>17</v>
      </c>
      <c r="D54" t="s">
        <v>31</v>
      </c>
      <c r="E54" s="5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 s="4">
        <v>173.95607200000001</v>
      </c>
      <c r="L54" s="2">
        <v>35173.956072000001</v>
      </c>
      <c r="M54" t="str">
        <f t="shared" si="0"/>
        <v>Nevada</v>
      </c>
      <c r="N54" t="str">
        <f t="shared" si="1"/>
        <v>NA</v>
      </c>
      <c r="O54" t="str">
        <f t="shared" si="2"/>
        <v>High School or Below</v>
      </c>
      <c r="P54" t="str">
        <f t="shared" si="3"/>
        <v>Special</v>
      </c>
      <c r="Q54">
        <f t="shared" si="4"/>
        <v>4</v>
      </c>
      <c r="R54">
        <f t="shared" ca="1" si="5"/>
        <v>30</v>
      </c>
    </row>
    <row r="55" spans="1:18" x14ac:dyDescent="0.35">
      <c r="A55" t="s">
        <v>89</v>
      </c>
      <c r="B55" t="s">
        <v>3</v>
      </c>
      <c r="C55" t="s">
        <v>21</v>
      </c>
      <c r="D55" t="s">
        <v>2</v>
      </c>
      <c r="E55" s="5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 s="4">
        <v>33.192802999999998</v>
      </c>
      <c r="L55" s="2">
        <v>35033.192802999998</v>
      </c>
      <c r="M55" t="str">
        <f t="shared" si="0"/>
        <v>Washington</v>
      </c>
      <c r="N55" t="str">
        <f t="shared" si="1"/>
        <v>F</v>
      </c>
      <c r="O55" t="str">
        <f t="shared" si="2"/>
        <v>Master</v>
      </c>
      <c r="P55" t="str">
        <f t="shared" si="3"/>
        <v>Personal</v>
      </c>
      <c r="Q55">
        <f t="shared" si="4"/>
        <v>2</v>
      </c>
      <c r="R55">
        <f t="shared" ca="1" si="5"/>
        <v>30</v>
      </c>
    </row>
    <row r="56" spans="1:18" x14ac:dyDescent="0.35">
      <c r="A56" t="s">
        <v>90</v>
      </c>
      <c r="B56" t="s">
        <v>26</v>
      </c>
      <c r="C56" t="s">
        <v>17</v>
      </c>
      <c r="D56" t="s">
        <v>4</v>
      </c>
      <c r="E56" s="5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 s="4">
        <v>831.62597900000003</v>
      </c>
      <c r="L56" s="2">
        <v>35831.625978999997</v>
      </c>
      <c r="M56" t="str">
        <f t="shared" si="0"/>
        <v>California</v>
      </c>
      <c r="N56" t="str">
        <f t="shared" si="1"/>
        <v>NA</v>
      </c>
      <c r="O56" t="str">
        <f t="shared" si="2"/>
        <v>Bachelor</v>
      </c>
      <c r="P56" t="str">
        <f t="shared" si="3"/>
        <v>Personal</v>
      </c>
      <c r="Q56">
        <f t="shared" si="4"/>
        <v>4</v>
      </c>
      <c r="R56">
        <f t="shared" ca="1" si="5"/>
        <v>28</v>
      </c>
    </row>
    <row r="57" spans="1:18" x14ac:dyDescent="0.35">
      <c r="A57" t="s">
        <v>91</v>
      </c>
      <c r="B57" t="s">
        <v>5</v>
      </c>
      <c r="C57" t="s">
        <v>17</v>
      </c>
      <c r="D57" t="s">
        <v>35</v>
      </c>
      <c r="E57" s="5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 s="4">
        <v>436.8</v>
      </c>
      <c r="L57" s="2">
        <v>35436.800000000003</v>
      </c>
      <c r="M57" t="str">
        <f t="shared" si="0"/>
        <v>Arizona</v>
      </c>
      <c r="N57" t="str">
        <f t="shared" si="1"/>
        <v>NA</v>
      </c>
      <c r="O57" t="str">
        <f t="shared" si="2"/>
        <v>College</v>
      </c>
      <c r="P57" t="str">
        <f t="shared" si="3"/>
        <v>Corporate</v>
      </c>
      <c r="Q57">
        <f t="shared" si="4"/>
        <v>4</v>
      </c>
      <c r="R57">
        <f t="shared" ca="1" si="5"/>
        <v>29</v>
      </c>
    </row>
    <row r="58" spans="1:18" x14ac:dyDescent="0.35">
      <c r="A58" t="s">
        <v>92</v>
      </c>
      <c r="B58" t="s">
        <v>26</v>
      </c>
      <c r="C58" t="s">
        <v>17</v>
      </c>
      <c r="D58" t="s">
        <v>35</v>
      </c>
      <c r="E58" s="5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 s="4">
        <v>302.56518999999997</v>
      </c>
      <c r="L58" s="2">
        <v>35302.565190000001</v>
      </c>
      <c r="M58" t="str">
        <f t="shared" si="0"/>
        <v>California</v>
      </c>
      <c r="N58" t="str">
        <f t="shared" si="1"/>
        <v>NA</v>
      </c>
      <c r="O58" t="str">
        <f t="shared" si="2"/>
        <v>College</v>
      </c>
      <c r="P58" t="str">
        <f t="shared" si="3"/>
        <v>Special</v>
      </c>
      <c r="Q58">
        <f t="shared" si="4"/>
        <v>4</v>
      </c>
      <c r="R58">
        <f t="shared" ca="1" si="5"/>
        <v>30</v>
      </c>
    </row>
    <row r="59" spans="1:18" x14ac:dyDescent="0.35">
      <c r="A59" t="s">
        <v>93</v>
      </c>
      <c r="B59" t="s">
        <v>5</v>
      </c>
      <c r="C59" t="s">
        <v>17</v>
      </c>
      <c r="D59" t="s">
        <v>31</v>
      </c>
      <c r="E59" s="5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 s="4">
        <v>484.8</v>
      </c>
      <c r="L59" s="2">
        <v>35484.800000000003</v>
      </c>
      <c r="M59" t="str">
        <f t="shared" si="0"/>
        <v>Arizona</v>
      </c>
      <c r="N59" t="str">
        <f t="shared" si="1"/>
        <v>NA</v>
      </c>
      <c r="O59" t="str">
        <f t="shared" si="2"/>
        <v>High School or Below</v>
      </c>
      <c r="P59" t="str">
        <f t="shared" si="3"/>
        <v>Personal</v>
      </c>
      <c r="Q59">
        <f t="shared" si="4"/>
        <v>4</v>
      </c>
      <c r="R59">
        <f t="shared" ca="1" si="5"/>
        <v>29</v>
      </c>
    </row>
    <row r="60" spans="1:18" x14ac:dyDescent="0.35">
      <c r="A60" t="s">
        <v>94</v>
      </c>
      <c r="B60" t="s">
        <v>33</v>
      </c>
      <c r="C60" t="s">
        <v>17</v>
      </c>
      <c r="D60" t="s">
        <v>31</v>
      </c>
      <c r="E60" s="5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 s="4">
        <v>704.76811099999998</v>
      </c>
      <c r="L60" s="2">
        <v>35704.768110999998</v>
      </c>
      <c r="M60" t="str">
        <f t="shared" si="0"/>
        <v>Oregon</v>
      </c>
      <c r="N60" t="str">
        <f t="shared" si="1"/>
        <v>NA</v>
      </c>
      <c r="O60" t="str">
        <f t="shared" si="2"/>
        <v>High School or Below</v>
      </c>
      <c r="P60" t="str">
        <f t="shared" si="3"/>
        <v>Personal</v>
      </c>
      <c r="Q60">
        <f t="shared" si="4"/>
        <v>4</v>
      </c>
      <c r="R60">
        <f t="shared" ca="1" si="5"/>
        <v>28</v>
      </c>
    </row>
    <row r="61" spans="1:18" x14ac:dyDescent="0.35">
      <c r="A61" t="s">
        <v>95</v>
      </c>
      <c r="B61" t="s">
        <v>33</v>
      </c>
      <c r="C61" t="s">
        <v>17</v>
      </c>
      <c r="D61" t="s">
        <v>2</v>
      </c>
      <c r="E61" s="5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 s="4">
        <v>518.4</v>
      </c>
      <c r="L61" s="2">
        <v>35518.400000000001</v>
      </c>
      <c r="M61" t="str">
        <f t="shared" si="0"/>
        <v>Oregon</v>
      </c>
      <c r="N61" t="str">
        <f t="shared" si="1"/>
        <v>NA</v>
      </c>
      <c r="O61" t="str">
        <f t="shared" si="2"/>
        <v>Master</v>
      </c>
      <c r="P61" t="str">
        <f t="shared" si="3"/>
        <v>Personal</v>
      </c>
      <c r="Q61">
        <f t="shared" si="4"/>
        <v>4</v>
      </c>
      <c r="R61">
        <f t="shared" ca="1" si="5"/>
        <v>29</v>
      </c>
    </row>
    <row r="62" spans="1:18" x14ac:dyDescent="0.35">
      <c r="A62" t="s">
        <v>96</v>
      </c>
      <c r="B62" t="s">
        <v>5</v>
      </c>
      <c r="C62" t="s">
        <v>17</v>
      </c>
      <c r="D62" t="s">
        <v>4</v>
      </c>
      <c r="E62" s="5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 s="4">
        <v>312</v>
      </c>
      <c r="L62" s="2">
        <v>35312</v>
      </c>
      <c r="M62" t="str">
        <f t="shared" si="0"/>
        <v>Arizona</v>
      </c>
      <c r="N62" t="str">
        <f t="shared" si="1"/>
        <v>NA</v>
      </c>
      <c r="O62" t="str">
        <f t="shared" si="2"/>
        <v>Bachelor</v>
      </c>
      <c r="P62" t="str">
        <f t="shared" si="3"/>
        <v>Personal</v>
      </c>
      <c r="Q62">
        <f t="shared" si="4"/>
        <v>4</v>
      </c>
      <c r="R62">
        <f t="shared" ca="1" si="5"/>
        <v>30</v>
      </c>
    </row>
    <row r="63" spans="1:18" x14ac:dyDescent="0.35">
      <c r="A63" t="s">
        <v>97</v>
      </c>
      <c r="B63" t="s">
        <v>26</v>
      </c>
      <c r="C63" t="s">
        <v>17</v>
      </c>
      <c r="D63" t="s">
        <v>4</v>
      </c>
      <c r="E63" s="5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 s="4">
        <v>504</v>
      </c>
      <c r="L63" s="2">
        <v>35504</v>
      </c>
      <c r="M63" t="str">
        <f t="shared" si="0"/>
        <v>California</v>
      </c>
      <c r="N63" t="str">
        <f t="shared" si="1"/>
        <v>NA</v>
      </c>
      <c r="O63" t="str">
        <f t="shared" si="2"/>
        <v>Bachelor</v>
      </c>
      <c r="P63" t="str">
        <f t="shared" si="3"/>
        <v>Personal</v>
      </c>
      <c r="Q63">
        <f t="shared" si="4"/>
        <v>2</v>
      </c>
      <c r="R63">
        <f t="shared" ca="1" si="5"/>
        <v>29</v>
      </c>
    </row>
    <row r="64" spans="1:18" x14ac:dyDescent="0.35">
      <c r="A64" t="s">
        <v>98</v>
      </c>
      <c r="B64" t="s">
        <v>33</v>
      </c>
      <c r="C64" t="s">
        <v>17</v>
      </c>
      <c r="D64" t="s">
        <v>4</v>
      </c>
      <c r="E64" s="5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 s="4">
        <v>863.32732399999998</v>
      </c>
      <c r="L64" s="2">
        <v>35863.327323999998</v>
      </c>
      <c r="M64" t="str">
        <f t="shared" si="0"/>
        <v>Oregon</v>
      </c>
      <c r="N64" t="str">
        <f t="shared" si="1"/>
        <v>NA</v>
      </c>
      <c r="O64" t="str">
        <f t="shared" si="2"/>
        <v>Bachelor</v>
      </c>
      <c r="P64" t="str">
        <f t="shared" si="3"/>
        <v>Personal</v>
      </c>
      <c r="Q64">
        <f t="shared" si="4"/>
        <v>2</v>
      </c>
      <c r="R64">
        <f t="shared" ca="1" si="5"/>
        <v>28</v>
      </c>
    </row>
    <row r="65" spans="1:18" x14ac:dyDescent="0.35">
      <c r="A65" t="s">
        <v>99</v>
      </c>
      <c r="B65" t="s">
        <v>26</v>
      </c>
      <c r="C65" t="s">
        <v>17</v>
      </c>
      <c r="D65" t="s">
        <v>31</v>
      </c>
      <c r="E65" s="5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 s="4">
        <v>104.331355</v>
      </c>
      <c r="L65" s="2">
        <v>35104.331355000002</v>
      </c>
      <c r="M65" t="str">
        <f t="shared" si="0"/>
        <v>California</v>
      </c>
      <c r="N65" t="str">
        <f t="shared" si="1"/>
        <v>NA</v>
      </c>
      <c r="O65" t="str">
        <f t="shared" si="2"/>
        <v>High School or Below</v>
      </c>
      <c r="P65" t="str">
        <f t="shared" si="3"/>
        <v>Personal</v>
      </c>
      <c r="Q65">
        <f t="shared" si="4"/>
        <v>4</v>
      </c>
      <c r="R65">
        <f t="shared" ca="1" si="5"/>
        <v>30</v>
      </c>
    </row>
    <row r="66" spans="1:18" x14ac:dyDescent="0.35">
      <c r="A66" t="s">
        <v>100</v>
      </c>
      <c r="B66" t="s">
        <v>5</v>
      </c>
      <c r="C66" t="s">
        <v>17</v>
      </c>
      <c r="D66" t="s">
        <v>4</v>
      </c>
      <c r="E66" s="5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 s="4">
        <v>676.391482</v>
      </c>
      <c r="L66" s="2">
        <v>35676.391481999999</v>
      </c>
      <c r="M66" t="str">
        <f t="shared" si="0"/>
        <v>Arizona</v>
      </c>
      <c r="N66" t="str">
        <f t="shared" si="1"/>
        <v>NA</v>
      </c>
      <c r="O66" t="str">
        <f t="shared" si="2"/>
        <v>Bachelor</v>
      </c>
      <c r="P66" t="str">
        <f t="shared" si="3"/>
        <v>Personal</v>
      </c>
      <c r="Q66">
        <f t="shared" si="4"/>
        <v>4</v>
      </c>
      <c r="R66">
        <f t="shared" ca="1" si="5"/>
        <v>29</v>
      </c>
    </row>
    <row r="67" spans="1:18" x14ac:dyDescent="0.35">
      <c r="A67" t="s">
        <v>101</v>
      </c>
      <c r="B67" t="s">
        <v>102</v>
      </c>
      <c r="C67" t="s">
        <v>17</v>
      </c>
      <c r="D67" t="s">
        <v>35</v>
      </c>
      <c r="E67" s="5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 s="4">
        <v>350.4</v>
      </c>
      <c r="L67" s="2">
        <v>35350.400000000001</v>
      </c>
      <c r="M67" t="str">
        <f t="shared" ref="M67:M130" si="6">IF(OR(B67="California",B67="Cali"),"California",IF(OR(B67="Arizona",B67="AZ"),"Arizona",IF(OR(B67="Washington",B67="WA"),"Washington",B67)))</f>
        <v>Washington</v>
      </c>
      <c r="N67" t="str">
        <f t="shared" ref="N67:N130" si="7">IF(OR(C67="F",C67="Femal",C67="female"),"F",IF(OR(C67="M",C67="Male"),"M","NA"))</f>
        <v>NA</v>
      </c>
      <c r="O67" t="str">
        <f t="shared" ref="O67:O130" si="8">IF(OR(D67="Bachelor",D67="Bachelors"),"Bachelor",D67)</f>
        <v>College</v>
      </c>
      <c r="P67" t="str">
        <f t="shared" ref="P67:P130" si="9">LEFT(I67,FIND(" ",I67)-1)</f>
        <v>Personal</v>
      </c>
      <c r="Q67">
        <f t="shared" ref="Q67:Q130" si="10">IF(OR(J67="Luxury Car",J67="Two-Door Car",J67="Sports Car"),2,IF(OR(J67="Luxury SUV",J67="SUV",J67="Four-Door Car"),4,"NA"))</f>
        <v>4</v>
      </c>
      <c r="R67">
        <f t="shared" ref="R67:R130" ca="1" si="11">DATEDIF(L67,TODAY(),"Y")</f>
        <v>29</v>
      </c>
    </row>
    <row r="68" spans="1:18" x14ac:dyDescent="0.35">
      <c r="A68" t="s">
        <v>103</v>
      </c>
      <c r="B68" t="s">
        <v>33</v>
      </c>
      <c r="C68" t="s">
        <v>17</v>
      </c>
      <c r="D68" t="s">
        <v>35</v>
      </c>
      <c r="E68" s="5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 s="4">
        <v>537.6</v>
      </c>
      <c r="L68" s="2">
        <v>35537.599999999999</v>
      </c>
      <c r="M68" t="str">
        <f t="shared" si="6"/>
        <v>Oregon</v>
      </c>
      <c r="N68" t="str">
        <f t="shared" si="7"/>
        <v>NA</v>
      </c>
      <c r="O68" t="str">
        <f t="shared" si="8"/>
        <v>College</v>
      </c>
      <c r="P68" t="str">
        <f t="shared" si="9"/>
        <v>Corporate</v>
      </c>
      <c r="Q68">
        <f t="shared" si="10"/>
        <v>4</v>
      </c>
      <c r="R68">
        <f t="shared" ca="1" si="11"/>
        <v>29</v>
      </c>
    </row>
    <row r="69" spans="1:18" x14ac:dyDescent="0.35">
      <c r="A69" t="s">
        <v>104</v>
      </c>
      <c r="B69" t="s">
        <v>61</v>
      </c>
      <c r="C69" t="s">
        <v>17</v>
      </c>
      <c r="D69" t="s">
        <v>31</v>
      </c>
      <c r="E69" s="5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 s="4">
        <v>465.258644</v>
      </c>
      <c r="L69" s="2">
        <v>35465.258644000001</v>
      </c>
      <c r="M69" t="str">
        <f t="shared" si="6"/>
        <v>Arizona</v>
      </c>
      <c r="N69" t="str">
        <f t="shared" si="7"/>
        <v>NA</v>
      </c>
      <c r="O69" t="str">
        <f t="shared" si="8"/>
        <v>High School or Below</v>
      </c>
      <c r="P69" t="str">
        <f t="shared" si="9"/>
        <v>Personal</v>
      </c>
      <c r="Q69">
        <f t="shared" si="10"/>
        <v>2</v>
      </c>
      <c r="R69">
        <f t="shared" ca="1" si="11"/>
        <v>29</v>
      </c>
    </row>
    <row r="70" spans="1:18" x14ac:dyDescent="0.35">
      <c r="A70" t="s">
        <v>105</v>
      </c>
      <c r="B70" t="s">
        <v>33</v>
      </c>
      <c r="C70" t="s">
        <v>17</v>
      </c>
      <c r="D70" t="s">
        <v>4</v>
      </c>
      <c r="E70" s="5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 s="4">
        <v>456</v>
      </c>
      <c r="L70" s="2">
        <v>35456</v>
      </c>
      <c r="M70" t="str">
        <f t="shared" si="6"/>
        <v>Oregon</v>
      </c>
      <c r="N70" t="str">
        <f t="shared" si="7"/>
        <v>NA</v>
      </c>
      <c r="O70" t="str">
        <f t="shared" si="8"/>
        <v>Bachelor</v>
      </c>
      <c r="P70" t="str">
        <f t="shared" si="9"/>
        <v>Personal</v>
      </c>
      <c r="Q70">
        <f t="shared" si="10"/>
        <v>2</v>
      </c>
      <c r="R70">
        <f t="shared" ca="1" si="11"/>
        <v>29</v>
      </c>
    </row>
    <row r="71" spans="1:18" x14ac:dyDescent="0.35">
      <c r="A71" t="s">
        <v>106</v>
      </c>
      <c r="B71" t="s">
        <v>26</v>
      </c>
      <c r="C71" t="s">
        <v>17</v>
      </c>
      <c r="D71" t="s">
        <v>35</v>
      </c>
      <c r="E71" s="5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 s="4">
        <v>500.25423499999999</v>
      </c>
      <c r="L71" s="2">
        <v>35500.254235</v>
      </c>
      <c r="M71" t="str">
        <f t="shared" si="6"/>
        <v>California</v>
      </c>
      <c r="N71" t="str">
        <f t="shared" si="7"/>
        <v>NA</v>
      </c>
      <c r="O71" t="str">
        <f t="shared" si="8"/>
        <v>College</v>
      </c>
      <c r="P71" t="str">
        <f t="shared" si="9"/>
        <v>Personal</v>
      </c>
      <c r="Q71">
        <f t="shared" si="10"/>
        <v>4</v>
      </c>
      <c r="R71">
        <f t="shared" ca="1" si="11"/>
        <v>29</v>
      </c>
    </row>
    <row r="72" spans="1:18" x14ac:dyDescent="0.35">
      <c r="A72" t="s">
        <v>107</v>
      </c>
      <c r="B72" t="s">
        <v>33</v>
      </c>
      <c r="C72" t="s">
        <v>17</v>
      </c>
      <c r="D72" t="s">
        <v>31</v>
      </c>
      <c r="E72" s="5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 s="4">
        <v>281.45104199999997</v>
      </c>
      <c r="L72" s="2">
        <v>35281.451042000001</v>
      </c>
      <c r="M72" t="str">
        <f t="shared" si="6"/>
        <v>Oregon</v>
      </c>
      <c r="N72" t="str">
        <f t="shared" si="7"/>
        <v>NA</v>
      </c>
      <c r="O72" t="str">
        <f t="shared" si="8"/>
        <v>High School or Below</v>
      </c>
      <c r="P72" t="str">
        <f t="shared" si="9"/>
        <v>Personal</v>
      </c>
      <c r="Q72">
        <f t="shared" si="10"/>
        <v>4</v>
      </c>
      <c r="R72">
        <f t="shared" ca="1" si="11"/>
        <v>30</v>
      </c>
    </row>
    <row r="73" spans="1:18" x14ac:dyDescent="0.35">
      <c r="A73" t="s">
        <v>108</v>
      </c>
      <c r="B73" t="s">
        <v>33</v>
      </c>
      <c r="C73" t="s">
        <v>17</v>
      </c>
      <c r="D73" t="s">
        <v>2</v>
      </c>
      <c r="E73" s="5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 s="4">
        <v>5.4345049999999997</v>
      </c>
      <c r="L73" s="2">
        <v>35005.434504999997</v>
      </c>
      <c r="M73" t="str">
        <f t="shared" si="6"/>
        <v>Oregon</v>
      </c>
      <c r="N73" t="str">
        <f t="shared" si="7"/>
        <v>NA</v>
      </c>
      <c r="O73" t="str">
        <f t="shared" si="8"/>
        <v>Master</v>
      </c>
      <c r="P73" t="str">
        <f t="shared" si="9"/>
        <v>Personal</v>
      </c>
      <c r="Q73">
        <f t="shared" si="10"/>
        <v>2</v>
      </c>
      <c r="R73">
        <f t="shared" ca="1" si="11"/>
        <v>30</v>
      </c>
    </row>
    <row r="74" spans="1:18" x14ac:dyDescent="0.35">
      <c r="A74" t="s">
        <v>109</v>
      </c>
      <c r="B74" t="s">
        <v>33</v>
      </c>
      <c r="C74" t="s">
        <v>17</v>
      </c>
      <c r="D74" t="s">
        <v>2</v>
      </c>
      <c r="E74" s="5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 s="4">
        <v>307.2</v>
      </c>
      <c r="L74" s="2">
        <v>35307.199999999997</v>
      </c>
      <c r="M74" t="str">
        <f t="shared" si="6"/>
        <v>Oregon</v>
      </c>
      <c r="N74" t="str">
        <f t="shared" si="7"/>
        <v>NA</v>
      </c>
      <c r="O74" t="str">
        <f t="shared" si="8"/>
        <v>Master</v>
      </c>
      <c r="P74" t="str">
        <f t="shared" si="9"/>
        <v>Personal</v>
      </c>
      <c r="Q74">
        <f t="shared" si="10"/>
        <v>4</v>
      </c>
      <c r="R74">
        <f t="shared" ca="1" si="11"/>
        <v>30</v>
      </c>
    </row>
    <row r="75" spans="1:18" x14ac:dyDescent="0.35">
      <c r="A75" t="s">
        <v>110</v>
      </c>
      <c r="B75" t="s">
        <v>33</v>
      </c>
      <c r="C75" t="s">
        <v>17</v>
      </c>
      <c r="D75" t="s">
        <v>4</v>
      </c>
      <c r="E75" s="5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 s="4">
        <v>982.39961300000004</v>
      </c>
      <c r="L75" s="2">
        <v>35982.399613000001</v>
      </c>
      <c r="M75" t="str">
        <f t="shared" si="6"/>
        <v>Oregon</v>
      </c>
      <c r="N75" t="str">
        <f t="shared" si="7"/>
        <v>NA</v>
      </c>
      <c r="O75" t="str">
        <f t="shared" si="8"/>
        <v>Bachelor</v>
      </c>
      <c r="P75" t="str">
        <f t="shared" si="9"/>
        <v>Personal</v>
      </c>
      <c r="Q75">
        <f t="shared" si="10"/>
        <v>2</v>
      </c>
      <c r="R75">
        <f t="shared" ca="1" si="11"/>
        <v>28</v>
      </c>
    </row>
    <row r="76" spans="1:18" x14ac:dyDescent="0.35">
      <c r="A76" t="s">
        <v>111</v>
      </c>
      <c r="B76" t="s">
        <v>33</v>
      </c>
      <c r="C76" t="s">
        <v>17</v>
      </c>
      <c r="D76" t="s">
        <v>4</v>
      </c>
      <c r="E76" s="5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 s="4">
        <v>467.80363799999998</v>
      </c>
      <c r="L76" s="2">
        <v>35467.803637999998</v>
      </c>
      <c r="M76" t="str">
        <f t="shared" si="6"/>
        <v>Oregon</v>
      </c>
      <c r="N76" t="str">
        <f t="shared" si="7"/>
        <v>NA</v>
      </c>
      <c r="O76" t="str">
        <f t="shared" si="8"/>
        <v>Bachelor</v>
      </c>
      <c r="P76" t="str">
        <f t="shared" si="9"/>
        <v>Personal</v>
      </c>
      <c r="Q76">
        <f t="shared" si="10"/>
        <v>2</v>
      </c>
      <c r="R76">
        <f t="shared" ca="1" si="11"/>
        <v>29</v>
      </c>
    </row>
    <row r="77" spans="1:18" x14ac:dyDescent="0.35">
      <c r="A77" t="s">
        <v>112</v>
      </c>
      <c r="B77" t="s">
        <v>33</v>
      </c>
      <c r="C77" t="s">
        <v>17</v>
      </c>
      <c r="D77" t="s">
        <v>4</v>
      </c>
      <c r="E77" s="5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 s="4">
        <v>350.4</v>
      </c>
      <c r="L77" s="2">
        <v>35350.400000000001</v>
      </c>
      <c r="M77" t="str">
        <f t="shared" si="6"/>
        <v>Oregon</v>
      </c>
      <c r="N77" t="str">
        <f t="shared" si="7"/>
        <v>NA</v>
      </c>
      <c r="O77" t="str">
        <f t="shared" si="8"/>
        <v>Bachelor</v>
      </c>
      <c r="P77" t="str">
        <f t="shared" si="9"/>
        <v>Personal</v>
      </c>
      <c r="Q77">
        <f t="shared" si="10"/>
        <v>4</v>
      </c>
      <c r="R77">
        <f t="shared" ca="1" si="11"/>
        <v>29</v>
      </c>
    </row>
    <row r="78" spans="1:18" x14ac:dyDescent="0.35">
      <c r="A78" t="s">
        <v>113</v>
      </c>
      <c r="B78" t="s">
        <v>33</v>
      </c>
      <c r="C78" t="s">
        <v>17</v>
      </c>
      <c r="D78" t="s">
        <v>31</v>
      </c>
      <c r="E78" s="5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 s="4">
        <v>29.03416</v>
      </c>
      <c r="L78" s="2">
        <v>35029.034160000003</v>
      </c>
      <c r="M78" t="str">
        <f t="shared" si="6"/>
        <v>Oregon</v>
      </c>
      <c r="N78" t="str">
        <f t="shared" si="7"/>
        <v>NA</v>
      </c>
      <c r="O78" t="str">
        <f t="shared" si="8"/>
        <v>High School or Below</v>
      </c>
      <c r="P78" t="str">
        <f t="shared" si="9"/>
        <v>Personal</v>
      </c>
      <c r="Q78">
        <f t="shared" si="10"/>
        <v>4</v>
      </c>
      <c r="R78">
        <f t="shared" ca="1" si="11"/>
        <v>30</v>
      </c>
    </row>
    <row r="79" spans="1:18" x14ac:dyDescent="0.35">
      <c r="A79" t="s">
        <v>114</v>
      </c>
      <c r="B79" t="s">
        <v>23</v>
      </c>
      <c r="C79" t="s">
        <v>17</v>
      </c>
      <c r="D79" t="s">
        <v>35</v>
      </c>
      <c r="E79" s="5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 s="4">
        <v>321.60000000000002</v>
      </c>
      <c r="L79" s="2">
        <v>35321.599999999999</v>
      </c>
      <c r="M79" t="str">
        <f t="shared" si="6"/>
        <v>Nevada</v>
      </c>
      <c r="N79" t="str">
        <f t="shared" si="7"/>
        <v>NA</v>
      </c>
      <c r="O79" t="str">
        <f t="shared" si="8"/>
        <v>College</v>
      </c>
      <c r="P79" t="str">
        <f t="shared" si="9"/>
        <v>Personal</v>
      </c>
      <c r="Q79">
        <f t="shared" si="10"/>
        <v>4</v>
      </c>
      <c r="R79">
        <f t="shared" ca="1" si="11"/>
        <v>29</v>
      </c>
    </row>
    <row r="80" spans="1:18" x14ac:dyDescent="0.35">
      <c r="A80" t="s">
        <v>115</v>
      </c>
      <c r="B80" t="s">
        <v>3</v>
      </c>
      <c r="C80" t="s">
        <v>21</v>
      </c>
      <c r="D80" t="s">
        <v>2</v>
      </c>
      <c r="E80" s="5"/>
      <c r="F80">
        <v>41275</v>
      </c>
      <c r="G80">
        <v>96</v>
      </c>
      <c r="H80" s="2">
        <v>0</v>
      </c>
      <c r="I80" t="s">
        <v>18</v>
      </c>
      <c r="J80" t="s">
        <v>19</v>
      </c>
      <c r="K80" s="4">
        <v>41.122303000000002</v>
      </c>
      <c r="L80" s="2">
        <v>35041.122302999996</v>
      </c>
      <c r="M80" t="str">
        <f t="shared" si="6"/>
        <v>Washington</v>
      </c>
      <c r="N80" t="str">
        <f t="shared" si="7"/>
        <v>F</v>
      </c>
      <c r="O80" t="str">
        <f t="shared" si="8"/>
        <v>Master</v>
      </c>
      <c r="P80" t="str">
        <f t="shared" si="9"/>
        <v>Personal</v>
      </c>
      <c r="Q80">
        <f t="shared" si="10"/>
        <v>4</v>
      </c>
      <c r="R80">
        <f t="shared" ca="1" si="11"/>
        <v>30</v>
      </c>
    </row>
    <row r="81" spans="1:18" x14ac:dyDescent="0.35">
      <c r="A81" t="s">
        <v>116</v>
      </c>
      <c r="B81" t="s">
        <v>26</v>
      </c>
      <c r="C81" t="s">
        <v>17</v>
      </c>
      <c r="D81" t="s">
        <v>4</v>
      </c>
      <c r="E81" s="5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 s="4">
        <v>427.63121000000001</v>
      </c>
      <c r="L81" s="2">
        <v>35427.63121</v>
      </c>
      <c r="M81" t="str">
        <f t="shared" si="6"/>
        <v>California</v>
      </c>
      <c r="N81" t="str">
        <f t="shared" si="7"/>
        <v>NA</v>
      </c>
      <c r="O81" t="str">
        <f t="shared" si="8"/>
        <v>Bachelor</v>
      </c>
      <c r="P81" t="str">
        <f t="shared" si="9"/>
        <v>Personal</v>
      </c>
      <c r="Q81">
        <f t="shared" si="10"/>
        <v>2</v>
      </c>
      <c r="R81">
        <f t="shared" ca="1" si="11"/>
        <v>29</v>
      </c>
    </row>
    <row r="82" spans="1:18" x14ac:dyDescent="0.35">
      <c r="A82" t="s">
        <v>118</v>
      </c>
      <c r="B82" t="s">
        <v>26</v>
      </c>
      <c r="C82" t="s">
        <v>17</v>
      </c>
      <c r="D82" t="s">
        <v>35</v>
      </c>
      <c r="E82" s="5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 s="4">
        <v>25.807684999999999</v>
      </c>
      <c r="L82" s="2">
        <v>35025.807685</v>
      </c>
      <c r="M82" t="str">
        <f t="shared" si="6"/>
        <v>California</v>
      </c>
      <c r="N82" t="str">
        <f t="shared" si="7"/>
        <v>NA</v>
      </c>
      <c r="O82" t="str">
        <f t="shared" si="8"/>
        <v>College</v>
      </c>
      <c r="P82" t="str">
        <f t="shared" si="9"/>
        <v>Personal</v>
      </c>
      <c r="Q82">
        <f t="shared" si="10"/>
        <v>2</v>
      </c>
      <c r="R82">
        <f t="shared" ca="1" si="11"/>
        <v>30</v>
      </c>
    </row>
    <row r="83" spans="1:18" x14ac:dyDescent="0.35">
      <c r="A83" t="s">
        <v>119</v>
      </c>
      <c r="B83" t="s">
        <v>26</v>
      </c>
      <c r="C83" t="s">
        <v>17</v>
      </c>
      <c r="D83" t="s">
        <v>31</v>
      </c>
      <c r="E83" s="5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 s="4">
        <v>787.99331299999994</v>
      </c>
      <c r="L83" s="2">
        <v>35787.993312999999</v>
      </c>
      <c r="M83" t="str">
        <f t="shared" si="6"/>
        <v>California</v>
      </c>
      <c r="N83" t="str">
        <f t="shared" si="7"/>
        <v>NA</v>
      </c>
      <c r="O83" t="str">
        <f t="shared" si="8"/>
        <v>High School or Below</v>
      </c>
      <c r="P83" t="str">
        <f t="shared" si="9"/>
        <v>Personal</v>
      </c>
      <c r="Q83">
        <f t="shared" si="10"/>
        <v>4</v>
      </c>
      <c r="R83">
        <f t="shared" ca="1" si="11"/>
        <v>28</v>
      </c>
    </row>
    <row r="84" spans="1:18" x14ac:dyDescent="0.35">
      <c r="A84" t="s">
        <v>120</v>
      </c>
      <c r="B84" t="s">
        <v>26</v>
      </c>
      <c r="C84" t="s">
        <v>17</v>
      </c>
      <c r="D84" t="s">
        <v>80</v>
      </c>
      <c r="E84" s="5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 s="4">
        <v>489.6</v>
      </c>
      <c r="L84" s="2">
        <v>35489.599999999999</v>
      </c>
      <c r="M84" t="str">
        <f t="shared" si="6"/>
        <v>California</v>
      </c>
      <c r="N84" t="str">
        <f t="shared" si="7"/>
        <v>NA</v>
      </c>
      <c r="O84" t="str">
        <f t="shared" si="8"/>
        <v>Doctor</v>
      </c>
      <c r="P84" t="str">
        <f t="shared" si="9"/>
        <v>Personal</v>
      </c>
      <c r="Q84">
        <f t="shared" si="10"/>
        <v>4</v>
      </c>
      <c r="R84">
        <f t="shared" ca="1" si="11"/>
        <v>29</v>
      </c>
    </row>
    <row r="85" spans="1:18" x14ac:dyDescent="0.35">
      <c r="A85" t="s">
        <v>121</v>
      </c>
      <c r="B85" t="s">
        <v>23</v>
      </c>
      <c r="C85" t="s">
        <v>17</v>
      </c>
      <c r="D85" t="s">
        <v>2</v>
      </c>
      <c r="E85" s="5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 s="4">
        <v>302.39999999999998</v>
      </c>
      <c r="L85" s="2">
        <v>35302.400000000001</v>
      </c>
      <c r="M85" t="str">
        <f t="shared" si="6"/>
        <v>Nevada</v>
      </c>
      <c r="N85" t="str">
        <f t="shared" si="7"/>
        <v>NA</v>
      </c>
      <c r="O85" t="str">
        <f t="shared" si="8"/>
        <v>Master</v>
      </c>
      <c r="P85" t="str">
        <f t="shared" si="9"/>
        <v>Personal</v>
      </c>
      <c r="Q85">
        <f t="shared" si="10"/>
        <v>4</v>
      </c>
      <c r="R85">
        <f t="shared" ca="1" si="11"/>
        <v>30</v>
      </c>
    </row>
    <row r="86" spans="1:18" x14ac:dyDescent="0.35">
      <c r="A86" t="s">
        <v>122</v>
      </c>
      <c r="B86" t="s">
        <v>33</v>
      </c>
      <c r="C86" t="s">
        <v>17</v>
      </c>
      <c r="D86" t="s">
        <v>35</v>
      </c>
      <c r="E86" s="5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 s="4">
        <v>475.62325099999998</v>
      </c>
      <c r="L86" s="2">
        <v>35475.623250999997</v>
      </c>
      <c r="M86" t="str">
        <f t="shared" si="6"/>
        <v>Oregon</v>
      </c>
      <c r="N86" t="str">
        <f t="shared" si="7"/>
        <v>NA</v>
      </c>
      <c r="O86" t="str">
        <f t="shared" si="8"/>
        <v>College</v>
      </c>
      <c r="P86" t="str">
        <f t="shared" si="9"/>
        <v>Personal</v>
      </c>
      <c r="Q86">
        <f t="shared" si="10"/>
        <v>4</v>
      </c>
      <c r="R86">
        <f t="shared" ca="1" si="11"/>
        <v>29</v>
      </c>
    </row>
    <row r="87" spans="1:18" x14ac:dyDescent="0.35">
      <c r="A87" t="s">
        <v>123</v>
      </c>
      <c r="B87" t="s">
        <v>3</v>
      </c>
      <c r="C87" t="s">
        <v>21</v>
      </c>
      <c r="D87" t="s">
        <v>4</v>
      </c>
      <c r="E87" s="5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 s="4">
        <v>45.215058999999997</v>
      </c>
      <c r="L87" s="2">
        <v>35045.215059000002</v>
      </c>
      <c r="M87" t="str">
        <f t="shared" si="6"/>
        <v>Washington</v>
      </c>
      <c r="N87" t="str">
        <f t="shared" si="7"/>
        <v>F</v>
      </c>
      <c r="O87" t="str">
        <f t="shared" si="8"/>
        <v>Bachelor</v>
      </c>
      <c r="P87" t="str">
        <f t="shared" si="9"/>
        <v>Corporate</v>
      </c>
      <c r="Q87">
        <f t="shared" si="10"/>
        <v>4</v>
      </c>
      <c r="R87">
        <f t="shared" ca="1" si="11"/>
        <v>30</v>
      </c>
    </row>
    <row r="88" spans="1:18" x14ac:dyDescent="0.35">
      <c r="A88" t="s">
        <v>124</v>
      </c>
      <c r="B88" t="s">
        <v>26</v>
      </c>
      <c r="C88" t="s">
        <v>17</v>
      </c>
      <c r="D88" t="s">
        <v>35</v>
      </c>
      <c r="E88" s="5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 s="4">
        <v>460.8</v>
      </c>
      <c r="L88" s="2">
        <v>35460.800000000003</v>
      </c>
      <c r="M88" t="str">
        <f t="shared" si="6"/>
        <v>California</v>
      </c>
      <c r="N88" t="str">
        <f t="shared" si="7"/>
        <v>NA</v>
      </c>
      <c r="O88" t="str">
        <f t="shared" si="8"/>
        <v>College</v>
      </c>
      <c r="P88" t="str">
        <f t="shared" si="9"/>
        <v>Personal</v>
      </c>
      <c r="Q88">
        <f t="shared" si="10"/>
        <v>4</v>
      </c>
      <c r="R88">
        <f t="shared" ca="1" si="11"/>
        <v>29</v>
      </c>
    </row>
    <row r="89" spans="1:18" x14ac:dyDescent="0.35">
      <c r="A89" t="s">
        <v>125</v>
      </c>
      <c r="B89" t="s">
        <v>26</v>
      </c>
      <c r="C89" t="s">
        <v>17</v>
      </c>
      <c r="D89" t="s">
        <v>4</v>
      </c>
      <c r="E89" s="5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 s="4">
        <v>282.151207</v>
      </c>
      <c r="L89" s="2">
        <v>35282.151207000003</v>
      </c>
      <c r="M89" t="str">
        <f t="shared" si="6"/>
        <v>California</v>
      </c>
      <c r="N89" t="str">
        <f t="shared" si="7"/>
        <v>NA</v>
      </c>
      <c r="O89" t="str">
        <f t="shared" si="8"/>
        <v>Bachelor</v>
      </c>
      <c r="P89" t="str">
        <f t="shared" si="9"/>
        <v>Corporate</v>
      </c>
      <c r="Q89">
        <f t="shared" si="10"/>
        <v>4</v>
      </c>
      <c r="R89">
        <f t="shared" ca="1" si="11"/>
        <v>30</v>
      </c>
    </row>
    <row r="90" spans="1:18" x14ac:dyDescent="0.35">
      <c r="A90" t="s">
        <v>126</v>
      </c>
      <c r="B90" t="s">
        <v>33</v>
      </c>
      <c r="C90" t="s">
        <v>17</v>
      </c>
      <c r="D90" t="s">
        <v>4</v>
      </c>
      <c r="E90" s="5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 s="4">
        <v>321.60000000000002</v>
      </c>
      <c r="L90" s="2">
        <v>35321.599999999999</v>
      </c>
      <c r="M90" t="str">
        <f t="shared" si="6"/>
        <v>Oregon</v>
      </c>
      <c r="N90" t="str">
        <f t="shared" si="7"/>
        <v>NA</v>
      </c>
      <c r="O90" t="str">
        <f t="shared" si="8"/>
        <v>Bachelor</v>
      </c>
      <c r="P90" t="str">
        <f t="shared" si="9"/>
        <v>Personal</v>
      </c>
      <c r="Q90">
        <f t="shared" si="10"/>
        <v>4</v>
      </c>
      <c r="R90">
        <f t="shared" ca="1" si="11"/>
        <v>29</v>
      </c>
    </row>
    <row r="91" spans="1:18" x14ac:dyDescent="0.35">
      <c r="A91" t="s">
        <v>127</v>
      </c>
      <c r="B91" t="s">
        <v>26</v>
      </c>
      <c r="C91" t="s">
        <v>17</v>
      </c>
      <c r="D91" t="s">
        <v>35</v>
      </c>
      <c r="E91" s="5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 s="4">
        <v>364.8</v>
      </c>
      <c r="L91" s="2">
        <v>35364.800000000003</v>
      </c>
      <c r="M91" t="str">
        <f t="shared" si="6"/>
        <v>California</v>
      </c>
      <c r="N91" t="str">
        <f t="shared" si="7"/>
        <v>NA</v>
      </c>
      <c r="O91" t="str">
        <f t="shared" si="8"/>
        <v>College</v>
      </c>
      <c r="P91" t="str">
        <f t="shared" si="9"/>
        <v>Personal</v>
      </c>
      <c r="Q91">
        <f t="shared" si="10"/>
        <v>4</v>
      </c>
      <c r="R91">
        <f t="shared" ca="1" si="11"/>
        <v>29</v>
      </c>
    </row>
    <row r="92" spans="1:18" x14ac:dyDescent="0.35">
      <c r="A92" t="s">
        <v>128</v>
      </c>
      <c r="B92" t="s">
        <v>33</v>
      </c>
      <c r="C92" t="s">
        <v>17</v>
      </c>
      <c r="D92" t="s">
        <v>35</v>
      </c>
      <c r="E92" s="5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 s="4">
        <v>679.82759199999998</v>
      </c>
      <c r="L92" s="2">
        <v>35679.827592000001</v>
      </c>
      <c r="M92" t="str">
        <f t="shared" si="6"/>
        <v>Oregon</v>
      </c>
      <c r="N92" t="str">
        <f t="shared" si="7"/>
        <v>NA</v>
      </c>
      <c r="O92" t="str">
        <f t="shared" si="8"/>
        <v>College</v>
      </c>
      <c r="P92" t="str">
        <f t="shared" si="9"/>
        <v>Personal</v>
      </c>
      <c r="Q92">
        <f t="shared" si="10"/>
        <v>2</v>
      </c>
      <c r="R92">
        <f t="shared" ca="1" si="11"/>
        <v>29</v>
      </c>
    </row>
    <row r="93" spans="1:18" x14ac:dyDescent="0.35">
      <c r="A93" t="s">
        <v>129</v>
      </c>
      <c r="B93" t="s">
        <v>3</v>
      </c>
      <c r="C93" t="s">
        <v>21</v>
      </c>
      <c r="D93" t="s">
        <v>35</v>
      </c>
      <c r="E93" s="5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 s="4">
        <v>46.041452</v>
      </c>
      <c r="L93" s="2">
        <v>35046.041451999998</v>
      </c>
      <c r="M93" t="str">
        <f t="shared" si="6"/>
        <v>Washington</v>
      </c>
      <c r="N93" t="str">
        <f t="shared" si="7"/>
        <v>F</v>
      </c>
      <c r="O93" t="str">
        <f t="shared" si="8"/>
        <v>College</v>
      </c>
      <c r="P93" t="str">
        <f t="shared" si="9"/>
        <v>Personal</v>
      </c>
      <c r="Q93">
        <f t="shared" si="10"/>
        <v>2</v>
      </c>
      <c r="R93">
        <f t="shared" ca="1" si="11"/>
        <v>30</v>
      </c>
    </row>
    <row r="94" spans="1:18" x14ac:dyDescent="0.35">
      <c r="A94" t="s">
        <v>130</v>
      </c>
      <c r="B94" t="s">
        <v>33</v>
      </c>
      <c r="C94" t="s">
        <v>17</v>
      </c>
      <c r="D94" t="s">
        <v>4</v>
      </c>
      <c r="E94" s="5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 s="4">
        <v>11.879037</v>
      </c>
      <c r="L94" s="2">
        <v>35011.879036999999</v>
      </c>
      <c r="M94" t="str">
        <f t="shared" si="6"/>
        <v>Oregon</v>
      </c>
      <c r="N94" t="str">
        <f t="shared" si="7"/>
        <v>NA</v>
      </c>
      <c r="O94" t="str">
        <f t="shared" si="8"/>
        <v>Bachelor</v>
      </c>
      <c r="P94" t="str">
        <f t="shared" si="9"/>
        <v>Corporate</v>
      </c>
      <c r="Q94">
        <f t="shared" si="10"/>
        <v>4</v>
      </c>
      <c r="R94">
        <f t="shared" ca="1" si="11"/>
        <v>30</v>
      </c>
    </row>
    <row r="95" spans="1:18" x14ac:dyDescent="0.35">
      <c r="A95" t="s">
        <v>131</v>
      </c>
      <c r="B95" t="s">
        <v>33</v>
      </c>
      <c r="C95" t="s">
        <v>17</v>
      </c>
      <c r="D95" t="s">
        <v>4</v>
      </c>
      <c r="E95" s="5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 s="4">
        <v>350.52903300000003</v>
      </c>
      <c r="L95" s="2">
        <v>35350.529032999999</v>
      </c>
      <c r="M95" t="str">
        <f t="shared" si="6"/>
        <v>Oregon</v>
      </c>
      <c r="N95" t="str">
        <f t="shared" si="7"/>
        <v>NA</v>
      </c>
      <c r="O95" t="str">
        <f t="shared" si="8"/>
        <v>Bachelor</v>
      </c>
      <c r="P95" t="str">
        <f t="shared" si="9"/>
        <v>Corporate</v>
      </c>
      <c r="Q95">
        <f t="shared" si="10"/>
        <v>2</v>
      </c>
      <c r="R95">
        <f t="shared" ca="1" si="11"/>
        <v>29</v>
      </c>
    </row>
    <row r="96" spans="1:18" x14ac:dyDescent="0.35">
      <c r="A96" t="s">
        <v>132</v>
      </c>
      <c r="B96" t="s">
        <v>26</v>
      </c>
      <c r="C96" t="s">
        <v>17</v>
      </c>
      <c r="D96" t="s">
        <v>31</v>
      </c>
      <c r="E96" s="5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 s="4">
        <v>863.39469999999994</v>
      </c>
      <c r="L96" s="2">
        <v>35863.394699999997</v>
      </c>
      <c r="M96" t="str">
        <f t="shared" si="6"/>
        <v>California</v>
      </c>
      <c r="N96" t="str">
        <f t="shared" si="7"/>
        <v>NA</v>
      </c>
      <c r="O96" t="str">
        <f t="shared" si="8"/>
        <v>High School or Below</v>
      </c>
      <c r="P96" t="str">
        <f t="shared" si="9"/>
        <v>Personal</v>
      </c>
      <c r="Q96">
        <f t="shared" si="10"/>
        <v>4</v>
      </c>
      <c r="R96">
        <f t="shared" ca="1" si="11"/>
        <v>28</v>
      </c>
    </row>
    <row r="97" spans="1:18" x14ac:dyDescent="0.35">
      <c r="A97" t="s">
        <v>133</v>
      </c>
      <c r="B97" t="s">
        <v>33</v>
      </c>
      <c r="C97" t="s">
        <v>17</v>
      </c>
      <c r="D97" t="s">
        <v>4</v>
      </c>
      <c r="E97" s="5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 s="4">
        <v>492.12753199999997</v>
      </c>
      <c r="L97" s="2">
        <v>35492.127531999999</v>
      </c>
      <c r="M97" t="str">
        <f t="shared" si="6"/>
        <v>Oregon</v>
      </c>
      <c r="N97" t="str">
        <f t="shared" si="7"/>
        <v>NA</v>
      </c>
      <c r="O97" t="str">
        <f t="shared" si="8"/>
        <v>Bachelor</v>
      </c>
      <c r="P97" t="str">
        <f t="shared" si="9"/>
        <v>Personal</v>
      </c>
      <c r="Q97">
        <f t="shared" si="10"/>
        <v>4</v>
      </c>
      <c r="R97">
        <f t="shared" ca="1" si="11"/>
        <v>29</v>
      </c>
    </row>
    <row r="98" spans="1:18" x14ac:dyDescent="0.35">
      <c r="A98" t="s">
        <v>134</v>
      </c>
      <c r="B98" t="s">
        <v>61</v>
      </c>
      <c r="C98" t="s">
        <v>17</v>
      </c>
      <c r="D98" t="s">
        <v>2</v>
      </c>
      <c r="E98" s="5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 s="4">
        <v>132.58828800000001</v>
      </c>
      <c r="L98" s="2">
        <v>35132.588287999999</v>
      </c>
      <c r="M98" t="str">
        <f t="shared" si="6"/>
        <v>Arizona</v>
      </c>
      <c r="N98" t="str">
        <f t="shared" si="7"/>
        <v>NA</v>
      </c>
      <c r="O98" t="str">
        <f t="shared" si="8"/>
        <v>Master</v>
      </c>
      <c r="P98" t="str">
        <f t="shared" si="9"/>
        <v>Personal</v>
      </c>
      <c r="Q98">
        <f t="shared" si="10"/>
        <v>4</v>
      </c>
      <c r="R98">
        <f t="shared" ca="1" si="11"/>
        <v>30</v>
      </c>
    </row>
    <row r="99" spans="1:18" x14ac:dyDescent="0.35">
      <c r="A99" t="s">
        <v>135</v>
      </c>
      <c r="B99" t="s">
        <v>26</v>
      </c>
      <c r="C99" t="s">
        <v>17</v>
      </c>
      <c r="D99" t="s">
        <v>4</v>
      </c>
      <c r="E99" s="5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 s="4">
        <v>297.60000000000002</v>
      </c>
      <c r="L99" s="2">
        <v>35297.599999999999</v>
      </c>
      <c r="M99" t="str">
        <f t="shared" si="6"/>
        <v>California</v>
      </c>
      <c r="N99" t="str">
        <f t="shared" si="7"/>
        <v>NA</v>
      </c>
      <c r="O99" t="str">
        <f t="shared" si="8"/>
        <v>Bachelor</v>
      </c>
      <c r="P99" t="str">
        <f t="shared" si="9"/>
        <v>Personal</v>
      </c>
      <c r="Q99">
        <f t="shared" si="10"/>
        <v>4</v>
      </c>
      <c r="R99">
        <f t="shared" ca="1" si="11"/>
        <v>30</v>
      </c>
    </row>
    <row r="100" spans="1:18" x14ac:dyDescent="0.35">
      <c r="A100" t="s">
        <v>136</v>
      </c>
      <c r="B100" t="s">
        <v>61</v>
      </c>
      <c r="C100" t="s">
        <v>17</v>
      </c>
      <c r="D100" t="s">
        <v>4</v>
      </c>
      <c r="E100" s="5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 s="4">
        <v>269.90512899999999</v>
      </c>
      <c r="L100" s="2">
        <v>35269.905128999999</v>
      </c>
      <c r="M100" t="str">
        <f t="shared" si="6"/>
        <v>Arizona</v>
      </c>
      <c r="N100" t="str">
        <f t="shared" si="7"/>
        <v>NA</v>
      </c>
      <c r="O100" t="str">
        <f t="shared" si="8"/>
        <v>Bachelor</v>
      </c>
      <c r="P100" t="str">
        <f t="shared" si="9"/>
        <v>Personal</v>
      </c>
      <c r="Q100">
        <f t="shared" si="10"/>
        <v>4</v>
      </c>
      <c r="R100">
        <f t="shared" ca="1" si="11"/>
        <v>30</v>
      </c>
    </row>
    <row r="101" spans="1:18" x14ac:dyDescent="0.35">
      <c r="A101" t="s">
        <v>137</v>
      </c>
      <c r="B101" t="s">
        <v>33</v>
      </c>
      <c r="C101" t="s">
        <v>17</v>
      </c>
      <c r="D101" t="s">
        <v>35</v>
      </c>
      <c r="E101" s="5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 s="4">
        <v>380.036697</v>
      </c>
      <c r="L101" s="2">
        <v>35380.036697000003</v>
      </c>
      <c r="M101" t="str">
        <f t="shared" si="6"/>
        <v>Oregon</v>
      </c>
      <c r="N101" t="str">
        <f t="shared" si="7"/>
        <v>NA</v>
      </c>
      <c r="O101" t="str">
        <f t="shared" si="8"/>
        <v>College</v>
      </c>
      <c r="P101" t="str">
        <f t="shared" si="9"/>
        <v>Personal</v>
      </c>
      <c r="Q101">
        <f t="shared" si="10"/>
        <v>2</v>
      </c>
      <c r="R101">
        <f t="shared" ca="1" si="11"/>
        <v>29</v>
      </c>
    </row>
    <row r="102" spans="1:18" x14ac:dyDescent="0.35">
      <c r="A102" t="s">
        <v>138</v>
      </c>
      <c r="B102" t="s">
        <v>26</v>
      </c>
      <c r="C102" t="s">
        <v>17</v>
      </c>
      <c r="D102" t="s">
        <v>35</v>
      </c>
      <c r="E102" s="5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 s="4">
        <v>513.6</v>
      </c>
      <c r="L102" s="2">
        <v>35513.599999999999</v>
      </c>
      <c r="M102" t="str">
        <f t="shared" si="6"/>
        <v>California</v>
      </c>
      <c r="N102" t="str">
        <f t="shared" si="7"/>
        <v>NA</v>
      </c>
      <c r="O102" t="str">
        <f t="shared" si="8"/>
        <v>College</v>
      </c>
      <c r="P102" t="str">
        <f t="shared" si="9"/>
        <v>Personal</v>
      </c>
      <c r="Q102">
        <f t="shared" si="10"/>
        <v>4</v>
      </c>
      <c r="R102">
        <f t="shared" ca="1" si="11"/>
        <v>29</v>
      </c>
    </row>
    <row r="103" spans="1:18" x14ac:dyDescent="0.35">
      <c r="A103" t="s">
        <v>139</v>
      </c>
      <c r="B103" t="s">
        <v>26</v>
      </c>
      <c r="C103" t="s">
        <v>17</v>
      </c>
      <c r="D103" t="s">
        <v>35</v>
      </c>
      <c r="E103" s="5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 s="4">
        <v>425.26630799999998</v>
      </c>
      <c r="L103" s="2">
        <v>35425.266307999998</v>
      </c>
      <c r="M103" t="str">
        <f t="shared" si="6"/>
        <v>California</v>
      </c>
      <c r="N103" t="str">
        <f t="shared" si="7"/>
        <v>NA</v>
      </c>
      <c r="O103" t="str">
        <f t="shared" si="8"/>
        <v>College</v>
      </c>
      <c r="P103" t="str">
        <f t="shared" si="9"/>
        <v>Personal</v>
      </c>
      <c r="Q103">
        <f t="shared" si="10"/>
        <v>4</v>
      </c>
      <c r="R103">
        <f t="shared" ca="1" si="11"/>
        <v>29</v>
      </c>
    </row>
    <row r="104" spans="1:18" x14ac:dyDescent="0.35">
      <c r="A104" t="s">
        <v>140</v>
      </c>
      <c r="B104" t="s">
        <v>33</v>
      </c>
      <c r="C104" t="s">
        <v>17</v>
      </c>
      <c r="D104" t="s">
        <v>4</v>
      </c>
      <c r="E104" s="5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 s="4">
        <v>49.011099000000002</v>
      </c>
      <c r="L104" s="2">
        <v>35049.011099000003</v>
      </c>
      <c r="M104" t="str">
        <f t="shared" si="6"/>
        <v>Oregon</v>
      </c>
      <c r="N104" t="str">
        <f t="shared" si="7"/>
        <v>NA</v>
      </c>
      <c r="O104" t="str">
        <f t="shared" si="8"/>
        <v>Bachelor</v>
      </c>
      <c r="P104" t="str">
        <f t="shared" si="9"/>
        <v>Corporate</v>
      </c>
      <c r="Q104">
        <f t="shared" si="10"/>
        <v>2</v>
      </c>
      <c r="R104">
        <f t="shared" ca="1" si="11"/>
        <v>30</v>
      </c>
    </row>
    <row r="105" spans="1:18" x14ac:dyDescent="0.35">
      <c r="A105" t="s">
        <v>141</v>
      </c>
      <c r="B105" t="s">
        <v>26</v>
      </c>
      <c r="C105" t="s">
        <v>17</v>
      </c>
      <c r="D105" t="s">
        <v>35</v>
      </c>
      <c r="E105" s="5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 s="4">
        <v>513.6</v>
      </c>
      <c r="L105" s="2">
        <v>35513.599999999999</v>
      </c>
      <c r="M105" t="str">
        <f t="shared" si="6"/>
        <v>California</v>
      </c>
      <c r="N105" t="str">
        <f t="shared" si="7"/>
        <v>NA</v>
      </c>
      <c r="O105" t="str">
        <f t="shared" si="8"/>
        <v>College</v>
      </c>
      <c r="P105" t="str">
        <f t="shared" si="9"/>
        <v>Personal</v>
      </c>
      <c r="Q105">
        <f t="shared" si="10"/>
        <v>4</v>
      </c>
      <c r="R105">
        <f t="shared" ca="1" si="11"/>
        <v>29</v>
      </c>
    </row>
    <row r="106" spans="1:18" x14ac:dyDescent="0.35">
      <c r="A106" t="s">
        <v>142</v>
      </c>
      <c r="B106" t="s">
        <v>26</v>
      </c>
      <c r="C106" t="s">
        <v>17</v>
      </c>
      <c r="D106" t="s">
        <v>31</v>
      </c>
      <c r="E106" s="5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 s="4">
        <v>936</v>
      </c>
      <c r="L106" s="2">
        <v>35936</v>
      </c>
      <c r="M106" t="str">
        <f t="shared" si="6"/>
        <v>California</v>
      </c>
      <c r="N106" t="str">
        <f t="shared" si="7"/>
        <v>NA</v>
      </c>
      <c r="O106" t="str">
        <f t="shared" si="8"/>
        <v>High School or Below</v>
      </c>
      <c r="P106" t="str">
        <f t="shared" si="9"/>
        <v>Personal</v>
      </c>
      <c r="Q106">
        <f t="shared" si="10"/>
        <v>4</v>
      </c>
      <c r="R106">
        <f t="shared" ca="1" si="11"/>
        <v>28</v>
      </c>
    </row>
    <row r="107" spans="1:18" x14ac:dyDescent="0.35">
      <c r="A107" t="s">
        <v>143</v>
      </c>
      <c r="B107" t="s">
        <v>33</v>
      </c>
      <c r="C107" t="s">
        <v>17</v>
      </c>
      <c r="D107" t="s">
        <v>4</v>
      </c>
      <c r="E107" s="5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 s="4">
        <v>142.06276800000001</v>
      </c>
      <c r="L107" s="2">
        <v>35142.062768000003</v>
      </c>
      <c r="M107" t="str">
        <f t="shared" si="6"/>
        <v>Oregon</v>
      </c>
      <c r="N107" t="str">
        <f t="shared" si="7"/>
        <v>NA</v>
      </c>
      <c r="O107" t="str">
        <f t="shared" si="8"/>
        <v>Bachelor</v>
      </c>
      <c r="P107" t="str">
        <f t="shared" si="9"/>
        <v>Personal</v>
      </c>
      <c r="Q107">
        <f t="shared" si="10"/>
        <v>4</v>
      </c>
      <c r="R107">
        <f t="shared" ca="1" si="11"/>
        <v>30</v>
      </c>
    </row>
    <row r="108" spans="1:18" x14ac:dyDescent="0.35">
      <c r="A108" t="s">
        <v>144</v>
      </c>
      <c r="B108" t="s">
        <v>26</v>
      </c>
      <c r="C108" t="s">
        <v>17</v>
      </c>
      <c r="D108" t="s">
        <v>4</v>
      </c>
      <c r="E108" s="5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 s="4">
        <v>45.152521</v>
      </c>
      <c r="L108" s="2">
        <v>35045.152521000004</v>
      </c>
      <c r="M108" t="str">
        <f t="shared" si="6"/>
        <v>California</v>
      </c>
      <c r="N108" t="str">
        <f t="shared" si="7"/>
        <v>NA</v>
      </c>
      <c r="O108" t="str">
        <f t="shared" si="8"/>
        <v>Bachelor</v>
      </c>
      <c r="P108" t="str">
        <f t="shared" si="9"/>
        <v>Personal</v>
      </c>
      <c r="Q108">
        <f t="shared" si="10"/>
        <v>4</v>
      </c>
      <c r="R108">
        <f t="shared" ca="1" si="11"/>
        <v>30</v>
      </c>
    </row>
    <row r="109" spans="1:18" x14ac:dyDescent="0.35">
      <c r="A109" t="s">
        <v>145</v>
      </c>
      <c r="B109" t="s">
        <v>33</v>
      </c>
      <c r="C109" t="s">
        <v>17</v>
      </c>
      <c r="D109" t="s">
        <v>31</v>
      </c>
      <c r="E109" s="5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 s="4">
        <v>561.6</v>
      </c>
      <c r="L109" s="2">
        <v>35561.599999999999</v>
      </c>
      <c r="M109" t="str">
        <f t="shared" si="6"/>
        <v>Oregon</v>
      </c>
      <c r="N109" t="str">
        <f t="shared" si="7"/>
        <v>NA</v>
      </c>
      <c r="O109" t="str">
        <f t="shared" si="8"/>
        <v>High School or Below</v>
      </c>
      <c r="P109" t="str">
        <f t="shared" si="9"/>
        <v>Personal</v>
      </c>
      <c r="Q109">
        <f t="shared" si="10"/>
        <v>4</v>
      </c>
      <c r="R109">
        <f t="shared" ca="1" si="11"/>
        <v>29</v>
      </c>
    </row>
    <row r="110" spans="1:18" x14ac:dyDescent="0.35">
      <c r="A110" t="s">
        <v>146</v>
      </c>
      <c r="B110" t="s">
        <v>26</v>
      </c>
      <c r="C110" t="s">
        <v>17</v>
      </c>
      <c r="D110" t="s">
        <v>4</v>
      </c>
      <c r="E110" s="5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 s="4">
        <v>30.567357000000001</v>
      </c>
      <c r="L110" s="2">
        <v>35030.567357</v>
      </c>
      <c r="M110" t="str">
        <f t="shared" si="6"/>
        <v>California</v>
      </c>
      <c r="N110" t="str">
        <f t="shared" si="7"/>
        <v>NA</v>
      </c>
      <c r="O110" t="str">
        <f t="shared" si="8"/>
        <v>Bachelor</v>
      </c>
      <c r="P110" t="str">
        <f t="shared" si="9"/>
        <v>Personal</v>
      </c>
      <c r="Q110">
        <f t="shared" si="10"/>
        <v>2</v>
      </c>
      <c r="R110">
        <f t="shared" ca="1" si="11"/>
        <v>30</v>
      </c>
    </row>
    <row r="111" spans="1:18" x14ac:dyDescent="0.35">
      <c r="A111" t="s">
        <v>147</v>
      </c>
      <c r="B111" t="s">
        <v>33</v>
      </c>
      <c r="C111" t="s">
        <v>17</v>
      </c>
      <c r="D111" t="s">
        <v>35</v>
      </c>
      <c r="E111" s="5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 s="4">
        <v>271.60679900000002</v>
      </c>
      <c r="L111" s="2">
        <v>35271.606799000001</v>
      </c>
      <c r="M111" t="str">
        <f t="shared" si="6"/>
        <v>Oregon</v>
      </c>
      <c r="N111" t="str">
        <f t="shared" si="7"/>
        <v>NA</v>
      </c>
      <c r="O111" t="str">
        <f t="shared" si="8"/>
        <v>College</v>
      </c>
      <c r="P111" t="str">
        <f t="shared" si="9"/>
        <v>Corporate</v>
      </c>
      <c r="Q111">
        <f t="shared" si="10"/>
        <v>4</v>
      </c>
      <c r="R111">
        <f t="shared" ca="1" si="11"/>
        <v>30</v>
      </c>
    </row>
    <row r="112" spans="1:18" x14ac:dyDescent="0.35">
      <c r="A112" t="s">
        <v>148</v>
      </c>
      <c r="B112" t="s">
        <v>26</v>
      </c>
      <c r="C112" t="s">
        <v>17</v>
      </c>
      <c r="D112" t="s">
        <v>35</v>
      </c>
      <c r="E112" s="5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 s="4">
        <v>408</v>
      </c>
      <c r="L112" s="2">
        <v>35408</v>
      </c>
      <c r="M112" t="str">
        <f t="shared" si="6"/>
        <v>California</v>
      </c>
      <c r="N112" t="str">
        <f t="shared" si="7"/>
        <v>NA</v>
      </c>
      <c r="O112" t="str">
        <f t="shared" si="8"/>
        <v>College</v>
      </c>
      <c r="P112" t="str">
        <f t="shared" si="9"/>
        <v>Personal</v>
      </c>
      <c r="Q112">
        <f t="shared" si="10"/>
        <v>4</v>
      </c>
      <c r="R112">
        <f t="shared" ca="1" si="11"/>
        <v>29</v>
      </c>
    </row>
    <row r="113" spans="1:18" x14ac:dyDescent="0.35">
      <c r="A113" t="s">
        <v>149</v>
      </c>
      <c r="B113" t="s">
        <v>3</v>
      </c>
      <c r="C113" t="s">
        <v>27</v>
      </c>
      <c r="D113" t="s">
        <v>31</v>
      </c>
      <c r="E113" s="5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 s="4">
        <v>46.158116999999997</v>
      </c>
      <c r="L113" s="2">
        <v>35046.158116999999</v>
      </c>
      <c r="M113" t="str">
        <f t="shared" si="6"/>
        <v>Washington</v>
      </c>
      <c r="N113" t="str">
        <f t="shared" si="7"/>
        <v>M</v>
      </c>
      <c r="O113" t="str">
        <f t="shared" si="8"/>
        <v>High School or Below</v>
      </c>
      <c r="P113" t="str">
        <f t="shared" si="9"/>
        <v>Personal</v>
      </c>
      <c r="Q113">
        <f t="shared" si="10"/>
        <v>2</v>
      </c>
      <c r="R113">
        <f t="shared" ca="1" si="11"/>
        <v>30</v>
      </c>
    </row>
    <row r="114" spans="1:18" x14ac:dyDescent="0.35">
      <c r="A114" t="s">
        <v>150</v>
      </c>
      <c r="B114" t="s">
        <v>61</v>
      </c>
      <c r="C114" t="s">
        <v>17</v>
      </c>
      <c r="D114" t="s">
        <v>35</v>
      </c>
      <c r="E114" s="5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 s="4">
        <v>784.8</v>
      </c>
      <c r="L114" s="2">
        <v>35784.800000000003</v>
      </c>
      <c r="M114" t="str">
        <f t="shared" si="6"/>
        <v>Arizona</v>
      </c>
      <c r="N114" t="str">
        <f t="shared" si="7"/>
        <v>NA</v>
      </c>
      <c r="O114" t="str">
        <f t="shared" si="8"/>
        <v>College</v>
      </c>
      <c r="P114" t="str">
        <f t="shared" si="9"/>
        <v>Personal</v>
      </c>
      <c r="Q114">
        <f t="shared" si="10"/>
        <v>4</v>
      </c>
      <c r="R114">
        <f t="shared" ca="1" si="11"/>
        <v>28</v>
      </c>
    </row>
    <row r="115" spans="1:18" x14ac:dyDescent="0.35">
      <c r="A115" t="s">
        <v>151</v>
      </c>
      <c r="B115" t="s">
        <v>33</v>
      </c>
      <c r="C115" t="s">
        <v>17</v>
      </c>
      <c r="D115" t="s">
        <v>4</v>
      </c>
      <c r="E115" s="5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 s="4">
        <v>316.8</v>
      </c>
      <c r="L115" s="2">
        <v>35316.800000000003</v>
      </c>
      <c r="M115" t="str">
        <f t="shared" si="6"/>
        <v>Oregon</v>
      </c>
      <c r="N115" t="str">
        <f t="shared" si="7"/>
        <v>NA</v>
      </c>
      <c r="O115" t="str">
        <f t="shared" si="8"/>
        <v>Bachelor</v>
      </c>
      <c r="P115" t="str">
        <f t="shared" si="9"/>
        <v>Personal</v>
      </c>
      <c r="Q115">
        <f t="shared" si="10"/>
        <v>4</v>
      </c>
      <c r="R115">
        <f t="shared" ca="1" si="11"/>
        <v>30</v>
      </c>
    </row>
    <row r="116" spans="1:18" x14ac:dyDescent="0.35">
      <c r="A116" t="s">
        <v>152</v>
      </c>
      <c r="B116" t="s">
        <v>3</v>
      </c>
      <c r="C116" t="s">
        <v>21</v>
      </c>
      <c r="D116" t="s">
        <v>2</v>
      </c>
      <c r="E116" s="5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 s="4">
        <v>48.046869000000001</v>
      </c>
      <c r="L116" s="2">
        <v>35048.046868999998</v>
      </c>
      <c r="M116" t="str">
        <f t="shared" si="6"/>
        <v>Washington</v>
      </c>
      <c r="N116" t="str">
        <f t="shared" si="7"/>
        <v>F</v>
      </c>
      <c r="O116" t="str">
        <f t="shared" si="8"/>
        <v>Master</v>
      </c>
      <c r="P116" t="str">
        <f t="shared" si="9"/>
        <v>Personal</v>
      </c>
      <c r="Q116">
        <f t="shared" si="10"/>
        <v>4</v>
      </c>
      <c r="R116">
        <f t="shared" ca="1" si="11"/>
        <v>30</v>
      </c>
    </row>
    <row r="117" spans="1:18" x14ac:dyDescent="0.35">
      <c r="A117" t="s">
        <v>153</v>
      </c>
      <c r="B117" t="s">
        <v>26</v>
      </c>
      <c r="C117" t="s">
        <v>17</v>
      </c>
      <c r="D117" t="s">
        <v>31</v>
      </c>
      <c r="E117" s="5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 s="4">
        <v>489.6</v>
      </c>
      <c r="L117" s="2">
        <v>35489.599999999999</v>
      </c>
      <c r="M117" t="str">
        <f t="shared" si="6"/>
        <v>California</v>
      </c>
      <c r="N117" t="str">
        <f t="shared" si="7"/>
        <v>NA</v>
      </c>
      <c r="O117" t="str">
        <f t="shared" si="8"/>
        <v>High School or Below</v>
      </c>
      <c r="P117" t="str">
        <f t="shared" si="9"/>
        <v>Corporate</v>
      </c>
      <c r="Q117">
        <f t="shared" si="10"/>
        <v>4</v>
      </c>
      <c r="R117">
        <f t="shared" ca="1" si="11"/>
        <v>29</v>
      </c>
    </row>
    <row r="118" spans="1:18" x14ac:dyDescent="0.35">
      <c r="A118" t="s">
        <v>154</v>
      </c>
      <c r="B118" t="s">
        <v>33</v>
      </c>
      <c r="C118" t="s">
        <v>17</v>
      </c>
      <c r="D118" t="s">
        <v>31</v>
      </c>
      <c r="E118" s="5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 s="4">
        <v>638.4</v>
      </c>
      <c r="L118" s="2">
        <v>35638.400000000001</v>
      </c>
      <c r="M118" t="str">
        <f t="shared" si="6"/>
        <v>Oregon</v>
      </c>
      <c r="N118" t="str">
        <f t="shared" si="7"/>
        <v>NA</v>
      </c>
      <c r="O118" t="str">
        <f t="shared" si="8"/>
        <v>High School or Below</v>
      </c>
      <c r="P118" t="str">
        <f t="shared" si="9"/>
        <v>Personal</v>
      </c>
      <c r="Q118">
        <f t="shared" si="10"/>
        <v>4</v>
      </c>
      <c r="R118">
        <f t="shared" ca="1" si="11"/>
        <v>29</v>
      </c>
    </row>
    <row r="119" spans="1:18" x14ac:dyDescent="0.35">
      <c r="A119" t="s">
        <v>155</v>
      </c>
      <c r="B119" t="s">
        <v>61</v>
      </c>
      <c r="C119" t="s">
        <v>17</v>
      </c>
      <c r="D119" t="s">
        <v>31</v>
      </c>
      <c r="E119" s="5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 s="4">
        <v>465.63395400000002</v>
      </c>
      <c r="L119" s="2">
        <v>35465.633953999997</v>
      </c>
      <c r="M119" t="str">
        <f t="shared" si="6"/>
        <v>Arizona</v>
      </c>
      <c r="N119" t="str">
        <f t="shared" si="7"/>
        <v>NA</v>
      </c>
      <c r="O119" t="str">
        <f t="shared" si="8"/>
        <v>High School or Below</v>
      </c>
      <c r="P119" t="str">
        <f t="shared" si="9"/>
        <v>Personal</v>
      </c>
      <c r="Q119">
        <f t="shared" si="10"/>
        <v>2</v>
      </c>
      <c r="R119">
        <f t="shared" ca="1" si="11"/>
        <v>29</v>
      </c>
    </row>
    <row r="120" spans="1:18" x14ac:dyDescent="0.35">
      <c r="A120" t="s">
        <v>156</v>
      </c>
      <c r="B120" t="s">
        <v>26</v>
      </c>
      <c r="C120" t="s">
        <v>17</v>
      </c>
      <c r="D120" t="s">
        <v>4</v>
      </c>
      <c r="E120" s="5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 s="4">
        <v>368.40014600000001</v>
      </c>
      <c r="L120" s="2">
        <v>35368.400146</v>
      </c>
      <c r="M120" t="str">
        <f t="shared" si="6"/>
        <v>California</v>
      </c>
      <c r="N120" t="str">
        <f t="shared" si="7"/>
        <v>NA</v>
      </c>
      <c r="O120" t="str">
        <f t="shared" si="8"/>
        <v>Bachelor</v>
      </c>
      <c r="P120" t="str">
        <f t="shared" si="9"/>
        <v>Personal</v>
      </c>
      <c r="Q120">
        <f t="shared" si="10"/>
        <v>2</v>
      </c>
      <c r="R120">
        <f t="shared" ca="1" si="11"/>
        <v>29</v>
      </c>
    </row>
    <row r="121" spans="1:18" x14ac:dyDescent="0.35">
      <c r="A121" t="s">
        <v>157</v>
      </c>
      <c r="B121" t="s">
        <v>26</v>
      </c>
      <c r="C121" t="s">
        <v>17</v>
      </c>
      <c r="D121" t="s">
        <v>35</v>
      </c>
      <c r="E121" s="5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 s="4">
        <v>236.90200100000001</v>
      </c>
      <c r="L121" s="2">
        <v>35236.902001000002</v>
      </c>
      <c r="M121" t="str">
        <f t="shared" si="6"/>
        <v>California</v>
      </c>
      <c r="N121" t="str">
        <f t="shared" si="7"/>
        <v>NA</v>
      </c>
      <c r="O121" t="str">
        <f t="shared" si="8"/>
        <v>College</v>
      </c>
      <c r="P121" t="str">
        <f t="shared" si="9"/>
        <v>Corporate</v>
      </c>
      <c r="Q121">
        <f t="shared" si="10"/>
        <v>4</v>
      </c>
      <c r="R121">
        <f t="shared" ca="1" si="11"/>
        <v>30</v>
      </c>
    </row>
    <row r="122" spans="1:18" x14ac:dyDescent="0.35">
      <c r="A122" t="s">
        <v>158</v>
      </c>
      <c r="B122" t="s">
        <v>3</v>
      </c>
      <c r="C122" t="s">
        <v>21</v>
      </c>
      <c r="D122" t="s">
        <v>35</v>
      </c>
      <c r="E122" s="5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 s="4">
        <v>49.451117000000004</v>
      </c>
      <c r="L122" s="2">
        <v>35049.451116999997</v>
      </c>
      <c r="M122" t="str">
        <f t="shared" si="6"/>
        <v>Washington</v>
      </c>
      <c r="N122" t="str">
        <f t="shared" si="7"/>
        <v>F</v>
      </c>
      <c r="O122" t="str">
        <f t="shared" si="8"/>
        <v>College</v>
      </c>
      <c r="P122" t="str">
        <f t="shared" si="9"/>
        <v>Personal</v>
      </c>
      <c r="Q122">
        <f t="shared" si="10"/>
        <v>4</v>
      </c>
      <c r="R122">
        <f t="shared" ca="1" si="11"/>
        <v>30</v>
      </c>
    </row>
    <row r="123" spans="1:18" x14ac:dyDescent="0.35">
      <c r="A123" t="s">
        <v>159</v>
      </c>
      <c r="B123" t="s">
        <v>26</v>
      </c>
      <c r="C123" t="s">
        <v>17</v>
      </c>
      <c r="D123" t="s">
        <v>4</v>
      </c>
      <c r="E123" s="5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 s="4">
        <v>64.109662999999998</v>
      </c>
      <c r="L123" s="2">
        <v>35064.109663000003</v>
      </c>
      <c r="M123" t="str">
        <f t="shared" si="6"/>
        <v>California</v>
      </c>
      <c r="N123" t="str">
        <f t="shared" si="7"/>
        <v>NA</v>
      </c>
      <c r="O123" t="str">
        <f t="shared" si="8"/>
        <v>Bachelor</v>
      </c>
      <c r="P123" t="str">
        <f t="shared" si="9"/>
        <v>Personal</v>
      </c>
      <c r="Q123">
        <f t="shared" si="10"/>
        <v>2</v>
      </c>
      <c r="R123">
        <f t="shared" ca="1" si="11"/>
        <v>30</v>
      </c>
    </row>
    <row r="124" spans="1:18" x14ac:dyDescent="0.35">
      <c r="A124" t="s">
        <v>160</v>
      </c>
      <c r="B124" t="s">
        <v>33</v>
      </c>
      <c r="C124" t="s">
        <v>17</v>
      </c>
      <c r="D124" t="s">
        <v>31</v>
      </c>
      <c r="E124" s="5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 s="4">
        <v>326.39999999999998</v>
      </c>
      <c r="L124" s="2">
        <v>35326.400000000001</v>
      </c>
      <c r="M124" t="str">
        <f t="shared" si="6"/>
        <v>Oregon</v>
      </c>
      <c r="N124" t="str">
        <f t="shared" si="7"/>
        <v>NA</v>
      </c>
      <c r="O124" t="str">
        <f t="shared" si="8"/>
        <v>High School or Below</v>
      </c>
      <c r="P124" t="str">
        <f t="shared" si="9"/>
        <v>Personal</v>
      </c>
      <c r="Q124">
        <f t="shared" si="10"/>
        <v>2</v>
      </c>
      <c r="R124">
        <f t="shared" ca="1" si="11"/>
        <v>29</v>
      </c>
    </row>
    <row r="125" spans="1:18" x14ac:dyDescent="0.35">
      <c r="A125" t="s">
        <v>161</v>
      </c>
      <c r="B125" t="s">
        <v>26</v>
      </c>
      <c r="C125" t="s">
        <v>17</v>
      </c>
      <c r="D125" t="s">
        <v>31</v>
      </c>
      <c r="E125" s="5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 s="4">
        <v>921.6</v>
      </c>
      <c r="L125" s="2">
        <v>35921.599999999999</v>
      </c>
      <c r="M125" t="str">
        <f t="shared" si="6"/>
        <v>California</v>
      </c>
      <c r="N125" t="str">
        <f t="shared" si="7"/>
        <v>NA</v>
      </c>
      <c r="O125" t="str">
        <f t="shared" si="8"/>
        <v>High School or Below</v>
      </c>
      <c r="P125" t="str">
        <f t="shared" si="9"/>
        <v>Personal</v>
      </c>
      <c r="Q125">
        <f t="shared" si="10"/>
        <v>4</v>
      </c>
      <c r="R125">
        <f t="shared" ca="1" si="11"/>
        <v>28</v>
      </c>
    </row>
    <row r="126" spans="1:18" x14ac:dyDescent="0.35">
      <c r="A126" t="s">
        <v>162</v>
      </c>
      <c r="B126" t="s">
        <v>23</v>
      </c>
      <c r="C126" t="s">
        <v>17</v>
      </c>
      <c r="D126" t="s">
        <v>4</v>
      </c>
      <c r="E126" s="5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 s="4">
        <v>101.89645</v>
      </c>
      <c r="L126" s="2">
        <v>35101.89645</v>
      </c>
      <c r="M126" t="str">
        <f t="shared" si="6"/>
        <v>Nevada</v>
      </c>
      <c r="N126" t="str">
        <f t="shared" si="7"/>
        <v>NA</v>
      </c>
      <c r="O126" t="str">
        <f t="shared" si="8"/>
        <v>Bachelor</v>
      </c>
      <c r="P126" t="str">
        <f t="shared" si="9"/>
        <v>Personal</v>
      </c>
      <c r="Q126">
        <f t="shared" si="10"/>
        <v>4</v>
      </c>
      <c r="R126">
        <f t="shared" ca="1" si="11"/>
        <v>30</v>
      </c>
    </row>
    <row r="127" spans="1:18" x14ac:dyDescent="0.35">
      <c r="A127" t="s">
        <v>163</v>
      </c>
      <c r="B127" t="s">
        <v>33</v>
      </c>
      <c r="C127" t="s">
        <v>17</v>
      </c>
      <c r="D127" t="s">
        <v>35</v>
      </c>
      <c r="E127" s="5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 s="4">
        <v>542.4</v>
      </c>
      <c r="L127" s="2">
        <v>35542.400000000001</v>
      </c>
      <c r="M127" t="str">
        <f t="shared" si="6"/>
        <v>Oregon</v>
      </c>
      <c r="N127" t="str">
        <f t="shared" si="7"/>
        <v>NA</v>
      </c>
      <c r="O127" t="str">
        <f t="shared" si="8"/>
        <v>College</v>
      </c>
      <c r="P127" t="str">
        <f t="shared" si="9"/>
        <v>Personal</v>
      </c>
      <c r="Q127">
        <f t="shared" si="10"/>
        <v>4</v>
      </c>
      <c r="R127">
        <f t="shared" ca="1" si="11"/>
        <v>29</v>
      </c>
    </row>
    <row r="128" spans="1:18" x14ac:dyDescent="0.35">
      <c r="A128" t="s">
        <v>164</v>
      </c>
      <c r="B128" t="s">
        <v>33</v>
      </c>
      <c r="C128" t="s">
        <v>17</v>
      </c>
      <c r="D128" t="s">
        <v>2</v>
      </c>
      <c r="E128" s="5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 s="4">
        <v>143.747794</v>
      </c>
      <c r="L128" s="2">
        <v>35143.747794000003</v>
      </c>
      <c r="M128" t="str">
        <f t="shared" si="6"/>
        <v>Oregon</v>
      </c>
      <c r="N128" t="str">
        <f t="shared" si="7"/>
        <v>NA</v>
      </c>
      <c r="O128" t="str">
        <f t="shared" si="8"/>
        <v>Master</v>
      </c>
      <c r="P128" t="str">
        <f t="shared" si="9"/>
        <v>Personal</v>
      </c>
      <c r="Q128">
        <f t="shared" si="10"/>
        <v>4</v>
      </c>
      <c r="R128">
        <f t="shared" ca="1" si="11"/>
        <v>30</v>
      </c>
    </row>
    <row r="129" spans="1:18" x14ac:dyDescent="0.35">
      <c r="A129" t="s">
        <v>165</v>
      </c>
      <c r="B129" t="s">
        <v>61</v>
      </c>
      <c r="C129" t="s">
        <v>17</v>
      </c>
      <c r="D129" t="s">
        <v>35</v>
      </c>
      <c r="E129" s="5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 s="4">
        <v>424.07715899999999</v>
      </c>
      <c r="L129" s="2">
        <v>35424.077159</v>
      </c>
      <c r="M129" t="str">
        <f t="shared" si="6"/>
        <v>Arizona</v>
      </c>
      <c r="N129" t="str">
        <f t="shared" si="7"/>
        <v>NA</v>
      </c>
      <c r="O129" t="str">
        <f t="shared" si="8"/>
        <v>College</v>
      </c>
      <c r="P129" t="str">
        <f t="shared" si="9"/>
        <v>Special</v>
      </c>
      <c r="Q129">
        <f t="shared" si="10"/>
        <v>4</v>
      </c>
      <c r="R129">
        <f t="shared" ca="1" si="11"/>
        <v>29</v>
      </c>
    </row>
    <row r="130" spans="1:18" x14ac:dyDescent="0.35">
      <c r="A130" t="s">
        <v>166</v>
      </c>
      <c r="B130" t="s">
        <v>33</v>
      </c>
      <c r="C130" t="s">
        <v>17</v>
      </c>
      <c r="D130" t="s">
        <v>35</v>
      </c>
      <c r="E130" s="5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 s="4">
        <v>316.8</v>
      </c>
      <c r="L130" s="2">
        <v>35316.800000000003</v>
      </c>
      <c r="M130" t="str">
        <f t="shared" si="6"/>
        <v>Oregon</v>
      </c>
      <c r="N130" t="str">
        <f t="shared" si="7"/>
        <v>NA</v>
      </c>
      <c r="O130" t="str">
        <f t="shared" si="8"/>
        <v>College</v>
      </c>
      <c r="P130" t="str">
        <f t="shared" si="9"/>
        <v>Personal</v>
      </c>
      <c r="Q130">
        <f t="shared" si="10"/>
        <v>4</v>
      </c>
      <c r="R130">
        <f t="shared" ca="1" si="11"/>
        <v>30</v>
      </c>
    </row>
    <row r="131" spans="1:18" x14ac:dyDescent="0.35">
      <c r="A131" t="s">
        <v>167</v>
      </c>
      <c r="B131" t="s">
        <v>3</v>
      </c>
      <c r="C131" t="s">
        <v>21</v>
      </c>
      <c r="D131" t="s">
        <v>31</v>
      </c>
      <c r="E131" s="5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 s="4">
        <v>50.422181000000002</v>
      </c>
      <c r="L131" s="2">
        <v>35050.422181000002</v>
      </c>
      <c r="M131" t="str">
        <f t="shared" ref="M131:M194" si="12">IF(OR(B131="California",B131="Cali"),"California",IF(OR(B131="Arizona",B131="AZ"),"Arizona",IF(OR(B131="Washington",B131="WA"),"Washington",B131)))</f>
        <v>Washington</v>
      </c>
      <c r="N131" t="str">
        <f t="shared" ref="N131:N194" si="13">IF(OR(C131="F",C131="Femal",C131="female"),"F",IF(OR(C131="M",C131="Male"),"M","NA"))</f>
        <v>F</v>
      </c>
      <c r="O131" t="str">
        <f t="shared" ref="O131:O194" si="14">IF(OR(D131="Bachelor",D131="Bachelors"),"Bachelor",D131)</f>
        <v>High School or Below</v>
      </c>
      <c r="P131" t="str">
        <f t="shared" ref="P131:P194" si="15">LEFT(I131,FIND(" ",I131)-1)</f>
        <v>Personal</v>
      </c>
      <c r="Q131">
        <f t="shared" ref="Q131:Q194" si="16">IF(OR(J131="Luxury Car",J131="Two-Door Car",J131="Sports Car"),2,IF(OR(J131="Luxury SUV",J131="SUV",J131="Four-Door Car"),4,"NA"))</f>
        <v>2</v>
      </c>
      <c r="R131">
        <f t="shared" ref="R131:R194" ca="1" si="17">DATEDIF(L131,TODAY(),"Y")</f>
        <v>30</v>
      </c>
    </row>
    <row r="132" spans="1:18" x14ac:dyDescent="0.35">
      <c r="A132" t="s">
        <v>168</v>
      </c>
      <c r="B132" t="s">
        <v>61</v>
      </c>
      <c r="C132" t="s">
        <v>17</v>
      </c>
      <c r="D132" t="s">
        <v>31</v>
      </c>
      <c r="E132" s="5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 s="4">
        <v>523.20000000000005</v>
      </c>
      <c r="L132" s="2">
        <v>35523.199999999997</v>
      </c>
      <c r="M132" t="str">
        <f t="shared" si="12"/>
        <v>Arizona</v>
      </c>
      <c r="N132" t="str">
        <f t="shared" si="13"/>
        <v>NA</v>
      </c>
      <c r="O132" t="str">
        <f t="shared" si="14"/>
        <v>High School or Below</v>
      </c>
      <c r="P132" t="str">
        <f t="shared" si="15"/>
        <v>Personal</v>
      </c>
      <c r="Q132">
        <f t="shared" si="16"/>
        <v>2</v>
      </c>
      <c r="R132">
        <f t="shared" ca="1" si="17"/>
        <v>29</v>
      </c>
    </row>
    <row r="133" spans="1:18" x14ac:dyDescent="0.35">
      <c r="A133" t="s">
        <v>169</v>
      </c>
      <c r="B133" t="s">
        <v>23</v>
      </c>
      <c r="C133" t="s">
        <v>17</v>
      </c>
      <c r="D133" t="s">
        <v>4</v>
      </c>
      <c r="E133" s="5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 s="4">
        <v>113.801497</v>
      </c>
      <c r="L133" s="2">
        <v>35113.801497</v>
      </c>
      <c r="M133" t="str">
        <f t="shared" si="12"/>
        <v>Nevada</v>
      </c>
      <c r="N133" t="str">
        <f t="shared" si="13"/>
        <v>NA</v>
      </c>
      <c r="O133" t="str">
        <f t="shared" si="14"/>
        <v>Bachelor</v>
      </c>
      <c r="P133" t="str">
        <f t="shared" si="15"/>
        <v>Special</v>
      </c>
      <c r="Q133">
        <f t="shared" si="16"/>
        <v>4</v>
      </c>
      <c r="R133">
        <f t="shared" ca="1" si="17"/>
        <v>30</v>
      </c>
    </row>
    <row r="134" spans="1:18" x14ac:dyDescent="0.35">
      <c r="A134" t="s">
        <v>170</v>
      </c>
      <c r="B134" t="s">
        <v>33</v>
      </c>
      <c r="C134" t="s">
        <v>17</v>
      </c>
      <c r="D134" t="s">
        <v>4</v>
      </c>
      <c r="E134" s="5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 s="4">
        <v>192.87572</v>
      </c>
      <c r="L134" s="2">
        <v>35192.875719999996</v>
      </c>
      <c r="M134" t="str">
        <f t="shared" si="12"/>
        <v>Oregon</v>
      </c>
      <c r="N134" t="str">
        <f t="shared" si="13"/>
        <v>NA</v>
      </c>
      <c r="O134" t="str">
        <f t="shared" si="14"/>
        <v>Bachelor</v>
      </c>
      <c r="P134" t="str">
        <f t="shared" si="15"/>
        <v>Personal</v>
      </c>
      <c r="Q134">
        <f t="shared" si="16"/>
        <v>4</v>
      </c>
      <c r="R134">
        <f t="shared" ca="1" si="17"/>
        <v>30</v>
      </c>
    </row>
    <row r="135" spans="1:18" x14ac:dyDescent="0.35">
      <c r="A135" t="s">
        <v>171</v>
      </c>
      <c r="B135" t="s">
        <v>61</v>
      </c>
      <c r="C135" t="s">
        <v>17</v>
      </c>
      <c r="D135" t="s">
        <v>35</v>
      </c>
      <c r="E135" s="5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 s="4">
        <v>828.66271900000004</v>
      </c>
      <c r="L135" s="2">
        <v>35828.662719</v>
      </c>
      <c r="M135" t="str">
        <f t="shared" si="12"/>
        <v>Arizona</v>
      </c>
      <c r="N135" t="str">
        <f t="shared" si="13"/>
        <v>NA</v>
      </c>
      <c r="O135" t="str">
        <f t="shared" si="14"/>
        <v>College</v>
      </c>
      <c r="P135" t="str">
        <f t="shared" si="15"/>
        <v>Personal</v>
      </c>
      <c r="Q135">
        <f t="shared" si="16"/>
        <v>4</v>
      </c>
      <c r="R135">
        <f t="shared" ca="1" si="17"/>
        <v>28</v>
      </c>
    </row>
    <row r="136" spans="1:18" x14ac:dyDescent="0.35">
      <c r="A136" t="s">
        <v>172</v>
      </c>
      <c r="B136" t="s">
        <v>61</v>
      </c>
      <c r="C136" t="s">
        <v>17</v>
      </c>
      <c r="D136" t="s">
        <v>31</v>
      </c>
      <c r="E136" s="5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 s="4">
        <v>532.79999999999995</v>
      </c>
      <c r="L136" s="2">
        <v>35532.800000000003</v>
      </c>
      <c r="M136" t="str">
        <f t="shared" si="12"/>
        <v>Arizona</v>
      </c>
      <c r="N136" t="str">
        <f t="shared" si="13"/>
        <v>NA</v>
      </c>
      <c r="O136" t="str">
        <f t="shared" si="14"/>
        <v>High School or Below</v>
      </c>
      <c r="P136" t="str">
        <f t="shared" si="15"/>
        <v>Corporate</v>
      </c>
      <c r="Q136">
        <f t="shared" si="16"/>
        <v>4</v>
      </c>
      <c r="R136">
        <f t="shared" ca="1" si="17"/>
        <v>29</v>
      </c>
    </row>
    <row r="137" spans="1:18" x14ac:dyDescent="0.35">
      <c r="A137" t="s">
        <v>173</v>
      </c>
      <c r="B137" t="s">
        <v>61</v>
      </c>
      <c r="C137" t="s">
        <v>17</v>
      </c>
      <c r="D137" t="s">
        <v>31</v>
      </c>
      <c r="E137" s="5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 s="4">
        <v>975.10709799999995</v>
      </c>
      <c r="L137" s="2">
        <v>35975.107098</v>
      </c>
      <c r="M137" t="str">
        <f t="shared" si="12"/>
        <v>Arizona</v>
      </c>
      <c r="N137" t="str">
        <f t="shared" si="13"/>
        <v>NA</v>
      </c>
      <c r="O137" t="str">
        <f t="shared" si="14"/>
        <v>High School or Below</v>
      </c>
      <c r="P137" t="str">
        <f t="shared" si="15"/>
        <v>Personal</v>
      </c>
      <c r="Q137">
        <f t="shared" si="16"/>
        <v>4</v>
      </c>
      <c r="R137">
        <f t="shared" ca="1" si="17"/>
        <v>28</v>
      </c>
    </row>
    <row r="138" spans="1:18" x14ac:dyDescent="0.35">
      <c r="A138" t="s">
        <v>174</v>
      </c>
      <c r="B138" t="s">
        <v>33</v>
      </c>
      <c r="C138" t="s">
        <v>17</v>
      </c>
      <c r="D138" t="s">
        <v>31</v>
      </c>
      <c r="E138" s="5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 s="4">
        <v>53.798707999999998</v>
      </c>
      <c r="L138" s="2">
        <v>35053.798708000002</v>
      </c>
      <c r="M138" t="str">
        <f t="shared" si="12"/>
        <v>Oregon</v>
      </c>
      <c r="N138" t="str">
        <f t="shared" si="13"/>
        <v>NA</v>
      </c>
      <c r="O138" t="str">
        <f t="shared" si="14"/>
        <v>High School or Below</v>
      </c>
      <c r="P138" t="str">
        <f t="shared" si="15"/>
        <v>Special</v>
      </c>
      <c r="Q138">
        <f t="shared" si="16"/>
        <v>2</v>
      </c>
      <c r="R138">
        <f t="shared" ca="1" si="17"/>
        <v>30</v>
      </c>
    </row>
    <row r="139" spans="1:18" x14ac:dyDescent="0.35">
      <c r="A139" t="s">
        <v>175</v>
      </c>
      <c r="B139" t="s">
        <v>3</v>
      </c>
      <c r="C139" t="s">
        <v>21</v>
      </c>
      <c r="D139" t="s">
        <v>53</v>
      </c>
      <c r="E139" s="5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 s="4">
        <v>50.528354999999998</v>
      </c>
      <c r="L139" s="2">
        <v>35050.528355000002</v>
      </c>
      <c r="M139" t="str">
        <f t="shared" si="12"/>
        <v>Washington</v>
      </c>
      <c r="N139" t="str">
        <f t="shared" si="13"/>
        <v>F</v>
      </c>
      <c r="O139" t="str">
        <f t="shared" si="14"/>
        <v>Bachelor</v>
      </c>
      <c r="P139" t="str">
        <f t="shared" si="15"/>
        <v>Personal</v>
      </c>
      <c r="Q139">
        <f t="shared" si="16"/>
        <v>4</v>
      </c>
      <c r="R139">
        <f t="shared" ca="1" si="17"/>
        <v>30</v>
      </c>
    </row>
    <row r="140" spans="1:18" x14ac:dyDescent="0.35">
      <c r="A140" t="s">
        <v>176</v>
      </c>
      <c r="B140" t="s">
        <v>33</v>
      </c>
      <c r="C140" t="s">
        <v>17</v>
      </c>
      <c r="D140" t="s">
        <v>35</v>
      </c>
      <c r="E140" s="5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 s="4">
        <v>289.91219999999998</v>
      </c>
      <c r="L140" s="2">
        <v>35289.912199999999</v>
      </c>
      <c r="M140" t="str">
        <f t="shared" si="12"/>
        <v>Oregon</v>
      </c>
      <c r="N140" t="str">
        <f t="shared" si="13"/>
        <v>NA</v>
      </c>
      <c r="O140" t="str">
        <f t="shared" si="14"/>
        <v>College</v>
      </c>
      <c r="P140" t="str">
        <f t="shared" si="15"/>
        <v>Personal</v>
      </c>
      <c r="Q140">
        <f t="shared" si="16"/>
        <v>4</v>
      </c>
      <c r="R140">
        <f t="shared" ca="1" si="17"/>
        <v>30</v>
      </c>
    </row>
    <row r="141" spans="1:18" x14ac:dyDescent="0.35">
      <c r="A141" t="s">
        <v>177</v>
      </c>
      <c r="B141" t="s">
        <v>61</v>
      </c>
      <c r="C141" t="s">
        <v>21</v>
      </c>
      <c r="D141" t="s">
        <v>4</v>
      </c>
      <c r="E141" s="5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 s="4">
        <v>392.60437100000001</v>
      </c>
      <c r="L141" s="2">
        <v>35392.604371000001</v>
      </c>
      <c r="M141" t="str">
        <f t="shared" si="12"/>
        <v>Arizona</v>
      </c>
      <c r="N141" t="str">
        <f t="shared" si="13"/>
        <v>F</v>
      </c>
      <c r="O141" t="str">
        <f t="shared" si="14"/>
        <v>Bachelor</v>
      </c>
      <c r="P141" t="str">
        <f t="shared" si="15"/>
        <v>Special</v>
      </c>
      <c r="Q141">
        <f t="shared" si="16"/>
        <v>4</v>
      </c>
      <c r="R141">
        <f t="shared" ca="1" si="17"/>
        <v>29</v>
      </c>
    </row>
    <row r="142" spans="1:18" x14ac:dyDescent="0.3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 s="4">
        <v>721.24220600000001</v>
      </c>
      <c r="L142" s="2">
        <v>35721.242206000003</v>
      </c>
      <c r="M142" t="str">
        <f t="shared" si="12"/>
        <v>Oregon</v>
      </c>
      <c r="N142" t="str">
        <f t="shared" si="13"/>
        <v>M</v>
      </c>
      <c r="O142" t="str">
        <f t="shared" si="14"/>
        <v>College</v>
      </c>
      <c r="P142" t="str">
        <f t="shared" si="15"/>
        <v>Personal</v>
      </c>
      <c r="Q142">
        <f t="shared" si="16"/>
        <v>2</v>
      </c>
      <c r="R142">
        <f t="shared" ca="1" si="17"/>
        <v>28</v>
      </c>
    </row>
    <row r="143" spans="1:18" x14ac:dyDescent="0.35">
      <c r="A143" t="s">
        <v>179</v>
      </c>
      <c r="B143" t="s">
        <v>61</v>
      </c>
      <c r="C143" t="s">
        <v>27</v>
      </c>
      <c r="D143" t="s">
        <v>2</v>
      </c>
      <c r="E143" s="5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 s="4">
        <v>456.52384999999998</v>
      </c>
      <c r="L143" s="2">
        <v>35456.523849999998</v>
      </c>
      <c r="M143" t="str">
        <f t="shared" si="12"/>
        <v>Arizona</v>
      </c>
      <c r="N143" t="str">
        <f t="shared" si="13"/>
        <v>M</v>
      </c>
      <c r="O143" t="str">
        <f t="shared" si="14"/>
        <v>Master</v>
      </c>
      <c r="P143" t="str">
        <f t="shared" si="15"/>
        <v>Personal</v>
      </c>
      <c r="Q143">
        <f t="shared" si="16"/>
        <v>4</v>
      </c>
      <c r="R143">
        <f t="shared" ca="1" si="17"/>
        <v>29</v>
      </c>
    </row>
    <row r="144" spans="1:18" x14ac:dyDescent="0.35">
      <c r="A144" t="s">
        <v>180</v>
      </c>
      <c r="B144" t="s">
        <v>26</v>
      </c>
      <c r="C144" t="s">
        <v>21</v>
      </c>
      <c r="D144" t="s">
        <v>31</v>
      </c>
      <c r="E144" s="5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 s="4">
        <v>1087.995426</v>
      </c>
      <c r="L144" s="2">
        <v>36087.995426000001</v>
      </c>
      <c r="M144" t="str">
        <f t="shared" si="12"/>
        <v>California</v>
      </c>
      <c r="N144" t="str">
        <f t="shared" si="13"/>
        <v>F</v>
      </c>
      <c r="O144" t="str">
        <f t="shared" si="14"/>
        <v>High School or Below</v>
      </c>
      <c r="P144" t="str">
        <f t="shared" si="15"/>
        <v>Personal</v>
      </c>
      <c r="Q144">
        <f t="shared" si="16"/>
        <v>2</v>
      </c>
      <c r="R144">
        <f t="shared" ca="1" si="17"/>
        <v>27</v>
      </c>
    </row>
    <row r="145" spans="1:18" x14ac:dyDescent="0.35">
      <c r="A145" t="s">
        <v>181</v>
      </c>
      <c r="B145" t="s">
        <v>3</v>
      </c>
      <c r="C145" t="s">
        <v>21</v>
      </c>
      <c r="D145" t="s">
        <v>80</v>
      </c>
      <c r="E145" s="5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 s="4">
        <v>51.961914999999998</v>
      </c>
      <c r="L145" s="2">
        <v>35051.961915</v>
      </c>
      <c r="M145" t="str">
        <f t="shared" si="12"/>
        <v>Washington</v>
      </c>
      <c r="N145" t="str">
        <f t="shared" si="13"/>
        <v>F</v>
      </c>
      <c r="O145" t="str">
        <f t="shared" si="14"/>
        <v>Doctor</v>
      </c>
      <c r="P145" t="str">
        <f t="shared" si="15"/>
        <v>Personal</v>
      </c>
      <c r="Q145">
        <f t="shared" si="16"/>
        <v>4</v>
      </c>
      <c r="R145">
        <f t="shared" ca="1" si="17"/>
        <v>30</v>
      </c>
    </row>
    <row r="146" spans="1:18" x14ac:dyDescent="0.35">
      <c r="A146" t="s">
        <v>182</v>
      </c>
      <c r="B146" t="s">
        <v>33</v>
      </c>
      <c r="C146" t="s">
        <v>21</v>
      </c>
      <c r="D146" t="s">
        <v>31</v>
      </c>
      <c r="E146" s="5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 s="4">
        <v>460.8</v>
      </c>
      <c r="L146" s="2">
        <v>35460.800000000003</v>
      </c>
      <c r="M146" t="str">
        <f t="shared" si="12"/>
        <v>Oregon</v>
      </c>
      <c r="N146" t="str">
        <f t="shared" si="13"/>
        <v>F</v>
      </c>
      <c r="O146" t="str">
        <f t="shared" si="14"/>
        <v>High School or Below</v>
      </c>
      <c r="P146" t="str">
        <f t="shared" si="15"/>
        <v>Personal</v>
      </c>
      <c r="Q146">
        <f t="shared" si="16"/>
        <v>4</v>
      </c>
      <c r="R146">
        <f t="shared" ca="1" si="17"/>
        <v>29</v>
      </c>
    </row>
    <row r="147" spans="1:18" x14ac:dyDescent="0.35">
      <c r="A147" t="s">
        <v>183</v>
      </c>
      <c r="B147" t="s">
        <v>23</v>
      </c>
      <c r="C147" t="s">
        <v>27</v>
      </c>
      <c r="D147" t="s">
        <v>4</v>
      </c>
      <c r="E147" s="5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 s="4">
        <v>251.99208300000001</v>
      </c>
      <c r="L147" s="2">
        <v>35251.992082999997</v>
      </c>
      <c r="M147" t="str">
        <f t="shared" si="12"/>
        <v>Nevada</v>
      </c>
      <c r="N147" t="str">
        <f t="shared" si="13"/>
        <v>M</v>
      </c>
      <c r="O147" t="str">
        <f t="shared" si="14"/>
        <v>Bachelor</v>
      </c>
      <c r="P147" t="str">
        <f t="shared" si="15"/>
        <v>Corporate</v>
      </c>
      <c r="Q147">
        <f t="shared" si="16"/>
        <v>4</v>
      </c>
      <c r="R147">
        <f t="shared" ca="1" si="17"/>
        <v>30</v>
      </c>
    </row>
    <row r="148" spans="1:18" x14ac:dyDescent="0.35">
      <c r="A148" t="s">
        <v>184</v>
      </c>
      <c r="B148" t="s">
        <v>26</v>
      </c>
      <c r="C148" t="s">
        <v>21</v>
      </c>
      <c r="D148" t="s">
        <v>35</v>
      </c>
      <c r="E148" s="5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 s="4">
        <v>345.6</v>
      </c>
      <c r="L148" s="2">
        <v>35345.599999999999</v>
      </c>
      <c r="M148" t="str">
        <f t="shared" si="12"/>
        <v>California</v>
      </c>
      <c r="N148" t="str">
        <f t="shared" si="13"/>
        <v>F</v>
      </c>
      <c r="O148" t="str">
        <f t="shared" si="14"/>
        <v>College</v>
      </c>
      <c r="P148" t="str">
        <f t="shared" si="15"/>
        <v>Corporate</v>
      </c>
      <c r="Q148">
        <f t="shared" si="16"/>
        <v>4</v>
      </c>
      <c r="R148">
        <f t="shared" ca="1" si="17"/>
        <v>29</v>
      </c>
    </row>
    <row r="149" spans="1:18" x14ac:dyDescent="0.35">
      <c r="A149" t="s">
        <v>185</v>
      </c>
      <c r="B149" t="s">
        <v>5</v>
      </c>
      <c r="C149" t="s">
        <v>21</v>
      </c>
      <c r="D149" t="s">
        <v>4</v>
      </c>
      <c r="E149" s="5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 s="4">
        <v>321.60000000000002</v>
      </c>
      <c r="L149" s="2">
        <v>35321.599999999999</v>
      </c>
      <c r="M149" t="str">
        <f t="shared" si="12"/>
        <v>Arizona</v>
      </c>
      <c r="N149" t="str">
        <f t="shared" si="13"/>
        <v>F</v>
      </c>
      <c r="O149" t="str">
        <f t="shared" si="14"/>
        <v>Bachelor</v>
      </c>
      <c r="P149" t="str">
        <f t="shared" si="15"/>
        <v>Corporate</v>
      </c>
      <c r="Q149">
        <f t="shared" si="16"/>
        <v>2</v>
      </c>
      <c r="R149">
        <f t="shared" ca="1" si="17"/>
        <v>29</v>
      </c>
    </row>
    <row r="150" spans="1:18" x14ac:dyDescent="0.35">
      <c r="A150" t="s">
        <v>186</v>
      </c>
      <c r="B150" t="s">
        <v>5</v>
      </c>
      <c r="C150" t="s">
        <v>21</v>
      </c>
      <c r="D150" t="s">
        <v>31</v>
      </c>
      <c r="E150" s="5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 s="4">
        <v>99.257608000000005</v>
      </c>
      <c r="L150" s="2">
        <v>35099.257608</v>
      </c>
      <c r="M150" t="str">
        <f t="shared" si="12"/>
        <v>Arizona</v>
      </c>
      <c r="N150" t="str">
        <f t="shared" si="13"/>
        <v>F</v>
      </c>
      <c r="O150" t="str">
        <f t="shared" si="14"/>
        <v>High School or Below</v>
      </c>
      <c r="P150" t="str">
        <f t="shared" si="15"/>
        <v>Personal</v>
      </c>
      <c r="Q150">
        <f t="shared" si="16"/>
        <v>4</v>
      </c>
      <c r="R150">
        <f t="shared" ca="1" si="17"/>
        <v>30</v>
      </c>
    </row>
    <row r="151" spans="1:18" x14ac:dyDescent="0.3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 s="4">
        <v>504</v>
      </c>
      <c r="L151" s="2">
        <v>35504</v>
      </c>
      <c r="M151" t="str">
        <f t="shared" si="12"/>
        <v>Oregon</v>
      </c>
      <c r="N151" t="str">
        <f t="shared" si="13"/>
        <v>M</v>
      </c>
      <c r="O151" t="str">
        <f t="shared" si="14"/>
        <v>College</v>
      </c>
      <c r="P151" t="str">
        <f t="shared" si="15"/>
        <v>Corporate</v>
      </c>
      <c r="Q151">
        <f t="shared" si="16"/>
        <v>4</v>
      </c>
      <c r="R151">
        <f t="shared" ca="1" si="17"/>
        <v>29</v>
      </c>
    </row>
    <row r="152" spans="1:18" x14ac:dyDescent="0.35">
      <c r="A152" t="s">
        <v>188</v>
      </c>
      <c r="B152" t="s">
        <v>3</v>
      </c>
      <c r="C152" t="s">
        <v>21</v>
      </c>
      <c r="D152" t="s">
        <v>31</v>
      </c>
      <c r="E152" s="5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 s="4">
        <v>56.731577999999999</v>
      </c>
      <c r="L152" s="2">
        <v>35056.731577999999</v>
      </c>
      <c r="M152" t="str">
        <f t="shared" si="12"/>
        <v>Washington</v>
      </c>
      <c r="N152" t="str">
        <f t="shared" si="13"/>
        <v>F</v>
      </c>
      <c r="O152" t="str">
        <f t="shared" si="14"/>
        <v>High School or Below</v>
      </c>
      <c r="P152" t="str">
        <f t="shared" si="15"/>
        <v>Personal</v>
      </c>
      <c r="Q152">
        <f t="shared" si="16"/>
        <v>4</v>
      </c>
      <c r="R152">
        <f t="shared" ca="1" si="17"/>
        <v>30</v>
      </c>
    </row>
    <row r="153" spans="1:18" x14ac:dyDescent="0.35">
      <c r="A153" t="s">
        <v>189</v>
      </c>
      <c r="B153" t="s">
        <v>3</v>
      </c>
      <c r="C153" t="s">
        <v>27</v>
      </c>
      <c r="D153" t="s">
        <v>2</v>
      </c>
      <c r="E153" s="5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 s="4">
        <v>57.562323999999997</v>
      </c>
      <c r="L153" s="2">
        <v>35057.562323999999</v>
      </c>
      <c r="M153" t="str">
        <f t="shared" si="12"/>
        <v>Washington</v>
      </c>
      <c r="N153" t="str">
        <f t="shared" si="13"/>
        <v>M</v>
      </c>
      <c r="O153" t="str">
        <f t="shared" si="14"/>
        <v>Master</v>
      </c>
      <c r="P153" t="str">
        <f t="shared" si="15"/>
        <v>Personal</v>
      </c>
      <c r="Q153">
        <f t="shared" si="16"/>
        <v>4</v>
      </c>
      <c r="R153">
        <f t="shared" ca="1" si="17"/>
        <v>30</v>
      </c>
    </row>
    <row r="154" spans="1:18" x14ac:dyDescent="0.35">
      <c r="A154" t="s">
        <v>190</v>
      </c>
      <c r="B154" t="s">
        <v>5</v>
      </c>
      <c r="C154" t="s">
        <v>27</v>
      </c>
      <c r="D154" t="s">
        <v>31</v>
      </c>
      <c r="E154" s="5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 s="4">
        <v>604.79999999999995</v>
      </c>
      <c r="L154" s="2">
        <v>35604.800000000003</v>
      </c>
      <c r="M154" t="str">
        <f t="shared" si="12"/>
        <v>Arizona</v>
      </c>
      <c r="N154" t="str">
        <f t="shared" si="13"/>
        <v>M</v>
      </c>
      <c r="O154" t="str">
        <f t="shared" si="14"/>
        <v>High School or Below</v>
      </c>
      <c r="P154" t="str">
        <f t="shared" si="15"/>
        <v>Personal</v>
      </c>
      <c r="Q154">
        <f t="shared" si="16"/>
        <v>4</v>
      </c>
      <c r="R154">
        <f t="shared" ca="1" si="17"/>
        <v>29</v>
      </c>
    </row>
    <row r="155" spans="1:18" x14ac:dyDescent="0.35">
      <c r="A155" t="s">
        <v>191</v>
      </c>
      <c r="B155" t="s">
        <v>5</v>
      </c>
      <c r="C155" t="s">
        <v>21</v>
      </c>
      <c r="D155" t="s">
        <v>4</v>
      </c>
      <c r="E155" s="5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 s="4">
        <v>8.3127289999999991</v>
      </c>
      <c r="L155" s="2">
        <v>35008.312728999997</v>
      </c>
      <c r="M155" t="str">
        <f t="shared" si="12"/>
        <v>Arizona</v>
      </c>
      <c r="N155" t="str">
        <f t="shared" si="13"/>
        <v>F</v>
      </c>
      <c r="O155" t="str">
        <f t="shared" si="14"/>
        <v>Bachelor</v>
      </c>
      <c r="P155" t="str">
        <f t="shared" si="15"/>
        <v>Personal</v>
      </c>
      <c r="Q155">
        <f t="shared" si="16"/>
        <v>4</v>
      </c>
      <c r="R155">
        <f t="shared" ca="1" si="17"/>
        <v>30</v>
      </c>
    </row>
    <row r="156" spans="1:18" x14ac:dyDescent="0.35">
      <c r="A156" t="s">
        <v>192</v>
      </c>
      <c r="B156" t="s">
        <v>26</v>
      </c>
      <c r="C156" t="s">
        <v>193</v>
      </c>
      <c r="D156" t="s">
        <v>4</v>
      </c>
      <c r="E156" s="5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 s="4">
        <v>316.59922799999998</v>
      </c>
      <c r="L156" s="2">
        <v>35316.599227999999</v>
      </c>
      <c r="M156" t="str">
        <f t="shared" si="12"/>
        <v>California</v>
      </c>
      <c r="N156" t="str">
        <f t="shared" si="13"/>
        <v>F</v>
      </c>
      <c r="O156" t="str">
        <f t="shared" si="14"/>
        <v>Bachelor</v>
      </c>
      <c r="P156" t="str">
        <f t="shared" si="15"/>
        <v>Personal</v>
      </c>
      <c r="Q156">
        <f t="shared" si="16"/>
        <v>4</v>
      </c>
      <c r="R156">
        <f t="shared" ca="1" si="17"/>
        <v>30</v>
      </c>
    </row>
    <row r="157" spans="1:18" x14ac:dyDescent="0.3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 s="4">
        <v>312</v>
      </c>
      <c r="L157" s="2">
        <v>35312</v>
      </c>
      <c r="M157" t="str">
        <f t="shared" si="12"/>
        <v>California</v>
      </c>
      <c r="N157" t="str">
        <f t="shared" si="13"/>
        <v>M</v>
      </c>
      <c r="O157" t="str">
        <f t="shared" si="14"/>
        <v>High School or Below</v>
      </c>
      <c r="P157" t="str">
        <f t="shared" si="15"/>
        <v>Personal</v>
      </c>
      <c r="Q157">
        <f t="shared" si="16"/>
        <v>4</v>
      </c>
      <c r="R157">
        <f t="shared" ca="1" si="17"/>
        <v>30</v>
      </c>
    </row>
    <row r="158" spans="1:18" x14ac:dyDescent="0.3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 s="4">
        <v>56.300724000000002</v>
      </c>
      <c r="L158" s="2">
        <v>35056.300724000001</v>
      </c>
      <c r="M158" t="str">
        <f t="shared" si="12"/>
        <v>Oregon</v>
      </c>
      <c r="N158" t="str">
        <f t="shared" si="13"/>
        <v>M</v>
      </c>
      <c r="O158" t="str">
        <f t="shared" si="14"/>
        <v>College</v>
      </c>
      <c r="P158" t="str">
        <f t="shared" si="15"/>
        <v>Personal</v>
      </c>
      <c r="Q158">
        <f t="shared" si="16"/>
        <v>4</v>
      </c>
      <c r="R158">
        <f t="shared" ca="1" si="17"/>
        <v>30</v>
      </c>
    </row>
    <row r="159" spans="1:18" x14ac:dyDescent="0.35">
      <c r="A159" t="s">
        <v>196</v>
      </c>
      <c r="B159" t="s">
        <v>33</v>
      </c>
      <c r="C159" t="s">
        <v>21</v>
      </c>
      <c r="D159" t="s">
        <v>4</v>
      </c>
      <c r="E159" s="5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 s="4">
        <v>393.6</v>
      </c>
      <c r="L159" s="2">
        <v>35393.599999999999</v>
      </c>
      <c r="M159" t="str">
        <f t="shared" si="12"/>
        <v>Oregon</v>
      </c>
      <c r="N159" t="str">
        <f t="shared" si="13"/>
        <v>F</v>
      </c>
      <c r="O159" t="str">
        <f t="shared" si="14"/>
        <v>Bachelor</v>
      </c>
      <c r="P159" t="str">
        <f t="shared" si="15"/>
        <v>Personal</v>
      </c>
      <c r="Q159">
        <f t="shared" si="16"/>
        <v>4</v>
      </c>
      <c r="R159">
        <f t="shared" ca="1" si="17"/>
        <v>29</v>
      </c>
    </row>
    <row r="160" spans="1:18" x14ac:dyDescent="0.35">
      <c r="A160" t="s">
        <v>197</v>
      </c>
      <c r="B160" t="s">
        <v>5</v>
      </c>
      <c r="C160" t="s">
        <v>27</v>
      </c>
      <c r="D160" t="s">
        <v>35</v>
      </c>
      <c r="E160" s="5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 s="4">
        <v>701.70823900000005</v>
      </c>
      <c r="L160" s="2">
        <v>35701.708239</v>
      </c>
      <c r="M160" t="str">
        <f t="shared" si="12"/>
        <v>Arizona</v>
      </c>
      <c r="N160" t="str">
        <f t="shared" si="13"/>
        <v>M</v>
      </c>
      <c r="O160" t="str">
        <f t="shared" si="14"/>
        <v>College</v>
      </c>
      <c r="P160" t="str">
        <f t="shared" si="15"/>
        <v>Personal</v>
      </c>
      <c r="Q160">
        <f t="shared" si="16"/>
        <v>2</v>
      </c>
      <c r="R160">
        <f t="shared" ca="1" si="17"/>
        <v>28</v>
      </c>
    </row>
    <row r="161" spans="1:18" x14ac:dyDescent="0.35">
      <c r="A161" t="s">
        <v>198</v>
      </c>
      <c r="B161" t="s">
        <v>5</v>
      </c>
      <c r="C161" t="s">
        <v>21</v>
      </c>
      <c r="D161" t="s">
        <v>4</v>
      </c>
      <c r="E161" s="5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 s="4">
        <v>128.70556300000001</v>
      </c>
      <c r="L161" s="2">
        <v>35128.705563000003</v>
      </c>
      <c r="M161" t="str">
        <f t="shared" si="12"/>
        <v>Arizona</v>
      </c>
      <c r="N161" t="str">
        <f t="shared" si="13"/>
        <v>F</v>
      </c>
      <c r="O161" t="str">
        <f t="shared" si="14"/>
        <v>Bachelor</v>
      </c>
      <c r="P161" t="str">
        <f t="shared" si="15"/>
        <v>Personal</v>
      </c>
      <c r="Q161">
        <f t="shared" si="16"/>
        <v>2</v>
      </c>
      <c r="R161">
        <f t="shared" ca="1" si="17"/>
        <v>30</v>
      </c>
    </row>
    <row r="162" spans="1:18" x14ac:dyDescent="0.3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 s="4">
        <v>679.36837800000001</v>
      </c>
      <c r="L162" s="2">
        <v>35679.368377999999</v>
      </c>
      <c r="M162" t="str">
        <f t="shared" si="12"/>
        <v>California</v>
      </c>
      <c r="N162" t="str">
        <f t="shared" si="13"/>
        <v>M</v>
      </c>
      <c r="O162" t="str">
        <f t="shared" si="14"/>
        <v>High School or Below</v>
      </c>
      <c r="P162" t="str">
        <f t="shared" si="15"/>
        <v>Corporate</v>
      </c>
      <c r="Q162">
        <f t="shared" si="16"/>
        <v>2</v>
      </c>
      <c r="R162">
        <f t="shared" ca="1" si="17"/>
        <v>29</v>
      </c>
    </row>
    <row r="163" spans="1:18" x14ac:dyDescent="0.35">
      <c r="A163" t="s">
        <v>200</v>
      </c>
      <c r="B163" t="s">
        <v>3</v>
      </c>
      <c r="C163" t="s">
        <v>21</v>
      </c>
      <c r="D163" t="s">
        <v>31</v>
      </c>
      <c r="E163" s="5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 s="4">
        <v>59.987126000000004</v>
      </c>
      <c r="L163" s="2">
        <v>35059.987126</v>
      </c>
      <c r="M163" t="str">
        <f t="shared" si="12"/>
        <v>Washington</v>
      </c>
      <c r="N163" t="str">
        <f t="shared" si="13"/>
        <v>F</v>
      </c>
      <c r="O163" t="str">
        <f t="shared" si="14"/>
        <v>High School or Below</v>
      </c>
      <c r="P163" t="str">
        <f t="shared" si="15"/>
        <v>Personal</v>
      </c>
      <c r="Q163">
        <f t="shared" si="16"/>
        <v>4</v>
      </c>
      <c r="R163">
        <f t="shared" ca="1" si="17"/>
        <v>30</v>
      </c>
    </row>
    <row r="164" spans="1:18" x14ac:dyDescent="0.35">
      <c r="A164" t="s">
        <v>201</v>
      </c>
      <c r="B164" t="s">
        <v>26</v>
      </c>
      <c r="C164" t="s">
        <v>21</v>
      </c>
      <c r="D164" t="s">
        <v>35</v>
      </c>
      <c r="E164" s="5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 s="4">
        <v>566.4</v>
      </c>
      <c r="L164" s="2">
        <v>35566.400000000001</v>
      </c>
      <c r="M164" t="str">
        <f t="shared" si="12"/>
        <v>California</v>
      </c>
      <c r="N164" t="str">
        <f t="shared" si="13"/>
        <v>F</v>
      </c>
      <c r="O164" t="str">
        <f t="shared" si="14"/>
        <v>College</v>
      </c>
      <c r="P164" t="str">
        <f t="shared" si="15"/>
        <v>Personal</v>
      </c>
      <c r="Q164">
        <f t="shared" si="16"/>
        <v>4</v>
      </c>
      <c r="R164">
        <f t="shared" ca="1" si="17"/>
        <v>29</v>
      </c>
    </row>
    <row r="165" spans="1:18" x14ac:dyDescent="0.35">
      <c r="A165" t="s">
        <v>202</v>
      </c>
      <c r="B165" t="s">
        <v>3</v>
      </c>
      <c r="C165" t="s">
        <v>21</v>
      </c>
      <c r="D165" t="s">
        <v>80</v>
      </c>
      <c r="E165" s="5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 s="4">
        <v>61.654262000000003</v>
      </c>
      <c r="L165" s="2">
        <v>35061.654261999996</v>
      </c>
      <c r="M165" t="str">
        <f t="shared" si="12"/>
        <v>Washington</v>
      </c>
      <c r="N165" t="str">
        <f t="shared" si="13"/>
        <v>F</v>
      </c>
      <c r="O165" t="str">
        <f t="shared" si="14"/>
        <v>Doctor</v>
      </c>
      <c r="P165" t="str">
        <f t="shared" si="15"/>
        <v>Personal</v>
      </c>
      <c r="Q165">
        <f t="shared" si="16"/>
        <v>2</v>
      </c>
      <c r="R165">
        <f t="shared" ca="1" si="17"/>
        <v>30</v>
      </c>
    </row>
    <row r="166" spans="1:18" x14ac:dyDescent="0.35">
      <c r="A166" t="s">
        <v>203</v>
      </c>
      <c r="B166" t="s">
        <v>26</v>
      </c>
      <c r="C166" t="s">
        <v>27</v>
      </c>
      <c r="D166" t="s">
        <v>4</v>
      </c>
      <c r="E166" s="5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 s="4">
        <v>554.4</v>
      </c>
      <c r="L166" s="2">
        <v>35554.400000000001</v>
      </c>
      <c r="M166" t="str">
        <f t="shared" si="12"/>
        <v>California</v>
      </c>
      <c r="N166" t="str">
        <f t="shared" si="13"/>
        <v>M</v>
      </c>
      <c r="O166" t="str">
        <f t="shared" si="14"/>
        <v>Bachelor</v>
      </c>
      <c r="P166" t="str">
        <f t="shared" si="15"/>
        <v>Personal</v>
      </c>
      <c r="Q166">
        <f t="shared" si="16"/>
        <v>4</v>
      </c>
      <c r="R166">
        <f t="shared" ca="1" si="17"/>
        <v>29</v>
      </c>
    </row>
    <row r="167" spans="1:18" x14ac:dyDescent="0.35">
      <c r="A167" t="s">
        <v>204</v>
      </c>
      <c r="B167" t="s">
        <v>33</v>
      </c>
      <c r="C167" t="s">
        <v>27</v>
      </c>
      <c r="D167" t="s">
        <v>2</v>
      </c>
      <c r="E167" s="5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 s="4">
        <v>465.41476999999998</v>
      </c>
      <c r="L167" s="2">
        <v>35465.414770000003</v>
      </c>
      <c r="M167" t="str">
        <f t="shared" si="12"/>
        <v>Oregon</v>
      </c>
      <c r="N167" t="str">
        <f t="shared" si="13"/>
        <v>M</v>
      </c>
      <c r="O167" t="str">
        <f t="shared" si="14"/>
        <v>Master</v>
      </c>
      <c r="P167" t="str">
        <f t="shared" si="15"/>
        <v>Personal</v>
      </c>
      <c r="Q167">
        <f t="shared" si="16"/>
        <v>4</v>
      </c>
      <c r="R167">
        <f t="shared" ca="1" si="17"/>
        <v>29</v>
      </c>
    </row>
    <row r="168" spans="1:18" x14ac:dyDescent="0.35">
      <c r="A168" t="s">
        <v>205</v>
      </c>
      <c r="B168" t="s">
        <v>26</v>
      </c>
      <c r="C168" t="s">
        <v>21</v>
      </c>
      <c r="D168" t="s">
        <v>4</v>
      </c>
      <c r="E168" s="5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 s="4">
        <v>496.8</v>
      </c>
      <c r="L168" s="2">
        <v>35496.800000000003</v>
      </c>
      <c r="M168" t="str">
        <f t="shared" si="12"/>
        <v>California</v>
      </c>
      <c r="N168" t="str">
        <f t="shared" si="13"/>
        <v>F</v>
      </c>
      <c r="O168" t="str">
        <f t="shared" si="14"/>
        <v>Bachelor</v>
      </c>
      <c r="P168" t="str">
        <f t="shared" si="15"/>
        <v>Personal</v>
      </c>
      <c r="Q168">
        <f t="shared" si="16"/>
        <v>4</v>
      </c>
      <c r="R168">
        <f t="shared" ca="1" si="17"/>
        <v>29</v>
      </c>
    </row>
    <row r="169" spans="1:18" x14ac:dyDescent="0.35">
      <c r="A169" t="s">
        <v>206</v>
      </c>
      <c r="B169" t="s">
        <v>26</v>
      </c>
      <c r="C169" t="s">
        <v>21</v>
      </c>
      <c r="D169" t="s">
        <v>31</v>
      </c>
      <c r="E169" s="5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 s="4">
        <v>292.8</v>
      </c>
      <c r="L169" s="2">
        <v>35292.800000000003</v>
      </c>
      <c r="M169" t="str">
        <f t="shared" si="12"/>
        <v>California</v>
      </c>
      <c r="N169" t="str">
        <f t="shared" si="13"/>
        <v>F</v>
      </c>
      <c r="O169" t="str">
        <f t="shared" si="14"/>
        <v>High School or Below</v>
      </c>
      <c r="P169" t="str">
        <f t="shared" si="15"/>
        <v>Personal</v>
      </c>
      <c r="Q169">
        <f t="shared" si="16"/>
        <v>4</v>
      </c>
      <c r="R169">
        <f t="shared" ca="1" si="17"/>
        <v>30</v>
      </c>
    </row>
    <row r="170" spans="1:18" x14ac:dyDescent="0.35">
      <c r="A170" t="s">
        <v>207</v>
      </c>
      <c r="B170" t="s">
        <v>33</v>
      </c>
      <c r="C170" t="s">
        <v>21</v>
      </c>
      <c r="D170" t="s">
        <v>31</v>
      </c>
      <c r="E170" s="5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 s="4">
        <v>256.81383699999998</v>
      </c>
      <c r="L170" s="2">
        <v>35256.813837000002</v>
      </c>
      <c r="M170" t="str">
        <f t="shared" si="12"/>
        <v>Oregon</v>
      </c>
      <c r="N170" t="str">
        <f t="shared" si="13"/>
        <v>F</v>
      </c>
      <c r="O170" t="str">
        <f t="shared" si="14"/>
        <v>High School or Below</v>
      </c>
      <c r="P170" t="str">
        <f t="shared" si="15"/>
        <v>Personal</v>
      </c>
      <c r="Q170">
        <f t="shared" si="16"/>
        <v>4</v>
      </c>
      <c r="R170">
        <f t="shared" ca="1" si="17"/>
        <v>30</v>
      </c>
    </row>
    <row r="171" spans="1:18" x14ac:dyDescent="0.35">
      <c r="A171" t="s">
        <v>208</v>
      </c>
      <c r="B171" t="s">
        <v>26</v>
      </c>
      <c r="C171" t="s">
        <v>21</v>
      </c>
      <c r="D171" t="s">
        <v>31</v>
      </c>
      <c r="E171" s="5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 s="4">
        <v>355.2</v>
      </c>
      <c r="L171" s="2">
        <v>35355.199999999997</v>
      </c>
      <c r="M171" t="str">
        <f t="shared" si="12"/>
        <v>California</v>
      </c>
      <c r="N171" t="str">
        <f t="shared" si="13"/>
        <v>F</v>
      </c>
      <c r="O171" t="str">
        <f t="shared" si="14"/>
        <v>High School or Below</v>
      </c>
      <c r="P171" t="str">
        <f t="shared" si="15"/>
        <v>Personal</v>
      </c>
      <c r="Q171">
        <f t="shared" si="16"/>
        <v>4</v>
      </c>
      <c r="R171">
        <f t="shared" ca="1" si="17"/>
        <v>29</v>
      </c>
    </row>
    <row r="172" spans="1:18" x14ac:dyDescent="0.3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 s="4">
        <v>542.31940099999997</v>
      </c>
      <c r="L172" s="2">
        <v>35542.319401000001</v>
      </c>
      <c r="M172" t="str">
        <f t="shared" si="12"/>
        <v>California</v>
      </c>
      <c r="N172" t="str">
        <f t="shared" si="13"/>
        <v>M</v>
      </c>
      <c r="O172" t="str">
        <f t="shared" si="14"/>
        <v>College</v>
      </c>
      <c r="P172" t="str">
        <f t="shared" si="15"/>
        <v>Personal</v>
      </c>
      <c r="Q172">
        <f t="shared" si="16"/>
        <v>4</v>
      </c>
      <c r="R172">
        <f t="shared" ca="1" si="17"/>
        <v>29</v>
      </c>
    </row>
    <row r="173" spans="1:18" x14ac:dyDescent="0.35">
      <c r="A173" t="s">
        <v>210</v>
      </c>
      <c r="B173" t="s">
        <v>33</v>
      </c>
      <c r="C173" t="s">
        <v>21</v>
      </c>
      <c r="D173" t="s">
        <v>80</v>
      </c>
      <c r="E173" s="5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 s="4">
        <v>303.14839899999998</v>
      </c>
      <c r="L173" s="2">
        <v>35303.148398999998</v>
      </c>
      <c r="M173" t="str">
        <f t="shared" si="12"/>
        <v>Oregon</v>
      </c>
      <c r="N173" t="str">
        <f t="shared" si="13"/>
        <v>F</v>
      </c>
      <c r="O173" t="str">
        <f t="shared" si="14"/>
        <v>Doctor</v>
      </c>
      <c r="P173" t="str">
        <f t="shared" si="15"/>
        <v>Personal</v>
      </c>
      <c r="Q173">
        <f t="shared" si="16"/>
        <v>4</v>
      </c>
      <c r="R173">
        <f t="shared" ca="1" si="17"/>
        <v>30</v>
      </c>
    </row>
    <row r="174" spans="1:18" x14ac:dyDescent="0.35">
      <c r="A174" t="s">
        <v>211</v>
      </c>
      <c r="B174" t="s">
        <v>23</v>
      </c>
      <c r="C174" t="s">
        <v>21</v>
      </c>
      <c r="D174" t="s">
        <v>35</v>
      </c>
      <c r="E174" s="5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 s="4">
        <v>25.438063</v>
      </c>
      <c r="L174" s="2">
        <v>35025.438063000001</v>
      </c>
      <c r="M174" t="str">
        <f t="shared" si="12"/>
        <v>Nevada</v>
      </c>
      <c r="N174" t="str">
        <f t="shared" si="13"/>
        <v>F</v>
      </c>
      <c r="O174" t="str">
        <f t="shared" si="14"/>
        <v>College</v>
      </c>
      <c r="P174" t="str">
        <f t="shared" si="15"/>
        <v>Personal</v>
      </c>
      <c r="Q174">
        <f t="shared" si="16"/>
        <v>4</v>
      </c>
      <c r="R174">
        <f t="shared" ca="1" si="17"/>
        <v>30</v>
      </c>
    </row>
    <row r="175" spans="1:18" x14ac:dyDescent="0.35">
      <c r="A175" t="s">
        <v>212</v>
      </c>
      <c r="B175" t="s">
        <v>23</v>
      </c>
      <c r="C175" t="s">
        <v>21</v>
      </c>
      <c r="D175" t="s">
        <v>35</v>
      </c>
      <c r="E175" s="5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 s="4">
        <v>292.8</v>
      </c>
      <c r="L175" s="2">
        <v>35292.800000000003</v>
      </c>
      <c r="M175" t="str">
        <f t="shared" si="12"/>
        <v>Nevada</v>
      </c>
      <c r="N175" t="str">
        <f t="shared" si="13"/>
        <v>F</v>
      </c>
      <c r="O175" t="str">
        <f t="shared" si="14"/>
        <v>College</v>
      </c>
      <c r="P175" t="str">
        <f t="shared" si="15"/>
        <v>Personal</v>
      </c>
      <c r="Q175">
        <f t="shared" si="16"/>
        <v>4</v>
      </c>
      <c r="R175">
        <f t="shared" ca="1" si="17"/>
        <v>30</v>
      </c>
    </row>
    <row r="176" spans="1:18" x14ac:dyDescent="0.3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 s="4">
        <v>787.99331299999994</v>
      </c>
      <c r="L176" s="2">
        <v>35787.993312999999</v>
      </c>
      <c r="M176" t="str">
        <f t="shared" si="12"/>
        <v>California</v>
      </c>
      <c r="N176" t="str">
        <f t="shared" si="13"/>
        <v>M</v>
      </c>
      <c r="O176" t="str">
        <f t="shared" si="14"/>
        <v>High School or Below</v>
      </c>
      <c r="P176" t="str">
        <f t="shared" si="15"/>
        <v>Personal</v>
      </c>
      <c r="Q176">
        <f t="shared" si="16"/>
        <v>4</v>
      </c>
      <c r="R176">
        <f t="shared" ca="1" si="17"/>
        <v>28</v>
      </c>
    </row>
    <row r="177" spans="1:18" x14ac:dyDescent="0.35">
      <c r="A177" t="s">
        <v>214</v>
      </c>
      <c r="B177" t="s">
        <v>26</v>
      </c>
      <c r="C177" t="s">
        <v>21</v>
      </c>
      <c r="D177" t="s">
        <v>4</v>
      </c>
      <c r="E177" s="5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 s="4">
        <v>84.024412999999996</v>
      </c>
      <c r="L177" s="2">
        <v>35084.024412999999</v>
      </c>
      <c r="M177" t="str">
        <f t="shared" si="12"/>
        <v>California</v>
      </c>
      <c r="N177" t="str">
        <f t="shared" si="13"/>
        <v>F</v>
      </c>
      <c r="O177" t="str">
        <f t="shared" si="14"/>
        <v>Bachelor</v>
      </c>
      <c r="P177" t="str">
        <f t="shared" si="15"/>
        <v>Personal</v>
      </c>
      <c r="Q177">
        <f t="shared" si="16"/>
        <v>2</v>
      </c>
      <c r="R177">
        <f t="shared" ca="1" si="17"/>
        <v>30</v>
      </c>
    </row>
    <row r="178" spans="1:18" x14ac:dyDescent="0.35">
      <c r="A178" t="s">
        <v>215</v>
      </c>
      <c r="B178" t="s">
        <v>3</v>
      </c>
      <c r="C178" t="s">
        <v>21</v>
      </c>
      <c r="D178" t="s">
        <v>80</v>
      </c>
      <c r="E178" s="5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 s="4">
        <v>61.693770999999998</v>
      </c>
      <c r="L178" s="2">
        <v>35061.693770999998</v>
      </c>
      <c r="M178" t="str">
        <f t="shared" si="12"/>
        <v>Washington</v>
      </c>
      <c r="N178" t="str">
        <f t="shared" si="13"/>
        <v>F</v>
      </c>
      <c r="O178" t="str">
        <f t="shared" si="14"/>
        <v>Doctor</v>
      </c>
      <c r="P178" t="str">
        <f t="shared" si="15"/>
        <v>Personal</v>
      </c>
      <c r="Q178">
        <f t="shared" si="16"/>
        <v>4</v>
      </c>
      <c r="R178">
        <f t="shared" ca="1" si="17"/>
        <v>30</v>
      </c>
    </row>
    <row r="179" spans="1:18" x14ac:dyDescent="0.35">
      <c r="A179" t="s">
        <v>216</v>
      </c>
      <c r="B179" t="s">
        <v>5</v>
      </c>
      <c r="C179" t="s">
        <v>21</v>
      </c>
      <c r="D179" t="s">
        <v>4</v>
      </c>
      <c r="E179" s="5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 s="4">
        <v>232.92614499999999</v>
      </c>
      <c r="L179" s="2">
        <v>35232.926144999998</v>
      </c>
      <c r="M179" t="str">
        <f t="shared" si="12"/>
        <v>Arizona</v>
      </c>
      <c r="N179" t="str">
        <f t="shared" si="13"/>
        <v>F</v>
      </c>
      <c r="O179" t="str">
        <f t="shared" si="14"/>
        <v>Bachelor</v>
      </c>
      <c r="P179" t="str">
        <f t="shared" si="15"/>
        <v>Personal</v>
      </c>
      <c r="Q179">
        <f t="shared" si="16"/>
        <v>2</v>
      </c>
      <c r="R179">
        <f t="shared" ca="1" si="17"/>
        <v>30</v>
      </c>
    </row>
    <row r="180" spans="1:18" x14ac:dyDescent="0.35">
      <c r="A180" t="s">
        <v>217</v>
      </c>
      <c r="B180" t="s">
        <v>3</v>
      </c>
      <c r="C180" t="s">
        <v>21</v>
      </c>
      <c r="D180" t="s">
        <v>4</v>
      </c>
      <c r="E180" s="5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 s="4">
        <v>68.179721000000001</v>
      </c>
      <c r="L180" s="2">
        <v>35068.179721</v>
      </c>
      <c r="M180" t="str">
        <f t="shared" si="12"/>
        <v>Washington</v>
      </c>
      <c r="N180" t="str">
        <f t="shared" si="13"/>
        <v>F</v>
      </c>
      <c r="O180" t="str">
        <f t="shared" si="14"/>
        <v>Bachelor</v>
      </c>
      <c r="P180" t="str">
        <f t="shared" si="15"/>
        <v>Personal</v>
      </c>
      <c r="Q180">
        <f t="shared" si="16"/>
        <v>4</v>
      </c>
      <c r="R180">
        <f t="shared" ca="1" si="17"/>
        <v>30</v>
      </c>
    </row>
    <row r="181" spans="1:18" x14ac:dyDescent="0.35">
      <c r="A181" t="s">
        <v>218</v>
      </c>
      <c r="B181" t="s">
        <v>26</v>
      </c>
      <c r="C181" t="s">
        <v>21</v>
      </c>
      <c r="D181" t="s">
        <v>4</v>
      </c>
      <c r="E181" s="5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 s="4">
        <v>710.43377499999997</v>
      </c>
      <c r="L181" s="2">
        <v>35710.433774999998</v>
      </c>
      <c r="M181" t="str">
        <f t="shared" si="12"/>
        <v>California</v>
      </c>
      <c r="N181" t="str">
        <f t="shared" si="13"/>
        <v>F</v>
      </c>
      <c r="O181" t="str">
        <f t="shared" si="14"/>
        <v>Bachelor</v>
      </c>
      <c r="P181" t="str">
        <f t="shared" si="15"/>
        <v>Personal</v>
      </c>
      <c r="Q181">
        <f t="shared" si="16"/>
        <v>2</v>
      </c>
      <c r="R181">
        <f t="shared" ca="1" si="17"/>
        <v>28</v>
      </c>
    </row>
    <row r="182" spans="1:18" x14ac:dyDescent="0.35">
      <c r="A182" t="s">
        <v>219</v>
      </c>
      <c r="B182" t="s">
        <v>26</v>
      </c>
      <c r="C182" t="s">
        <v>21</v>
      </c>
      <c r="D182" t="s">
        <v>4</v>
      </c>
      <c r="E182" s="5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 s="4">
        <v>552</v>
      </c>
      <c r="L182" s="2">
        <v>35552</v>
      </c>
      <c r="M182" t="str">
        <f t="shared" si="12"/>
        <v>California</v>
      </c>
      <c r="N182" t="str">
        <f t="shared" si="13"/>
        <v>F</v>
      </c>
      <c r="O182" t="str">
        <f t="shared" si="14"/>
        <v>Bachelor</v>
      </c>
      <c r="P182" t="str">
        <f t="shared" si="15"/>
        <v>Personal</v>
      </c>
      <c r="Q182">
        <f t="shared" si="16"/>
        <v>4</v>
      </c>
      <c r="R182">
        <f t="shared" ca="1" si="17"/>
        <v>29</v>
      </c>
    </row>
    <row r="183" spans="1:18" x14ac:dyDescent="0.35">
      <c r="A183" t="s">
        <v>220</v>
      </c>
      <c r="B183" t="s">
        <v>23</v>
      </c>
      <c r="C183" t="s">
        <v>21</v>
      </c>
      <c r="D183" t="s">
        <v>4</v>
      </c>
      <c r="E183" s="5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 s="4">
        <v>1122.658899</v>
      </c>
      <c r="L183" s="2">
        <v>36122.658899000002</v>
      </c>
      <c r="M183" t="str">
        <f t="shared" si="12"/>
        <v>Nevada</v>
      </c>
      <c r="N183" t="str">
        <f t="shared" si="13"/>
        <v>F</v>
      </c>
      <c r="O183" t="str">
        <f t="shared" si="14"/>
        <v>Bachelor</v>
      </c>
      <c r="P183" t="str">
        <f t="shared" si="15"/>
        <v>Personal</v>
      </c>
      <c r="Q183">
        <f t="shared" si="16"/>
        <v>2</v>
      </c>
      <c r="R183">
        <f t="shared" ca="1" si="17"/>
        <v>27</v>
      </c>
    </row>
    <row r="184" spans="1:18" x14ac:dyDescent="0.3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 s="4">
        <v>408.37474600000002</v>
      </c>
      <c r="L184" s="2">
        <v>35408.374746000001</v>
      </c>
      <c r="M184" t="str">
        <f t="shared" si="12"/>
        <v>Oregon</v>
      </c>
      <c r="N184" t="str">
        <f t="shared" si="13"/>
        <v>M</v>
      </c>
      <c r="O184" t="str">
        <f t="shared" si="14"/>
        <v>High School or Below</v>
      </c>
      <c r="P184" t="str">
        <f t="shared" si="15"/>
        <v>Personal</v>
      </c>
      <c r="Q184">
        <f t="shared" si="16"/>
        <v>4</v>
      </c>
      <c r="R184">
        <f t="shared" ca="1" si="17"/>
        <v>29</v>
      </c>
    </row>
    <row r="185" spans="1:18" x14ac:dyDescent="0.35">
      <c r="A185" t="s">
        <v>222</v>
      </c>
      <c r="B185" t="s">
        <v>23</v>
      </c>
      <c r="C185" t="s">
        <v>27</v>
      </c>
      <c r="D185" t="s">
        <v>4</v>
      </c>
      <c r="E185" s="5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 s="4">
        <v>408</v>
      </c>
      <c r="L185" s="2">
        <v>35408</v>
      </c>
      <c r="M185" t="str">
        <f t="shared" si="12"/>
        <v>Nevada</v>
      </c>
      <c r="N185" t="str">
        <f t="shared" si="13"/>
        <v>M</v>
      </c>
      <c r="O185" t="str">
        <f t="shared" si="14"/>
        <v>Bachelor</v>
      </c>
      <c r="P185" t="str">
        <f t="shared" si="15"/>
        <v>Personal</v>
      </c>
      <c r="Q185">
        <f t="shared" si="16"/>
        <v>4</v>
      </c>
      <c r="R185">
        <f t="shared" ca="1" si="17"/>
        <v>29</v>
      </c>
    </row>
    <row r="186" spans="1:18" x14ac:dyDescent="0.35">
      <c r="A186" t="s">
        <v>223</v>
      </c>
      <c r="B186" t="s">
        <v>26</v>
      </c>
      <c r="C186" t="s">
        <v>27</v>
      </c>
      <c r="D186" t="s">
        <v>4</v>
      </c>
      <c r="E186" s="5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 s="4">
        <v>792</v>
      </c>
      <c r="L186" s="2">
        <v>35792</v>
      </c>
      <c r="M186" t="str">
        <f t="shared" si="12"/>
        <v>California</v>
      </c>
      <c r="N186" t="str">
        <f t="shared" si="13"/>
        <v>M</v>
      </c>
      <c r="O186" t="str">
        <f t="shared" si="14"/>
        <v>Bachelor</v>
      </c>
      <c r="P186" t="str">
        <f t="shared" si="15"/>
        <v>Personal</v>
      </c>
      <c r="Q186">
        <f t="shared" si="16"/>
        <v>4</v>
      </c>
      <c r="R186">
        <f t="shared" ca="1" si="17"/>
        <v>28</v>
      </c>
    </row>
    <row r="187" spans="1:18" x14ac:dyDescent="0.35">
      <c r="A187" t="s">
        <v>224</v>
      </c>
      <c r="B187" t="s">
        <v>26</v>
      </c>
      <c r="C187" t="s">
        <v>21</v>
      </c>
      <c r="D187" t="s">
        <v>31</v>
      </c>
      <c r="E187" s="5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 s="4">
        <v>532.79999999999995</v>
      </c>
      <c r="L187" s="2">
        <v>35532.800000000003</v>
      </c>
      <c r="M187" t="str">
        <f t="shared" si="12"/>
        <v>California</v>
      </c>
      <c r="N187" t="str">
        <f t="shared" si="13"/>
        <v>F</v>
      </c>
      <c r="O187" t="str">
        <f t="shared" si="14"/>
        <v>High School or Below</v>
      </c>
      <c r="P187" t="str">
        <f t="shared" si="15"/>
        <v>Personal</v>
      </c>
      <c r="Q187">
        <f t="shared" si="16"/>
        <v>4</v>
      </c>
      <c r="R187">
        <f t="shared" ca="1" si="17"/>
        <v>29</v>
      </c>
    </row>
    <row r="188" spans="1:18" x14ac:dyDescent="0.35">
      <c r="A188" t="s">
        <v>225</v>
      </c>
      <c r="B188" t="s">
        <v>26</v>
      </c>
      <c r="C188" t="s">
        <v>21</v>
      </c>
      <c r="D188" t="s">
        <v>35</v>
      </c>
      <c r="E188" s="5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 s="4">
        <v>754.35892899999999</v>
      </c>
      <c r="L188" s="2">
        <v>35754.358929000002</v>
      </c>
      <c r="M188" t="str">
        <f t="shared" si="12"/>
        <v>California</v>
      </c>
      <c r="N188" t="str">
        <f t="shared" si="13"/>
        <v>F</v>
      </c>
      <c r="O188" t="str">
        <f t="shared" si="14"/>
        <v>College</v>
      </c>
      <c r="P188" t="str">
        <f t="shared" si="15"/>
        <v>Corporate</v>
      </c>
      <c r="Q188">
        <f t="shared" si="16"/>
        <v>4</v>
      </c>
      <c r="R188">
        <f t="shared" ca="1" si="17"/>
        <v>28</v>
      </c>
    </row>
    <row r="189" spans="1:18" x14ac:dyDescent="0.35">
      <c r="A189" t="s">
        <v>226</v>
      </c>
      <c r="B189" t="s">
        <v>5</v>
      </c>
      <c r="C189" t="s">
        <v>21</v>
      </c>
      <c r="D189" t="s">
        <v>4</v>
      </c>
      <c r="E189" s="5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 s="4">
        <v>702.99003200000004</v>
      </c>
      <c r="L189" s="2">
        <v>35702.990032000002</v>
      </c>
      <c r="M189" t="str">
        <f t="shared" si="12"/>
        <v>Arizona</v>
      </c>
      <c r="N189" t="str">
        <f t="shared" si="13"/>
        <v>F</v>
      </c>
      <c r="O189" t="str">
        <f t="shared" si="14"/>
        <v>Bachelor</v>
      </c>
      <c r="P189" t="str">
        <f t="shared" si="15"/>
        <v>Personal</v>
      </c>
      <c r="Q189">
        <f t="shared" si="16"/>
        <v>4</v>
      </c>
      <c r="R189">
        <f t="shared" ca="1" si="17"/>
        <v>28</v>
      </c>
    </row>
    <row r="190" spans="1:18" x14ac:dyDescent="0.35">
      <c r="A190" t="s">
        <v>227</v>
      </c>
      <c r="B190" t="s">
        <v>26</v>
      </c>
      <c r="C190" t="s">
        <v>21</v>
      </c>
      <c r="D190" t="s">
        <v>4</v>
      </c>
      <c r="E190" s="5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 s="4">
        <v>206.83711099999999</v>
      </c>
      <c r="L190" s="2">
        <v>35206.837111000001</v>
      </c>
      <c r="M190" t="str">
        <f t="shared" si="12"/>
        <v>California</v>
      </c>
      <c r="N190" t="str">
        <f t="shared" si="13"/>
        <v>F</v>
      </c>
      <c r="O190" t="str">
        <f t="shared" si="14"/>
        <v>Bachelor</v>
      </c>
      <c r="P190" t="str">
        <f t="shared" si="15"/>
        <v>Personal</v>
      </c>
      <c r="Q190">
        <f t="shared" si="16"/>
        <v>4</v>
      </c>
      <c r="R190">
        <f t="shared" ca="1" si="17"/>
        <v>30</v>
      </c>
    </row>
    <row r="191" spans="1:18" x14ac:dyDescent="0.3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 s="4">
        <v>275.395894</v>
      </c>
      <c r="L191" s="2">
        <v>35275.395894000001</v>
      </c>
      <c r="M191" t="str">
        <f t="shared" si="12"/>
        <v>Oregon</v>
      </c>
      <c r="N191" t="str">
        <f t="shared" si="13"/>
        <v>M</v>
      </c>
      <c r="O191" t="str">
        <f t="shared" si="14"/>
        <v>College</v>
      </c>
      <c r="P191" t="str">
        <f t="shared" si="15"/>
        <v>Personal</v>
      </c>
      <c r="Q191">
        <f t="shared" si="16"/>
        <v>4</v>
      </c>
      <c r="R191">
        <f t="shared" ca="1" si="17"/>
        <v>30</v>
      </c>
    </row>
    <row r="192" spans="1:18" x14ac:dyDescent="0.35">
      <c r="A192" t="s">
        <v>229</v>
      </c>
      <c r="B192" t="s">
        <v>26</v>
      </c>
      <c r="C192" t="s">
        <v>27</v>
      </c>
      <c r="D192" t="s">
        <v>2</v>
      </c>
      <c r="E192" s="5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 s="4">
        <v>459.73812800000002</v>
      </c>
      <c r="L192" s="2">
        <v>35459.738127999997</v>
      </c>
      <c r="M192" t="str">
        <f t="shared" si="12"/>
        <v>California</v>
      </c>
      <c r="N192" t="str">
        <f t="shared" si="13"/>
        <v>M</v>
      </c>
      <c r="O192" t="str">
        <f t="shared" si="14"/>
        <v>Master</v>
      </c>
      <c r="P192" t="str">
        <f t="shared" si="15"/>
        <v>Special</v>
      </c>
      <c r="Q192">
        <f t="shared" si="16"/>
        <v>4</v>
      </c>
      <c r="R192">
        <f t="shared" ca="1" si="17"/>
        <v>29</v>
      </c>
    </row>
    <row r="193" spans="1:18" x14ac:dyDescent="0.35">
      <c r="A193" t="s">
        <v>230</v>
      </c>
      <c r="B193" t="s">
        <v>26</v>
      </c>
      <c r="C193" t="s">
        <v>21</v>
      </c>
      <c r="D193" t="s">
        <v>31</v>
      </c>
      <c r="E193" s="5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 s="4">
        <v>496.8</v>
      </c>
      <c r="L193" s="2">
        <v>35496.800000000003</v>
      </c>
      <c r="M193" t="str">
        <f t="shared" si="12"/>
        <v>California</v>
      </c>
      <c r="N193" t="str">
        <f t="shared" si="13"/>
        <v>F</v>
      </c>
      <c r="O193" t="str">
        <f t="shared" si="14"/>
        <v>High School or Below</v>
      </c>
      <c r="P193" t="str">
        <f t="shared" si="15"/>
        <v>Special</v>
      </c>
      <c r="Q193">
        <f t="shared" si="16"/>
        <v>2</v>
      </c>
      <c r="R193">
        <f t="shared" ca="1" si="17"/>
        <v>29</v>
      </c>
    </row>
    <row r="194" spans="1:18" x14ac:dyDescent="0.35">
      <c r="A194" t="s">
        <v>231</v>
      </c>
      <c r="B194" t="s">
        <v>26</v>
      </c>
      <c r="C194" t="s">
        <v>27</v>
      </c>
      <c r="D194" t="s">
        <v>4</v>
      </c>
      <c r="E194" s="5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 s="4">
        <v>336</v>
      </c>
      <c r="L194" s="2">
        <v>35336</v>
      </c>
      <c r="M194" t="str">
        <f t="shared" si="12"/>
        <v>California</v>
      </c>
      <c r="N194" t="str">
        <f t="shared" si="13"/>
        <v>M</v>
      </c>
      <c r="O194" t="str">
        <f t="shared" si="14"/>
        <v>Bachelor</v>
      </c>
      <c r="P194" t="str">
        <f t="shared" si="15"/>
        <v>Personal</v>
      </c>
      <c r="Q194">
        <f t="shared" si="16"/>
        <v>2</v>
      </c>
      <c r="R194">
        <f t="shared" ca="1" si="17"/>
        <v>29</v>
      </c>
    </row>
    <row r="195" spans="1:18" x14ac:dyDescent="0.35">
      <c r="A195" t="s">
        <v>232</v>
      </c>
      <c r="B195" t="s">
        <v>33</v>
      </c>
      <c r="C195" t="s">
        <v>21</v>
      </c>
      <c r="D195" t="s">
        <v>4</v>
      </c>
      <c r="E195" s="5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 s="4">
        <v>321.60000000000002</v>
      </c>
      <c r="L195" s="2">
        <v>35321.599999999999</v>
      </c>
      <c r="M195" t="str">
        <f t="shared" ref="M195:M258" si="18">IF(OR(B195="California",B195="Cali"),"California",IF(OR(B195="Arizona",B195="AZ"),"Arizona",IF(OR(B195="Washington",B195="WA"),"Washington",B195)))</f>
        <v>Oregon</v>
      </c>
      <c r="N195" t="str">
        <f t="shared" ref="N195:N258" si="19">IF(OR(C195="F",C195="Femal",C195="female"),"F",IF(OR(C195="M",C195="Male"),"M","NA"))</f>
        <v>F</v>
      </c>
      <c r="O195" t="str">
        <f t="shared" ref="O195:O258" si="20">IF(OR(D195="Bachelor",D195="Bachelors"),"Bachelor",D195)</f>
        <v>Bachelor</v>
      </c>
      <c r="P195" t="str">
        <f t="shared" ref="P195:P258" si="21">LEFT(I195,FIND(" ",I195)-1)</f>
        <v>Personal</v>
      </c>
      <c r="Q195">
        <f t="shared" ref="Q195:Q258" si="22">IF(OR(J195="Luxury Car",J195="Two-Door Car",J195="Sports Car"),2,IF(OR(J195="Luxury SUV",J195="SUV",J195="Four-Door Car"),4,"NA"))</f>
        <v>2</v>
      </c>
      <c r="R195">
        <f t="shared" ref="R195:R258" ca="1" si="23">DATEDIF(L195,TODAY(),"Y")</f>
        <v>29</v>
      </c>
    </row>
    <row r="196" spans="1:18" x14ac:dyDescent="0.35">
      <c r="A196" t="s">
        <v>233</v>
      </c>
      <c r="B196" t="s">
        <v>5</v>
      </c>
      <c r="C196" t="s">
        <v>21</v>
      </c>
      <c r="D196" t="s">
        <v>31</v>
      </c>
      <c r="E196" s="5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 s="4">
        <v>302.39999999999998</v>
      </c>
      <c r="L196" s="2">
        <v>35302.400000000001</v>
      </c>
      <c r="M196" t="str">
        <f t="shared" si="18"/>
        <v>Arizona</v>
      </c>
      <c r="N196" t="str">
        <f t="shared" si="19"/>
        <v>F</v>
      </c>
      <c r="O196" t="str">
        <f t="shared" si="20"/>
        <v>High School or Below</v>
      </c>
      <c r="P196" t="str">
        <f t="shared" si="21"/>
        <v>Personal</v>
      </c>
      <c r="Q196">
        <f t="shared" si="22"/>
        <v>4</v>
      </c>
      <c r="R196">
        <f t="shared" ca="1" si="23"/>
        <v>30</v>
      </c>
    </row>
    <row r="197" spans="1:18" x14ac:dyDescent="0.35">
      <c r="A197" t="s">
        <v>234</v>
      </c>
      <c r="B197" t="s">
        <v>102</v>
      </c>
      <c r="C197" t="s">
        <v>21</v>
      </c>
      <c r="D197" t="s">
        <v>4</v>
      </c>
      <c r="E197" s="5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 s="4">
        <v>430.99410699999999</v>
      </c>
      <c r="L197" s="2">
        <v>35430.994106999999</v>
      </c>
      <c r="M197" t="str">
        <f t="shared" si="18"/>
        <v>Washington</v>
      </c>
      <c r="N197" t="str">
        <f t="shared" si="19"/>
        <v>F</v>
      </c>
      <c r="O197" t="str">
        <f t="shared" si="20"/>
        <v>Bachelor</v>
      </c>
      <c r="P197" t="str">
        <f t="shared" si="21"/>
        <v>Personal</v>
      </c>
      <c r="Q197">
        <f t="shared" si="22"/>
        <v>4</v>
      </c>
      <c r="R197">
        <f t="shared" ca="1" si="23"/>
        <v>29</v>
      </c>
    </row>
    <row r="198" spans="1:18" x14ac:dyDescent="0.3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 s="4">
        <v>1836</v>
      </c>
      <c r="L198" s="2">
        <v>36836</v>
      </c>
      <c r="M198" t="str">
        <f t="shared" si="18"/>
        <v>Oregon</v>
      </c>
      <c r="N198" t="str">
        <f t="shared" si="19"/>
        <v>M</v>
      </c>
      <c r="O198" t="str">
        <f t="shared" si="20"/>
        <v>High School or Below</v>
      </c>
      <c r="P198" t="str">
        <f t="shared" si="21"/>
        <v>Corporate</v>
      </c>
      <c r="Q198">
        <f t="shared" si="22"/>
        <v>4</v>
      </c>
      <c r="R198">
        <f t="shared" ca="1" si="23"/>
        <v>25</v>
      </c>
    </row>
    <row r="199" spans="1:18" x14ac:dyDescent="0.35">
      <c r="A199" t="s">
        <v>236</v>
      </c>
      <c r="B199" t="s">
        <v>33</v>
      </c>
      <c r="C199" t="s">
        <v>27</v>
      </c>
      <c r="D199" t="s">
        <v>4</v>
      </c>
      <c r="E199" s="5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 s="4">
        <v>67.632475999999997</v>
      </c>
      <c r="L199" s="2">
        <v>35067.632475999999</v>
      </c>
      <c r="M199" t="str">
        <f t="shared" si="18"/>
        <v>Oregon</v>
      </c>
      <c r="N199" t="str">
        <f t="shared" si="19"/>
        <v>M</v>
      </c>
      <c r="O199" t="str">
        <f t="shared" si="20"/>
        <v>Bachelor</v>
      </c>
      <c r="P199" t="str">
        <f t="shared" si="21"/>
        <v>Special</v>
      </c>
      <c r="Q199">
        <f t="shared" si="22"/>
        <v>4</v>
      </c>
      <c r="R199">
        <f t="shared" ca="1" si="23"/>
        <v>30</v>
      </c>
    </row>
    <row r="200" spans="1:18" x14ac:dyDescent="0.35">
      <c r="A200" t="s">
        <v>237</v>
      </c>
      <c r="B200" t="s">
        <v>102</v>
      </c>
      <c r="C200" t="s">
        <v>21</v>
      </c>
      <c r="D200" t="s">
        <v>31</v>
      </c>
      <c r="E200" s="5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 s="4">
        <v>844.48191799999995</v>
      </c>
      <c r="L200" s="2">
        <v>35844.481917999998</v>
      </c>
      <c r="M200" t="str">
        <f t="shared" si="18"/>
        <v>Washington</v>
      </c>
      <c r="N200" t="str">
        <f t="shared" si="19"/>
        <v>F</v>
      </c>
      <c r="O200" t="str">
        <f t="shared" si="20"/>
        <v>High School or Below</v>
      </c>
      <c r="P200" t="str">
        <f t="shared" si="21"/>
        <v>Personal</v>
      </c>
      <c r="Q200">
        <f t="shared" si="22"/>
        <v>2</v>
      </c>
      <c r="R200">
        <f t="shared" ca="1" si="23"/>
        <v>28</v>
      </c>
    </row>
    <row r="201" spans="1:18" x14ac:dyDescent="0.3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 s="4">
        <v>364.8</v>
      </c>
      <c r="L201" s="2">
        <v>35364.800000000003</v>
      </c>
      <c r="M201" t="str">
        <f t="shared" si="18"/>
        <v>California</v>
      </c>
      <c r="N201" t="str">
        <f t="shared" si="19"/>
        <v>M</v>
      </c>
      <c r="O201" t="str">
        <f t="shared" si="20"/>
        <v>College</v>
      </c>
      <c r="P201" t="str">
        <f t="shared" si="21"/>
        <v>Personal</v>
      </c>
      <c r="Q201">
        <f t="shared" si="22"/>
        <v>4</v>
      </c>
      <c r="R201">
        <f t="shared" ca="1" si="23"/>
        <v>29</v>
      </c>
    </row>
    <row r="202" spans="1:18" x14ac:dyDescent="0.35">
      <c r="A202" t="s">
        <v>239</v>
      </c>
      <c r="B202" t="s">
        <v>26</v>
      </c>
      <c r="C202" t="s">
        <v>21</v>
      </c>
      <c r="D202" t="s">
        <v>2</v>
      </c>
      <c r="E202" s="5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 s="4">
        <v>722.48699399999998</v>
      </c>
      <c r="L202" s="2">
        <v>35722.486993999999</v>
      </c>
      <c r="M202" t="str">
        <f t="shared" si="18"/>
        <v>California</v>
      </c>
      <c r="N202" t="str">
        <f t="shared" si="19"/>
        <v>F</v>
      </c>
      <c r="O202" t="str">
        <f t="shared" si="20"/>
        <v>Master</v>
      </c>
      <c r="P202" t="str">
        <f t="shared" si="21"/>
        <v>Personal</v>
      </c>
      <c r="Q202">
        <f t="shared" si="22"/>
        <v>4</v>
      </c>
      <c r="R202">
        <f t="shared" ca="1" si="23"/>
        <v>28</v>
      </c>
    </row>
    <row r="203" spans="1:18" x14ac:dyDescent="0.35">
      <c r="A203" t="s">
        <v>240</v>
      </c>
      <c r="B203" t="s">
        <v>23</v>
      </c>
      <c r="C203" t="s">
        <v>21</v>
      </c>
      <c r="D203" t="s">
        <v>4</v>
      </c>
      <c r="E203" s="5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 s="4">
        <v>590.4</v>
      </c>
      <c r="L203" s="2">
        <v>35590.400000000001</v>
      </c>
      <c r="M203" t="str">
        <f t="shared" si="18"/>
        <v>Nevada</v>
      </c>
      <c r="N203" t="str">
        <f t="shared" si="19"/>
        <v>F</v>
      </c>
      <c r="O203" t="str">
        <f t="shared" si="20"/>
        <v>Bachelor</v>
      </c>
      <c r="P203" t="str">
        <f t="shared" si="21"/>
        <v>Personal</v>
      </c>
      <c r="Q203">
        <f t="shared" si="22"/>
        <v>4</v>
      </c>
      <c r="R203">
        <f t="shared" ca="1" si="23"/>
        <v>29</v>
      </c>
    </row>
    <row r="204" spans="1:18" x14ac:dyDescent="0.35">
      <c r="A204" t="s">
        <v>241</v>
      </c>
      <c r="B204" t="s">
        <v>5</v>
      </c>
      <c r="C204" t="s">
        <v>21</v>
      </c>
      <c r="D204" t="s">
        <v>31</v>
      </c>
      <c r="E204" s="5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 s="4">
        <v>481.02751599999999</v>
      </c>
      <c r="L204" s="2">
        <v>35481.027516000002</v>
      </c>
      <c r="M204" t="str">
        <f t="shared" si="18"/>
        <v>Arizona</v>
      </c>
      <c r="N204" t="str">
        <f t="shared" si="19"/>
        <v>F</v>
      </c>
      <c r="O204" t="str">
        <f t="shared" si="20"/>
        <v>High School or Below</v>
      </c>
      <c r="P204" t="str">
        <f t="shared" si="21"/>
        <v>Corporate</v>
      </c>
      <c r="Q204">
        <f t="shared" si="22"/>
        <v>4</v>
      </c>
      <c r="R204">
        <f t="shared" ca="1" si="23"/>
        <v>29</v>
      </c>
    </row>
    <row r="205" spans="1:18" x14ac:dyDescent="0.3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 s="4">
        <v>1124.4277340000001</v>
      </c>
      <c r="L205" s="2">
        <v>36124.427733999997</v>
      </c>
      <c r="M205" t="str">
        <f t="shared" si="18"/>
        <v>California</v>
      </c>
      <c r="N205" t="str">
        <f t="shared" si="19"/>
        <v>M</v>
      </c>
      <c r="O205" t="str">
        <f t="shared" si="20"/>
        <v>College</v>
      </c>
      <c r="P205" t="str">
        <f t="shared" si="21"/>
        <v>Personal</v>
      </c>
      <c r="Q205">
        <f t="shared" si="22"/>
        <v>4</v>
      </c>
      <c r="R205">
        <f t="shared" ca="1" si="23"/>
        <v>27</v>
      </c>
    </row>
    <row r="206" spans="1:18" x14ac:dyDescent="0.3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 s="4">
        <v>669.68200100000001</v>
      </c>
      <c r="L206" s="2">
        <v>35669.682001000001</v>
      </c>
      <c r="M206" t="str">
        <f t="shared" si="18"/>
        <v>California</v>
      </c>
      <c r="N206" t="str">
        <f t="shared" si="19"/>
        <v>M</v>
      </c>
      <c r="O206" t="str">
        <f t="shared" si="20"/>
        <v>High School or Below</v>
      </c>
      <c r="P206" t="str">
        <f t="shared" si="21"/>
        <v>Personal</v>
      </c>
      <c r="Q206">
        <f t="shared" si="22"/>
        <v>4</v>
      </c>
      <c r="R206">
        <f t="shared" ca="1" si="23"/>
        <v>29</v>
      </c>
    </row>
    <row r="207" spans="1:18" x14ac:dyDescent="0.3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 s="4">
        <v>1284.093173</v>
      </c>
      <c r="L207" s="2">
        <v>36284.093173000001</v>
      </c>
      <c r="M207" t="str">
        <f t="shared" si="18"/>
        <v>California</v>
      </c>
      <c r="N207" t="str">
        <f t="shared" si="19"/>
        <v>M</v>
      </c>
      <c r="O207" t="str">
        <f t="shared" si="20"/>
        <v>College</v>
      </c>
      <c r="P207" t="str">
        <f t="shared" si="21"/>
        <v>Personal</v>
      </c>
      <c r="Q207">
        <f t="shared" si="22"/>
        <v>4</v>
      </c>
      <c r="R207">
        <f t="shared" ca="1" si="23"/>
        <v>27</v>
      </c>
    </row>
    <row r="208" spans="1:18" x14ac:dyDescent="0.35">
      <c r="A208" t="s">
        <v>245</v>
      </c>
      <c r="B208" t="s">
        <v>26</v>
      </c>
      <c r="C208" t="s">
        <v>21</v>
      </c>
      <c r="D208" t="s">
        <v>35</v>
      </c>
      <c r="E208" s="5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 s="4">
        <v>240.259479</v>
      </c>
      <c r="L208" s="2">
        <v>35240.259479</v>
      </c>
      <c r="M208" t="str">
        <f t="shared" si="18"/>
        <v>California</v>
      </c>
      <c r="N208" t="str">
        <f t="shared" si="19"/>
        <v>F</v>
      </c>
      <c r="O208" t="str">
        <f t="shared" si="20"/>
        <v>College</v>
      </c>
      <c r="P208" t="str">
        <f t="shared" si="21"/>
        <v>Personal</v>
      </c>
      <c r="Q208">
        <f t="shared" si="22"/>
        <v>4</v>
      </c>
      <c r="R208">
        <f t="shared" ca="1" si="23"/>
        <v>30</v>
      </c>
    </row>
    <row r="209" spans="1:18" x14ac:dyDescent="0.3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 s="4">
        <v>912</v>
      </c>
      <c r="L209" s="2">
        <v>35912</v>
      </c>
      <c r="M209" t="str">
        <f t="shared" si="18"/>
        <v>California</v>
      </c>
      <c r="N209" t="str">
        <f t="shared" si="19"/>
        <v>M</v>
      </c>
      <c r="O209" t="str">
        <f t="shared" si="20"/>
        <v>College</v>
      </c>
      <c r="P209" t="str">
        <f t="shared" si="21"/>
        <v>Corporate</v>
      </c>
      <c r="Q209">
        <f t="shared" si="22"/>
        <v>4</v>
      </c>
      <c r="R209">
        <f t="shared" ca="1" si="23"/>
        <v>28</v>
      </c>
    </row>
    <row r="210" spans="1:18" x14ac:dyDescent="0.35">
      <c r="A210" t="s">
        <v>247</v>
      </c>
      <c r="B210" t="s">
        <v>33</v>
      </c>
      <c r="C210" t="s">
        <v>21</v>
      </c>
      <c r="D210" t="s">
        <v>31</v>
      </c>
      <c r="E210" s="5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 s="4">
        <v>556.79999999999995</v>
      </c>
      <c r="L210" s="2">
        <v>35556.800000000003</v>
      </c>
      <c r="M210" t="str">
        <f t="shared" si="18"/>
        <v>Oregon</v>
      </c>
      <c r="N210" t="str">
        <f t="shared" si="19"/>
        <v>F</v>
      </c>
      <c r="O210" t="str">
        <f t="shared" si="20"/>
        <v>High School or Below</v>
      </c>
      <c r="P210" t="str">
        <f t="shared" si="21"/>
        <v>Corporate</v>
      </c>
      <c r="Q210">
        <f t="shared" si="22"/>
        <v>4</v>
      </c>
      <c r="R210">
        <f t="shared" ca="1" si="23"/>
        <v>29</v>
      </c>
    </row>
    <row r="211" spans="1:18" x14ac:dyDescent="0.35">
      <c r="A211" t="s">
        <v>248</v>
      </c>
      <c r="B211" t="s">
        <v>102</v>
      </c>
      <c r="C211" t="s">
        <v>21</v>
      </c>
      <c r="D211" t="s">
        <v>4</v>
      </c>
      <c r="E211" s="5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 s="4">
        <v>115.086827</v>
      </c>
      <c r="L211" s="2">
        <v>35115.086826999999</v>
      </c>
      <c r="M211" t="str">
        <f t="shared" si="18"/>
        <v>Washington</v>
      </c>
      <c r="N211" t="str">
        <f t="shared" si="19"/>
        <v>F</v>
      </c>
      <c r="O211" t="str">
        <f t="shared" si="20"/>
        <v>Bachelor</v>
      </c>
      <c r="P211" t="str">
        <f t="shared" si="21"/>
        <v>Personal</v>
      </c>
      <c r="Q211">
        <f t="shared" si="22"/>
        <v>4</v>
      </c>
      <c r="R211">
        <f t="shared" ca="1" si="23"/>
        <v>30</v>
      </c>
    </row>
    <row r="212" spans="1:18" x14ac:dyDescent="0.35">
      <c r="A212" t="s">
        <v>249</v>
      </c>
      <c r="B212" t="s">
        <v>48</v>
      </c>
      <c r="C212" t="s">
        <v>27</v>
      </c>
      <c r="D212" t="s">
        <v>31</v>
      </c>
      <c r="E212" s="5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 s="4">
        <v>470.4</v>
      </c>
      <c r="L212" s="2">
        <v>35470.400000000001</v>
      </c>
      <c r="M212" t="str">
        <f t="shared" si="18"/>
        <v>California</v>
      </c>
      <c r="N212" t="str">
        <f t="shared" si="19"/>
        <v>M</v>
      </c>
      <c r="O212" t="str">
        <f t="shared" si="20"/>
        <v>High School or Below</v>
      </c>
      <c r="P212" t="str">
        <f t="shared" si="21"/>
        <v>Personal</v>
      </c>
      <c r="Q212">
        <f t="shared" si="22"/>
        <v>2</v>
      </c>
      <c r="R212">
        <f t="shared" ca="1" si="23"/>
        <v>29</v>
      </c>
    </row>
    <row r="213" spans="1:18" x14ac:dyDescent="0.35">
      <c r="A213" t="s">
        <v>250</v>
      </c>
      <c r="B213" t="s">
        <v>48</v>
      </c>
      <c r="C213" t="s">
        <v>27</v>
      </c>
      <c r="D213" t="s">
        <v>35</v>
      </c>
      <c r="E213" s="5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 s="4">
        <v>321.60000000000002</v>
      </c>
      <c r="L213" s="2">
        <v>35321.599999999999</v>
      </c>
      <c r="M213" t="str">
        <f t="shared" si="18"/>
        <v>California</v>
      </c>
      <c r="N213" t="str">
        <f t="shared" si="19"/>
        <v>M</v>
      </c>
      <c r="O213" t="str">
        <f t="shared" si="20"/>
        <v>College</v>
      </c>
      <c r="P213" t="str">
        <f t="shared" si="21"/>
        <v>Special</v>
      </c>
      <c r="Q213">
        <f t="shared" si="22"/>
        <v>4</v>
      </c>
      <c r="R213">
        <f t="shared" ca="1" si="23"/>
        <v>29</v>
      </c>
    </row>
    <row r="214" spans="1:18" x14ac:dyDescent="0.35">
      <c r="A214" t="s">
        <v>251</v>
      </c>
      <c r="B214" t="s">
        <v>102</v>
      </c>
      <c r="C214" t="s">
        <v>27</v>
      </c>
      <c r="D214" t="s">
        <v>35</v>
      </c>
      <c r="E214" s="5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 s="4">
        <v>383.16747099999998</v>
      </c>
      <c r="L214" s="2">
        <v>35383.167471000001</v>
      </c>
      <c r="M214" t="str">
        <f t="shared" si="18"/>
        <v>Washington</v>
      </c>
      <c r="N214" t="str">
        <f t="shared" si="19"/>
        <v>M</v>
      </c>
      <c r="O214" t="str">
        <f t="shared" si="20"/>
        <v>College</v>
      </c>
      <c r="P214" t="str">
        <f t="shared" si="21"/>
        <v>Corporate</v>
      </c>
      <c r="Q214">
        <f t="shared" si="22"/>
        <v>2</v>
      </c>
      <c r="R214">
        <f t="shared" ca="1" si="23"/>
        <v>29</v>
      </c>
    </row>
    <row r="215" spans="1:18" x14ac:dyDescent="0.35">
      <c r="A215" t="s">
        <v>252</v>
      </c>
      <c r="B215" t="s">
        <v>48</v>
      </c>
      <c r="C215" t="s">
        <v>193</v>
      </c>
      <c r="D215" t="s">
        <v>31</v>
      </c>
      <c r="E215" s="5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 s="4">
        <v>307.96329100000003</v>
      </c>
      <c r="L215" s="2">
        <v>35307.963291</v>
      </c>
      <c r="M215" t="str">
        <f t="shared" si="18"/>
        <v>California</v>
      </c>
      <c r="N215" t="str">
        <f t="shared" si="19"/>
        <v>F</v>
      </c>
      <c r="O215" t="str">
        <f t="shared" si="20"/>
        <v>High School or Below</v>
      </c>
      <c r="P215" t="str">
        <f t="shared" si="21"/>
        <v>Special</v>
      </c>
      <c r="Q215">
        <f t="shared" si="22"/>
        <v>4</v>
      </c>
      <c r="R215">
        <f t="shared" ca="1" si="23"/>
        <v>30</v>
      </c>
    </row>
    <row r="216" spans="1:18" x14ac:dyDescent="0.35">
      <c r="A216" t="s">
        <v>253</v>
      </c>
      <c r="B216" t="s">
        <v>5</v>
      </c>
      <c r="C216" t="s">
        <v>27</v>
      </c>
      <c r="D216" t="s">
        <v>35</v>
      </c>
      <c r="E216" s="5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 s="4">
        <v>355.2</v>
      </c>
      <c r="L216" s="2">
        <v>35355.199999999997</v>
      </c>
      <c r="M216" t="str">
        <f t="shared" si="18"/>
        <v>Arizona</v>
      </c>
      <c r="N216" t="str">
        <f t="shared" si="19"/>
        <v>M</v>
      </c>
      <c r="O216" t="str">
        <f t="shared" si="20"/>
        <v>College</v>
      </c>
      <c r="P216" t="str">
        <f t="shared" si="21"/>
        <v>Personal</v>
      </c>
      <c r="Q216">
        <f t="shared" si="22"/>
        <v>4</v>
      </c>
      <c r="R216">
        <f t="shared" ca="1" si="23"/>
        <v>29</v>
      </c>
    </row>
    <row r="217" spans="1:18" x14ac:dyDescent="0.35">
      <c r="A217" t="s">
        <v>254</v>
      </c>
      <c r="B217" t="s">
        <v>33</v>
      </c>
      <c r="C217" t="s">
        <v>193</v>
      </c>
      <c r="D217" t="s">
        <v>35</v>
      </c>
      <c r="E217" s="5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 s="4">
        <v>520.36475199999995</v>
      </c>
      <c r="L217" s="2">
        <v>35520.364752000001</v>
      </c>
      <c r="M217" t="str">
        <f t="shared" si="18"/>
        <v>Oregon</v>
      </c>
      <c r="N217" t="str">
        <f t="shared" si="19"/>
        <v>F</v>
      </c>
      <c r="O217" t="str">
        <f t="shared" si="20"/>
        <v>College</v>
      </c>
      <c r="P217" t="str">
        <f t="shared" si="21"/>
        <v>Corporate</v>
      </c>
      <c r="Q217">
        <f t="shared" si="22"/>
        <v>4</v>
      </c>
      <c r="R217">
        <f t="shared" ca="1" si="23"/>
        <v>29</v>
      </c>
    </row>
    <row r="218" spans="1:18" x14ac:dyDescent="0.3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 s="4">
        <v>466.436375</v>
      </c>
      <c r="L218" s="2">
        <v>35466.436374999997</v>
      </c>
      <c r="M218" t="str">
        <f t="shared" si="18"/>
        <v>Oregon</v>
      </c>
      <c r="N218" t="str">
        <f t="shared" si="19"/>
        <v>M</v>
      </c>
      <c r="O218" t="str">
        <f t="shared" si="20"/>
        <v>College</v>
      </c>
      <c r="P218" t="str">
        <f t="shared" si="21"/>
        <v>Corporate</v>
      </c>
      <c r="Q218">
        <f t="shared" si="22"/>
        <v>2</v>
      </c>
      <c r="R218">
        <f t="shared" ca="1" si="23"/>
        <v>29</v>
      </c>
    </row>
    <row r="219" spans="1:18" x14ac:dyDescent="0.35">
      <c r="A219" t="s">
        <v>256</v>
      </c>
      <c r="B219" t="s">
        <v>33</v>
      </c>
      <c r="C219" t="s">
        <v>193</v>
      </c>
      <c r="D219" t="s">
        <v>31</v>
      </c>
      <c r="E219" s="5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 s="4">
        <v>451.67030899999997</v>
      </c>
      <c r="L219" s="2">
        <v>35451.670309000001</v>
      </c>
      <c r="M219" t="str">
        <f t="shared" si="18"/>
        <v>Oregon</v>
      </c>
      <c r="N219" t="str">
        <f t="shared" si="19"/>
        <v>F</v>
      </c>
      <c r="O219" t="str">
        <f t="shared" si="20"/>
        <v>High School or Below</v>
      </c>
      <c r="P219" t="str">
        <f t="shared" si="21"/>
        <v>Special</v>
      </c>
      <c r="Q219">
        <f t="shared" si="22"/>
        <v>2</v>
      </c>
      <c r="R219">
        <f t="shared" ca="1" si="23"/>
        <v>29</v>
      </c>
    </row>
    <row r="220" spans="1:18" x14ac:dyDescent="0.35">
      <c r="A220" t="s">
        <v>257</v>
      </c>
      <c r="B220" t="s">
        <v>102</v>
      </c>
      <c r="C220" t="s">
        <v>193</v>
      </c>
      <c r="D220" t="s">
        <v>31</v>
      </c>
      <c r="E220" s="5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 s="4">
        <v>537.6</v>
      </c>
      <c r="L220" s="2">
        <v>35537.599999999999</v>
      </c>
      <c r="M220" t="str">
        <f t="shared" si="18"/>
        <v>Washington</v>
      </c>
      <c r="N220" t="str">
        <f t="shared" si="19"/>
        <v>F</v>
      </c>
      <c r="O220" t="str">
        <f t="shared" si="20"/>
        <v>High School or Below</v>
      </c>
      <c r="P220" t="str">
        <f t="shared" si="21"/>
        <v>Personal</v>
      </c>
      <c r="Q220">
        <f t="shared" si="22"/>
        <v>2</v>
      </c>
      <c r="R220">
        <f t="shared" ca="1" si="23"/>
        <v>29</v>
      </c>
    </row>
    <row r="221" spans="1:18" x14ac:dyDescent="0.35">
      <c r="A221" t="s">
        <v>258</v>
      </c>
      <c r="B221" t="s">
        <v>48</v>
      </c>
      <c r="C221" t="s">
        <v>27</v>
      </c>
      <c r="D221" t="s">
        <v>35</v>
      </c>
      <c r="E221" s="5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 s="4">
        <v>345.6</v>
      </c>
      <c r="L221" s="2">
        <v>35345.599999999999</v>
      </c>
      <c r="M221" t="str">
        <f t="shared" si="18"/>
        <v>California</v>
      </c>
      <c r="N221" t="str">
        <f t="shared" si="19"/>
        <v>M</v>
      </c>
      <c r="O221" t="str">
        <f t="shared" si="20"/>
        <v>College</v>
      </c>
      <c r="P221" t="str">
        <f t="shared" si="21"/>
        <v>Personal</v>
      </c>
      <c r="Q221">
        <f t="shared" si="22"/>
        <v>4</v>
      </c>
      <c r="R221">
        <f t="shared" ca="1" si="23"/>
        <v>29</v>
      </c>
    </row>
    <row r="222" spans="1:18" x14ac:dyDescent="0.35">
      <c r="A222" t="s">
        <v>259</v>
      </c>
      <c r="B222" t="s">
        <v>33</v>
      </c>
      <c r="C222" t="s">
        <v>193</v>
      </c>
      <c r="D222" t="s">
        <v>4</v>
      </c>
      <c r="E222" s="5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 s="4">
        <v>355.2</v>
      </c>
      <c r="L222" s="2">
        <v>35355.199999999997</v>
      </c>
      <c r="M222" t="str">
        <f t="shared" si="18"/>
        <v>Oregon</v>
      </c>
      <c r="N222" t="str">
        <f t="shared" si="19"/>
        <v>F</v>
      </c>
      <c r="O222" t="str">
        <f t="shared" si="20"/>
        <v>Bachelor</v>
      </c>
      <c r="P222" t="str">
        <f t="shared" si="21"/>
        <v>Personal</v>
      </c>
      <c r="Q222">
        <f t="shared" si="22"/>
        <v>4</v>
      </c>
      <c r="R222">
        <f t="shared" ca="1" si="23"/>
        <v>29</v>
      </c>
    </row>
    <row r="223" spans="1:18" x14ac:dyDescent="0.35">
      <c r="A223" t="s">
        <v>260</v>
      </c>
      <c r="B223" t="s">
        <v>48</v>
      </c>
      <c r="C223" t="s">
        <v>27</v>
      </c>
      <c r="D223" t="s">
        <v>4</v>
      </c>
      <c r="E223" s="5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 s="4">
        <v>331.2</v>
      </c>
      <c r="L223" s="2">
        <v>35331.199999999997</v>
      </c>
      <c r="M223" t="str">
        <f t="shared" si="18"/>
        <v>California</v>
      </c>
      <c r="N223" t="str">
        <f t="shared" si="19"/>
        <v>M</v>
      </c>
      <c r="O223" t="str">
        <f t="shared" si="20"/>
        <v>Bachelor</v>
      </c>
      <c r="P223" t="str">
        <f t="shared" si="21"/>
        <v>Personal</v>
      </c>
      <c r="Q223">
        <f t="shared" si="22"/>
        <v>4</v>
      </c>
      <c r="R223">
        <f t="shared" ca="1" si="23"/>
        <v>29</v>
      </c>
    </row>
    <row r="224" spans="1:18" x14ac:dyDescent="0.3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 s="4">
        <v>428.73465599999997</v>
      </c>
      <c r="L224" s="2">
        <v>35428.734656000001</v>
      </c>
      <c r="M224" t="str">
        <f t="shared" si="18"/>
        <v>Nevada</v>
      </c>
      <c r="N224" t="str">
        <f t="shared" si="19"/>
        <v>M</v>
      </c>
      <c r="O224" t="str">
        <f t="shared" si="20"/>
        <v>High School or Below</v>
      </c>
      <c r="P224" t="str">
        <f t="shared" si="21"/>
        <v>Personal</v>
      </c>
      <c r="Q224">
        <f t="shared" si="22"/>
        <v>4</v>
      </c>
      <c r="R224">
        <f t="shared" ca="1" si="23"/>
        <v>29</v>
      </c>
    </row>
    <row r="225" spans="1:18" x14ac:dyDescent="0.35">
      <c r="A225" t="s">
        <v>262</v>
      </c>
      <c r="B225" t="s">
        <v>102</v>
      </c>
      <c r="C225" t="s">
        <v>27</v>
      </c>
      <c r="D225" t="s">
        <v>31</v>
      </c>
      <c r="E225" s="5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 s="4">
        <v>398.4</v>
      </c>
      <c r="L225" s="2">
        <v>35398.400000000001</v>
      </c>
      <c r="M225" t="str">
        <f t="shared" si="18"/>
        <v>Washington</v>
      </c>
      <c r="N225" t="str">
        <f t="shared" si="19"/>
        <v>M</v>
      </c>
      <c r="O225" t="str">
        <f t="shared" si="20"/>
        <v>High School or Below</v>
      </c>
      <c r="P225" t="str">
        <f t="shared" si="21"/>
        <v>Personal</v>
      </c>
      <c r="Q225">
        <f t="shared" si="22"/>
        <v>2</v>
      </c>
      <c r="R225">
        <f t="shared" ca="1" si="23"/>
        <v>29</v>
      </c>
    </row>
    <row r="226" spans="1:18" x14ac:dyDescent="0.35">
      <c r="A226" t="s">
        <v>263</v>
      </c>
      <c r="B226" t="s">
        <v>33</v>
      </c>
      <c r="C226" t="s">
        <v>193</v>
      </c>
      <c r="D226" t="s">
        <v>35</v>
      </c>
      <c r="E226" s="5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 s="4">
        <v>494.4</v>
      </c>
      <c r="L226" s="2">
        <v>35494.400000000001</v>
      </c>
      <c r="M226" t="str">
        <f t="shared" si="18"/>
        <v>Oregon</v>
      </c>
      <c r="N226" t="str">
        <f t="shared" si="19"/>
        <v>F</v>
      </c>
      <c r="O226" t="str">
        <f t="shared" si="20"/>
        <v>College</v>
      </c>
      <c r="P226" t="str">
        <f t="shared" si="21"/>
        <v>Personal</v>
      </c>
      <c r="Q226">
        <f t="shared" si="22"/>
        <v>4</v>
      </c>
      <c r="R226">
        <f t="shared" ca="1" si="23"/>
        <v>29</v>
      </c>
    </row>
    <row r="227" spans="1:18" x14ac:dyDescent="0.35">
      <c r="A227" t="s">
        <v>264</v>
      </c>
      <c r="B227" t="s">
        <v>33</v>
      </c>
      <c r="C227" t="s">
        <v>193</v>
      </c>
      <c r="D227" t="s">
        <v>35</v>
      </c>
      <c r="E227" s="5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 s="4">
        <v>369.6</v>
      </c>
      <c r="L227" s="2">
        <v>35369.599999999999</v>
      </c>
      <c r="M227" t="str">
        <f t="shared" si="18"/>
        <v>Oregon</v>
      </c>
      <c r="N227" t="str">
        <f t="shared" si="19"/>
        <v>F</v>
      </c>
      <c r="O227" t="str">
        <f t="shared" si="20"/>
        <v>College</v>
      </c>
      <c r="P227" t="str">
        <f t="shared" si="21"/>
        <v>Personal</v>
      </c>
      <c r="Q227">
        <f t="shared" si="22"/>
        <v>4</v>
      </c>
      <c r="R227">
        <f t="shared" ca="1" si="23"/>
        <v>29</v>
      </c>
    </row>
    <row r="228" spans="1:18" x14ac:dyDescent="0.3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 s="4">
        <v>831.75283899999999</v>
      </c>
      <c r="L228" s="2">
        <v>35831.752839000001</v>
      </c>
      <c r="M228" t="str">
        <f t="shared" si="18"/>
        <v>Nevada</v>
      </c>
      <c r="N228" t="str">
        <f t="shared" si="19"/>
        <v>M</v>
      </c>
      <c r="O228" t="str">
        <f t="shared" si="20"/>
        <v>College</v>
      </c>
      <c r="P228" t="str">
        <f t="shared" si="21"/>
        <v>Personal</v>
      </c>
      <c r="Q228">
        <f t="shared" si="22"/>
        <v>2</v>
      </c>
      <c r="R228">
        <f t="shared" ca="1" si="23"/>
        <v>28</v>
      </c>
    </row>
    <row r="229" spans="1:18" x14ac:dyDescent="0.35">
      <c r="A229" t="s">
        <v>266</v>
      </c>
      <c r="B229" t="s">
        <v>23</v>
      </c>
      <c r="C229" t="s">
        <v>193</v>
      </c>
      <c r="D229" t="s">
        <v>31</v>
      </c>
      <c r="E229" s="5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 s="4">
        <v>156.12491399999999</v>
      </c>
      <c r="L229" s="2">
        <v>35156.124914</v>
      </c>
      <c r="M229" t="str">
        <f t="shared" si="18"/>
        <v>Nevada</v>
      </c>
      <c r="N229" t="str">
        <f t="shared" si="19"/>
        <v>F</v>
      </c>
      <c r="O229" t="str">
        <f t="shared" si="20"/>
        <v>High School or Below</v>
      </c>
      <c r="P229" t="str">
        <f t="shared" si="21"/>
        <v>Corporate</v>
      </c>
      <c r="Q229">
        <f t="shared" si="22"/>
        <v>4</v>
      </c>
      <c r="R229">
        <f t="shared" ca="1" si="23"/>
        <v>30</v>
      </c>
    </row>
    <row r="230" spans="1:18" x14ac:dyDescent="0.35">
      <c r="A230" t="s">
        <v>267</v>
      </c>
      <c r="B230" t="s">
        <v>5</v>
      </c>
      <c r="C230" t="s">
        <v>27</v>
      </c>
      <c r="D230" t="s">
        <v>31</v>
      </c>
      <c r="E230" s="5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 s="4">
        <v>373.42818699999998</v>
      </c>
      <c r="L230" s="2">
        <v>35373.428186999998</v>
      </c>
      <c r="M230" t="str">
        <f t="shared" si="18"/>
        <v>Arizona</v>
      </c>
      <c r="N230" t="str">
        <f t="shared" si="19"/>
        <v>M</v>
      </c>
      <c r="O230" t="str">
        <f t="shared" si="20"/>
        <v>High School or Below</v>
      </c>
      <c r="P230" t="str">
        <f t="shared" si="21"/>
        <v>Corporate</v>
      </c>
      <c r="Q230">
        <f t="shared" si="22"/>
        <v>4</v>
      </c>
      <c r="R230">
        <f t="shared" ca="1" si="23"/>
        <v>29</v>
      </c>
    </row>
    <row r="231" spans="1:18" x14ac:dyDescent="0.35">
      <c r="A231" t="s">
        <v>268</v>
      </c>
      <c r="B231" t="s">
        <v>48</v>
      </c>
      <c r="C231" t="s">
        <v>27</v>
      </c>
      <c r="D231" t="s">
        <v>4</v>
      </c>
      <c r="E231" s="5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 s="4">
        <v>395.93481500000001</v>
      </c>
      <c r="L231" s="2">
        <v>35395.934815000001</v>
      </c>
      <c r="M231" t="str">
        <f t="shared" si="18"/>
        <v>California</v>
      </c>
      <c r="N231" t="str">
        <f t="shared" si="19"/>
        <v>M</v>
      </c>
      <c r="O231" t="str">
        <f t="shared" si="20"/>
        <v>Bachelor</v>
      </c>
      <c r="P231" t="str">
        <f t="shared" si="21"/>
        <v>Corporate</v>
      </c>
      <c r="Q231">
        <f t="shared" si="22"/>
        <v>4</v>
      </c>
      <c r="R231">
        <f t="shared" ca="1" si="23"/>
        <v>29</v>
      </c>
    </row>
    <row r="232" spans="1:18" x14ac:dyDescent="0.35">
      <c r="A232" t="s">
        <v>269</v>
      </c>
      <c r="B232" t="s">
        <v>5</v>
      </c>
      <c r="C232" t="s">
        <v>193</v>
      </c>
      <c r="D232" t="s">
        <v>4</v>
      </c>
      <c r="E232" s="5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 s="4">
        <v>350.4</v>
      </c>
      <c r="L232" s="2">
        <v>35350.400000000001</v>
      </c>
      <c r="M232" t="str">
        <f t="shared" si="18"/>
        <v>Arizona</v>
      </c>
      <c r="N232" t="str">
        <f t="shared" si="19"/>
        <v>F</v>
      </c>
      <c r="O232" t="str">
        <f t="shared" si="20"/>
        <v>Bachelor</v>
      </c>
      <c r="P232" t="str">
        <f t="shared" si="21"/>
        <v>Corporate</v>
      </c>
      <c r="Q232">
        <f t="shared" si="22"/>
        <v>4</v>
      </c>
      <c r="R232">
        <f t="shared" ca="1" si="23"/>
        <v>29</v>
      </c>
    </row>
    <row r="233" spans="1:18" x14ac:dyDescent="0.35">
      <c r="A233" t="s">
        <v>270</v>
      </c>
      <c r="B233" t="s">
        <v>5</v>
      </c>
      <c r="C233" t="s">
        <v>271</v>
      </c>
      <c r="D233" t="s">
        <v>35</v>
      </c>
      <c r="E233" s="5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 s="4">
        <v>231.201886</v>
      </c>
      <c r="L233" s="2">
        <v>35231.201886000003</v>
      </c>
      <c r="M233" t="str">
        <f t="shared" si="18"/>
        <v>Arizona</v>
      </c>
      <c r="N233" t="str">
        <f t="shared" si="19"/>
        <v>M</v>
      </c>
      <c r="O233" t="str">
        <f t="shared" si="20"/>
        <v>College</v>
      </c>
      <c r="P233" t="str">
        <f t="shared" si="21"/>
        <v>Personal</v>
      </c>
      <c r="Q233">
        <f t="shared" si="22"/>
        <v>2</v>
      </c>
      <c r="R233">
        <f t="shared" ca="1" si="23"/>
        <v>30</v>
      </c>
    </row>
    <row r="234" spans="1:18" x14ac:dyDescent="0.35">
      <c r="A234" t="s">
        <v>272</v>
      </c>
      <c r="B234" t="s">
        <v>5</v>
      </c>
      <c r="C234" t="s">
        <v>271</v>
      </c>
      <c r="D234" t="s">
        <v>31</v>
      </c>
      <c r="E234" s="5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 s="4">
        <v>289.90410500000002</v>
      </c>
      <c r="L234" s="2">
        <v>35289.904105000001</v>
      </c>
      <c r="M234" t="str">
        <f t="shared" si="18"/>
        <v>Arizona</v>
      </c>
      <c r="N234" t="str">
        <f t="shared" si="19"/>
        <v>M</v>
      </c>
      <c r="O234" t="str">
        <f t="shared" si="20"/>
        <v>High School or Below</v>
      </c>
      <c r="P234" t="str">
        <f t="shared" si="21"/>
        <v>Personal</v>
      </c>
      <c r="Q234">
        <f t="shared" si="22"/>
        <v>4</v>
      </c>
      <c r="R234">
        <f t="shared" ca="1" si="23"/>
        <v>30</v>
      </c>
    </row>
    <row r="235" spans="1:18" x14ac:dyDescent="0.35">
      <c r="A235" t="s">
        <v>273</v>
      </c>
      <c r="B235" t="s">
        <v>33</v>
      </c>
      <c r="C235" t="s">
        <v>193</v>
      </c>
      <c r="D235" t="s">
        <v>4</v>
      </c>
      <c r="E235" s="5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 s="4">
        <v>729.6</v>
      </c>
      <c r="L235" s="2">
        <v>35729.599999999999</v>
      </c>
      <c r="M235" t="str">
        <f t="shared" si="18"/>
        <v>Oregon</v>
      </c>
      <c r="N235" t="str">
        <f t="shared" si="19"/>
        <v>F</v>
      </c>
      <c r="O235" t="str">
        <f t="shared" si="20"/>
        <v>Bachelor</v>
      </c>
      <c r="P235" t="str">
        <f t="shared" si="21"/>
        <v>Personal</v>
      </c>
      <c r="Q235">
        <f t="shared" si="22"/>
        <v>4</v>
      </c>
      <c r="R235">
        <f t="shared" ca="1" si="23"/>
        <v>28</v>
      </c>
    </row>
    <row r="236" spans="1:18" x14ac:dyDescent="0.35">
      <c r="A236" t="s">
        <v>274</v>
      </c>
      <c r="B236" t="s">
        <v>5</v>
      </c>
      <c r="C236" t="s">
        <v>271</v>
      </c>
      <c r="D236" t="s">
        <v>31</v>
      </c>
      <c r="E236" s="5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 s="4">
        <v>326.39999999999998</v>
      </c>
      <c r="L236" s="2">
        <v>35326.400000000001</v>
      </c>
      <c r="M236" t="str">
        <f t="shared" si="18"/>
        <v>Arizona</v>
      </c>
      <c r="N236" t="str">
        <f t="shared" si="19"/>
        <v>M</v>
      </c>
      <c r="O236" t="str">
        <f t="shared" si="20"/>
        <v>High School or Below</v>
      </c>
      <c r="P236" t="str">
        <f t="shared" si="21"/>
        <v>Personal</v>
      </c>
      <c r="Q236">
        <f t="shared" si="22"/>
        <v>2</v>
      </c>
      <c r="R236">
        <f t="shared" ca="1" si="23"/>
        <v>29</v>
      </c>
    </row>
    <row r="237" spans="1:18" x14ac:dyDescent="0.35">
      <c r="A237" t="s">
        <v>275</v>
      </c>
      <c r="B237" t="s">
        <v>48</v>
      </c>
      <c r="C237" t="s">
        <v>271</v>
      </c>
      <c r="D237" t="s">
        <v>4</v>
      </c>
      <c r="E237" s="5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 s="4">
        <v>350.4</v>
      </c>
      <c r="L237" s="2">
        <v>35350.400000000001</v>
      </c>
      <c r="M237" t="str">
        <f t="shared" si="18"/>
        <v>California</v>
      </c>
      <c r="N237" t="str">
        <f t="shared" si="19"/>
        <v>M</v>
      </c>
      <c r="O237" t="str">
        <f t="shared" si="20"/>
        <v>Bachelor</v>
      </c>
      <c r="P237" t="str">
        <f t="shared" si="21"/>
        <v>Personal</v>
      </c>
      <c r="Q237">
        <f t="shared" si="22"/>
        <v>2</v>
      </c>
      <c r="R237">
        <f t="shared" ca="1" si="23"/>
        <v>29</v>
      </c>
    </row>
    <row r="238" spans="1:18" x14ac:dyDescent="0.35">
      <c r="A238" t="s">
        <v>276</v>
      </c>
      <c r="B238" t="s">
        <v>48</v>
      </c>
      <c r="C238" t="s">
        <v>193</v>
      </c>
      <c r="D238" t="s">
        <v>4</v>
      </c>
      <c r="E238" s="5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 s="4">
        <v>105.765111</v>
      </c>
      <c r="L238" s="2">
        <v>35105.765111000001</v>
      </c>
      <c r="M238" t="str">
        <f t="shared" si="18"/>
        <v>California</v>
      </c>
      <c r="N238" t="str">
        <f t="shared" si="19"/>
        <v>F</v>
      </c>
      <c r="O238" t="str">
        <f t="shared" si="20"/>
        <v>Bachelor</v>
      </c>
      <c r="P238" t="str">
        <f t="shared" si="21"/>
        <v>Personal</v>
      </c>
      <c r="Q238">
        <f t="shared" si="22"/>
        <v>4</v>
      </c>
      <c r="R238">
        <f t="shared" ca="1" si="23"/>
        <v>30</v>
      </c>
    </row>
    <row r="239" spans="1:18" x14ac:dyDescent="0.35">
      <c r="A239" t="s">
        <v>277</v>
      </c>
      <c r="B239" t="s">
        <v>102</v>
      </c>
      <c r="C239" t="s">
        <v>271</v>
      </c>
      <c r="D239" t="s">
        <v>35</v>
      </c>
      <c r="E239" s="5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 s="4">
        <v>639.46454800000004</v>
      </c>
      <c r="L239" s="2">
        <v>35639.464548000004</v>
      </c>
      <c r="M239" t="str">
        <f t="shared" si="18"/>
        <v>Washington</v>
      </c>
      <c r="N239" t="str">
        <f t="shared" si="19"/>
        <v>M</v>
      </c>
      <c r="O239" t="str">
        <f t="shared" si="20"/>
        <v>College</v>
      </c>
      <c r="P239" t="str">
        <f t="shared" si="21"/>
        <v>Corporate</v>
      </c>
      <c r="Q239">
        <f t="shared" si="22"/>
        <v>4</v>
      </c>
      <c r="R239">
        <f t="shared" ca="1" si="23"/>
        <v>29</v>
      </c>
    </row>
    <row r="240" spans="1:18" x14ac:dyDescent="0.35">
      <c r="A240" t="s">
        <v>278</v>
      </c>
      <c r="B240" t="s">
        <v>102</v>
      </c>
      <c r="C240" t="s">
        <v>271</v>
      </c>
      <c r="D240" t="s">
        <v>35</v>
      </c>
      <c r="E240" s="5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 s="4">
        <v>292.8</v>
      </c>
      <c r="L240" s="2">
        <v>35292.800000000003</v>
      </c>
      <c r="M240" t="str">
        <f t="shared" si="18"/>
        <v>Washington</v>
      </c>
      <c r="N240" t="str">
        <f t="shared" si="19"/>
        <v>M</v>
      </c>
      <c r="O240" t="str">
        <f t="shared" si="20"/>
        <v>College</v>
      </c>
      <c r="P240" t="str">
        <f t="shared" si="21"/>
        <v>Personal</v>
      </c>
      <c r="Q240">
        <f t="shared" si="22"/>
        <v>4</v>
      </c>
      <c r="R240">
        <f t="shared" ca="1" si="23"/>
        <v>30</v>
      </c>
    </row>
    <row r="241" spans="1:18" x14ac:dyDescent="0.35">
      <c r="A241" t="s">
        <v>279</v>
      </c>
      <c r="B241" t="s">
        <v>102</v>
      </c>
      <c r="C241" t="s">
        <v>193</v>
      </c>
      <c r="D241" t="s">
        <v>4</v>
      </c>
      <c r="E241" s="5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 s="4">
        <v>383.44232799999997</v>
      </c>
      <c r="L241" s="2">
        <v>35383.442327999997</v>
      </c>
      <c r="M241" t="str">
        <f t="shared" si="18"/>
        <v>Washington</v>
      </c>
      <c r="N241" t="str">
        <f t="shared" si="19"/>
        <v>F</v>
      </c>
      <c r="O241" t="str">
        <f t="shared" si="20"/>
        <v>Bachelor</v>
      </c>
      <c r="P241" t="str">
        <f t="shared" si="21"/>
        <v>Personal</v>
      </c>
      <c r="Q241">
        <f t="shared" si="22"/>
        <v>4</v>
      </c>
      <c r="R241">
        <f t="shared" ca="1" si="23"/>
        <v>29</v>
      </c>
    </row>
    <row r="242" spans="1:18" x14ac:dyDescent="0.35">
      <c r="A242" t="s">
        <v>280</v>
      </c>
      <c r="B242" t="s">
        <v>23</v>
      </c>
      <c r="C242" t="s">
        <v>193</v>
      </c>
      <c r="D242" t="s">
        <v>31</v>
      </c>
      <c r="E242" s="5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 s="4">
        <v>316.8</v>
      </c>
      <c r="L242" s="2">
        <v>35316.800000000003</v>
      </c>
      <c r="M242" t="str">
        <f t="shared" si="18"/>
        <v>Nevada</v>
      </c>
      <c r="N242" t="str">
        <f t="shared" si="19"/>
        <v>F</v>
      </c>
      <c r="O242" t="str">
        <f t="shared" si="20"/>
        <v>High School or Below</v>
      </c>
      <c r="P242" t="str">
        <f t="shared" si="21"/>
        <v>Corporate</v>
      </c>
      <c r="Q242">
        <f t="shared" si="22"/>
        <v>2</v>
      </c>
      <c r="R242">
        <f t="shared" ca="1" si="23"/>
        <v>30</v>
      </c>
    </row>
    <row r="243" spans="1:18" x14ac:dyDescent="0.35">
      <c r="A243" t="s">
        <v>281</v>
      </c>
      <c r="B243" t="s">
        <v>5</v>
      </c>
      <c r="C243" t="s">
        <v>193</v>
      </c>
      <c r="D243" t="s">
        <v>35</v>
      </c>
      <c r="E243" s="5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 s="4">
        <v>99.085943</v>
      </c>
      <c r="L243" s="2">
        <v>35099.085942999998</v>
      </c>
      <c r="M243" t="str">
        <f t="shared" si="18"/>
        <v>Arizona</v>
      </c>
      <c r="N243" t="str">
        <f t="shared" si="19"/>
        <v>F</v>
      </c>
      <c r="O243" t="str">
        <f t="shared" si="20"/>
        <v>College</v>
      </c>
      <c r="P243" t="str">
        <f t="shared" si="21"/>
        <v>Personal</v>
      </c>
      <c r="Q243">
        <f t="shared" si="22"/>
        <v>4</v>
      </c>
      <c r="R243">
        <f t="shared" ca="1" si="23"/>
        <v>30</v>
      </c>
    </row>
    <row r="244" spans="1:18" x14ac:dyDescent="0.35">
      <c r="A244" t="s">
        <v>282</v>
      </c>
      <c r="B244" t="s">
        <v>33</v>
      </c>
      <c r="C244" t="s">
        <v>193</v>
      </c>
      <c r="D244" t="s">
        <v>35</v>
      </c>
      <c r="E244" s="5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 s="4">
        <v>307.2</v>
      </c>
      <c r="L244" s="2">
        <v>35307.199999999997</v>
      </c>
      <c r="M244" t="str">
        <f t="shared" si="18"/>
        <v>Oregon</v>
      </c>
      <c r="N244" t="str">
        <f t="shared" si="19"/>
        <v>F</v>
      </c>
      <c r="O244" t="str">
        <f t="shared" si="20"/>
        <v>College</v>
      </c>
      <c r="P244" t="str">
        <f t="shared" si="21"/>
        <v>Corporate</v>
      </c>
      <c r="Q244">
        <f t="shared" si="22"/>
        <v>4</v>
      </c>
      <c r="R244">
        <f t="shared" ca="1" si="23"/>
        <v>30</v>
      </c>
    </row>
    <row r="245" spans="1:18" x14ac:dyDescent="0.35">
      <c r="A245" t="s">
        <v>283</v>
      </c>
      <c r="B245" t="s">
        <v>48</v>
      </c>
      <c r="C245" t="s">
        <v>271</v>
      </c>
      <c r="D245" t="s">
        <v>35</v>
      </c>
      <c r="E245" s="5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 s="4">
        <v>566.935022</v>
      </c>
      <c r="L245" s="2">
        <v>35566.935021999998</v>
      </c>
      <c r="M245" t="str">
        <f t="shared" si="18"/>
        <v>California</v>
      </c>
      <c r="N245" t="str">
        <f t="shared" si="19"/>
        <v>M</v>
      </c>
      <c r="O245" t="str">
        <f t="shared" si="20"/>
        <v>College</v>
      </c>
      <c r="P245" t="str">
        <f t="shared" si="21"/>
        <v>Personal</v>
      </c>
      <c r="Q245">
        <f t="shared" si="22"/>
        <v>2</v>
      </c>
      <c r="R245">
        <f t="shared" ca="1" si="23"/>
        <v>29</v>
      </c>
    </row>
    <row r="246" spans="1:18" x14ac:dyDescent="0.35">
      <c r="A246" t="s">
        <v>284</v>
      </c>
      <c r="B246" t="s">
        <v>48</v>
      </c>
      <c r="C246" t="s">
        <v>193</v>
      </c>
      <c r="D246" t="s">
        <v>35</v>
      </c>
      <c r="E246" s="5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 s="4">
        <v>436.8</v>
      </c>
      <c r="L246" s="2">
        <v>35436.800000000003</v>
      </c>
      <c r="M246" t="str">
        <f t="shared" si="18"/>
        <v>California</v>
      </c>
      <c r="N246" t="str">
        <f t="shared" si="19"/>
        <v>F</v>
      </c>
      <c r="O246" t="str">
        <f t="shared" si="20"/>
        <v>College</v>
      </c>
      <c r="P246" t="str">
        <f t="shared" si="21"/>
        <v>Personal</v>
      </c>
      <c r="Q246">
        <f t="shared" si="22"/>
        <v>2</v>
      </c>
      <c r="R246">
        <f t="shared" ca="1" si="23"/>
        <v>29</v>
      </c>
    </row>
    <row r="247" spans="1:18" x14ac:dyDescent="0.35">
      <c r="A247" t="s">
        <v>285</v>
      </c>
      <c r="B247" t="s">
        <v>48</v>
      </c>
      <c r="C247" t="s">
        <v>27</v>
      </c>
      <c r="D247" t="s">
        <v>4</v>
      </c>
      <c r="E247" s="5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 s="4">
        <v>412.8</v>
      </c>
      <c r="L247" s="2">
        <v>35412.800000000003</v>
      </c>
      <c r="M247" t="str">
        <f t="shared" si="18"/>
        <v>California</v>
      </c>
      <c r="N247" t="str">
        <f t="shared" si="19"/>
        <v>M</v>
      </c>
      <c r="O247" t="str">
        <f t="shared" si="20"/>
        <v>Bachelor</v>
      </c>
      <c r="P247" t="str">
        <f t="shared" si="21"/>
        <v>Corporate</v>
      </c>
      <c r="Q247">
        <f t="shared" si="22"/>
        <v>2</v>
      </c>
      <c r="R247">
        <f t="shared" ca="1" si="23"/>
        <v>29</v>
      </c>
    </row>
    <row r="248" spans="1:18" x14ac:dyDescent="0.35">
      <c r="A248" t="s">
        <v>286</v>
      </c>
      <c r="B248" t="s">
        <v>5</v>
      </c>
      <c r="C248" t="s">
        <v>21</v>
      </c>
      <c r="D248" t="s">
        <v>4</v>
      </c>
      <c r="E248" s="5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 s="4">
        <v>307.2</v>
      </c>
      <c r="L248" s="2">
        <v>35307.199999999997</v>
      </c>
      <c r="M248" t="str">
        <f t="shared" si="18"/>
        <v>Arizona</v>
      </c>
      <c r="N248" t="str">
        <f t="shared" si="19"/>
        <v>F</v>
      </c>
      <c r="O248" t="str">
        <f t="shared" si="20"/>
        <v>Bachelor</v>
      </c>
      <c r="P248" t="str">
        <f t="shared" si="21"/>
        <v>Personal</v>
      </c>
      <c r="Q248">
        <f t="shared" si="22"/>
        <v>4</v>
      </c>
      <c r="R248">
        <f t="shared" ca="1" si="23"/>
        <v>30</v>
      </c>
    </row>
    <row r="249" spans="1:18" x14ac:dyDescent="0.35">
      <c r="A249" t="s">
        <v>287</v>
      </c>
      <c r="B249" t="s">
        <v>5</v>
      </c>
      <c r="C249" t="s">
        <v>21</v>
      </c>
      <c r="D249" t="s">
        <v>31</v>
      </c>
      <c r="E249" s="5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 s="4">
        <v>388.8</v>
      </c>
      <c r="L249" s="2">
        <v>35388.800000000003</v>
      </c>
      <c r="M249" t="str">
        <f t="shared" si="18"/>
        <v>Arizona</v>
      </c>
      <c r="N249" t="str">
        <f t="shared" si="19"/>
        <v>F</v>
      </c>
      <c r="O249" t="str">
        <f t="shared" si="20"/>
        <v>High School or Below</v>
      </c>
      <c r="P249" t="str">
        <f t="shared" si="21"/>
        <v>Personal</v>
      </c>
      <c r="Q249">
        <f t="shared" si="22"/>
        <v>4</v>
      </c>
      <c r="R249">
        <f t="shared" ca="1" si="23"/>
        <v>29</v>
      </c>
    </row>
    <row r="250" spans="1:18" x14ac:dyDescent="0.35">
      <c r="A250" t="s">
        <v>288</v>
      </c>
      <c r="B250" t="s">
        <v>33</v>
      </c>
      <c r="C250" t="s">
        <v>27</v>
      </c>
      <c r="D250" t="s">
        <v>4</v>
      </c>
      <c r="E250" s="5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 s="4">
        <v>2345.4134410000001</v>
      </c>
      <c r="L250" s="2">
        <v>37345.413440999997</v>
      </c>
      <c r="M250" t="str">
        <f t="shared" si="18"/>
        <v>Oregon</v>
      </c>
      <c r="N250" t="str">
        <f t="shared" si="19"/>
        <v>M</v>
      </c>
      <c r="O250" t="str">
        <f t="shared" si="20"/>
        <v>Bachelor</v>
      </c>
      <c r="P250" t="str">
        <f t="shared" si="21"/>
        <v>Corporate</v>
      </c>
      <c r="Q250">
        <f t="shared" si="22"/>
        <v>4</v>
      </c>
      <c r="R250">
        <f t="shared" ca="1" si="23"/>
        <v>24</v>
      </c>
    </row>
    <row r="251" spans="1:18" x14ac:dyDescent="0.35">
      <c r="A251" t="s">
        <v>289</v>
      </c>
      <c r="B251" t="s">
        <v>48</v>
      </c>
      <c r="C251" t="s">
        <v>27</v>
      </c>
      <c r="D251" t="s">
        <v>2</v>
      </c>
      <c r="E251" s="5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 s="4">
        <v>321.60000000000002</v>
      </c>
      <c r="L251" s="2">
        <v>35321.599999999999</v>
      </c>
      <c r="M251" t="str">
        <f t="shared" si="18"/>
        <v>California</v>
      </c>
      <c r="N251" t="str">
        <f t="shared" si="19"/>
        <v>M</v>
      </c>
      <c r="O251" t="str">
        <f t="shared" si="20"/>
        <v>Master</v>
      </c>
      <c r="P251" t="str">
        <f t="shared" si="21"/>
        <v>Personal</v>
      </c>
      <c r="Q251">
        <f t="shared" si="22"/>
        <v>4</v>
      </c>
      <c r="R251">
        <f t="shared" ca="1" si="23"/>
        <v>29</v>
      </c>
    </row>
    <row r="252" spans="1:18" x14ac:dyDescent="0.35">
      <c r="A252" t="s">
        <v>290</v>
      </c>
      <c r="B252" t="s">
        <v>5</v>
      </c>
      <c r="C252" t="s">
        <v>21</v>
      </c>
      <c r="D252" t="s">
        <v>31</v>
      </c>
      <c r="E252" s="5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 s="4">
        <v>773.47097699999995</v>
      </c>
      <c r="L252" s="2">
        <v>35773.470976999997</v>
      </c>
      <c r="M252" t="str">
        <f t="shared" si="18"/>
        <v>Arizona</v>
      </c>
      <c r="N252" t="str">
        <f t="shared" si="19"/>
        <v>F</v>
      </c>
      <c r="O252" t="str">
        <f t="shared" si="20"/>
        <v>High School or Below</v>
      </c>
      <c r="P252" t="str">
        <f t="shared" si="21"/>
        <v>Personal</v>
      </c>
      <c r="Q252">
        <f t="shared" si="22"/>
        <v>2</v>
      </c>
      <c r="R252">
        <f t="shared" ca="1" si="23"/>
        <v>28</v>
      </c>
    </row>
    <row r="253" spans="1:18" x14ac:dyDescent="0.35">
      <c r="A253" t="s">
        <v>291</v>
      </c>
      <c r="B253" t="s">
        <v>23</v>
      </c>
      <c r="C253" t="s">
        <v>21</v>
      </c>
      <c r="D253" t="s">
        <v>4</v>
      </c>
      <c r="E253" s="5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 s="4">
        <v>424.88344799999999</v>
      </c>
      <c r="L253" s="2">
        <v>35424.883448</v>
      </c>
      <c r="M253" t="str">
        <f t="shared" si="18"/>
        <v>Nevada</v>
      </c>
      <c r="N253" t="str">
        <f t="shared" si="19"/>
        <v>F</v>
      </c>
      <c r="O253" t="str">
        <f t="shared" si="20"/>
        <v>Bachelor</v>
      </c>
      <c r="P253" t="str">
        <f t="shared" si="21"/>
        <v>Personal</v>
      </c>
      <c r="Q253">
        <f t="shared" si="22"/>
        <v>2</v>
      </c>
      <c r="R253">
        <f t="shared" ca="1" si="23"/>
        <v>29</v>
      </c>
    </row>
    <row r="254" spans="1:18" x14ac:dyDescent="0.35">
      <c r="A254" t="s">
        <v>292</v>
      </c>
      <c r="B254" t="s">
        <v>5</v>
      </c>
      <c r="C254" t="s">
        <v>27</v>
      </c>
      <c r="D254" t="s">
        <v>80</v>
      </c>
      <c r="E254" s="5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 s="4">
        <v>523.20000000000005</v>
      </c>
      <c r="L254" s="2">
        <v>35523.199999999997</v>
      </c>
      <c r="M254" t="str">
        <f t="shared" si="18"/>
        <v>Arizona</v>
      </c>
      <c r="N254" t="str">
        <f t="shared" si="19"/>
        <v>M</v>
      </c>
      <c r="O254" t="str">
        <f t="shared" si="20"/>
        <v>Doctor</v>
      </c>
      <c r="P254" t="str">
        <f t="shared" si="21"/>
        <v>Personal</v>
      </c>
      <c r="Q254">
        <f t="shared" si="22"/>
        <v>4</v>
      </c>
      <c r="R254">
        <f t="shared" ca="1" si="23"/>
        <v>29</v>
      </c>
    </row>
    <row r="255" spans="1:18" x14ac:dyDescent="0.35">
      <c r="A255" t="s">
        <v>293</v>
      </c>
      <c r="B255" t="s">
        <v>102</v>
      </c>
      <c r="C255" t="s">
        <v>21</v>
      </c>
      <c r="D255" t="s">
        <v>35</v>
      </c>
      <c r="E255" s="5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 s="4">
        <v>508.8</v>
      </c>
      <c r="L255" s="2">
        <v>35508.800000000003</v>
      </c>
      <c r="M255" t="str">
        <f t="shared" si="18"/>
        <v>Washington</v>
      </c>
      <c r="N255" t="str">
        <f t="shared" si="19"/>
        <v>F</v>
      </c>
      <c r="O255" t="str">
        <f t="shared" si="20"/>
        <v>College</v>
      </c>
      <c r="P255" t="str">
        <f t="shared" si="21"/>
        <v>Personal</v>
      </c>
      <c r="Q255">
        <f t="shared" si="22"/>
        <v>4</v>
      </c>
      <c r="R255">
        <f t="shared" ca="1" si="23"/>
        <v>29</v>
      </c>
    </row>
    <row r="256" spans="1:18" x14ac:dyDescent="0.35">
      <c r="A256" t="s">
        <v>294</v>
      </c>
      <c r="B256" t="s">
        <v>33</v>
      </c>
      <c r="C256" t="s">
        <v>27</v>
      </c>
      <c r="D256" t="s">
        <v>4</v>
      </c>
      <c r="E256" s="5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 s="4">
        <v>364.24030699999997</v>
      </c>
      <c r="L256" s="2">
        <v>35364.240307</v>
      </c>
      <c r="M256" t="str">
        <f t="shared" si="18"/>
        <v>Oregon</v>
      </c>
      <c r="N256" t="str">
        <f t="shared" si="19"/>
        <v>M</v>
      </c>
      <c r="O256" t="str">
        <f t="shared" si="20"/>
        <v>Bachelor</v>
      </c>
      <c r="P256" t="str">
        <f t="shared" si="21"/>
        <v>Personal</v>
      </c>
      <c r="Q256">
        <f t="shared" si="22"/>
        <v>4</v>
      </c>
      <c r="R256">
        <f t="shared" ca="1" si="23"/>
        <v>29</v>
      </c>
    </row>
    <row r="257" spans="1:18" x14ac:dyDescent="0.3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 s="4">
        <v>638.4</v>
      </c>
      <c r="L257" s="2">
        <v>35638.400000000001</v>
      </c>
      <c r="M257" t="str">
        <f t="shared" si="18"/>
        <v>Nevada</v>
      </c>
      <c r="N257" t="str">
        <f t="shared" si="19"/>
        <v>M</v>
      </c>
      <c r="O257" t="str">
        <f t="shared" si="20"/>
        <v>High School or Below</v>
      </c>
      <c r="P257" t="str">
        <f t="shared" si="21"/>
        <v>Personal</v>
      </c>
      <c r="Q257">
        <f t="shared" si="22"/>
        <v>4</v>
      </c>
      <c r="R257">
        <f t="shared" ca="1" si="23"/>
        <v>29</v>
      </c>
    </row>
    <row r="258" spans="1:18" x14ac:dyDescent="0.35">
      <c r="A258" t="s">
        <v>296</v>
      </c>
      <c r="B258" t="s">
        <v>33</v>
      </c>
      <c r="C258" t="s">
        <v>21</v>
      </c>
      <c r="D258" t="s">
        <v>4</v>
      </c>
      <c r="E258" s="5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 s="4">
        <v>354.729129</v>
      </c>
      <c r="L258" s="2">
        <v>35354.729128999999</v>
      </c>
      <c r="M258" t="str">
        <f t="shared" si="18"/>
        <v>Oregon</v>
      </c>
      <c r="N258" t="str">
        <f t="shared" si="19"/>
        <v>F</v>
      </c>
      <c r="O258" t="str">
        <f t="shared" si="20"/>
        <v>Bachelor</v>
      </c>
      <c r="P258" t="str">
        <f t="shared" si="21"/>
        <v>Personal</v>
      </c>
      <c r="Q258">
        <f t="shared" si="22"/>
        <v>4</v>
      </c>
      <c r="R258">
        <f t="shared" ca="1" si="23"/>
        <v>29</v>
      </c>
    </row>
    <row r="259" spans="1:18" x14ac:dyDescent="0.35">
      <c r="A259" t="s">
        <v>297</v>
      </c>
      <c r="B259" t="s">
        <v>48</v>
      </c>
      <c r="C259" t="s">
        <v>21</v>
      </c>
      <c r="D259" t="s">
        <v>2</v>
      </c>
      <c r="E259" s="5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 s="4">
        <v>283.99595299999999</v>
      </c>
      <c r="L259" s="2">
        <v>35283.995952999998</v>
      </c>
      <c r="M259" t="str">
        <f t="shared" ref="M259:M322" si="24">IF(OR(B259="California",B259="Cali"),"California",IF(OR(B259="Arizona",B259="AZ"),"Arizona",IF(OR(B259="Washington",B259="WA"),"Washington",B259)))</f>
        <v>California</v>
      </c>
      <c r="N259" t="str">
        <f t="shared" ref="N259:N322" si="25">IF(OR(C259="F",C259="Femal",C259="female"),"F",IF(OR(C259="M",C259="Male"),"M","NA"))</f>
        <v>F</v>
      </c>
      <c r="O259" t="str">
        <f t="shared" ref="O259:O322" si="26">IF(OR(D259="Bachelor",D259="Bachelors"),"Bachelor",D259)</f>
        <v>Master</v>
      </c>
      <c r="P259" t="str">
        <f t="shared" ref="P259:P322" si="27">LEFT(I259,FIND(" ",I259)-1)</f>
        <v>Personal</v>
      </c>
      <c r="Q259">
        <f t="shared" ref="Q259:Q322" si="28">IF(OR(J259="Luxury Car",J259="Two-Door Car",J259="Sports Car"),2,IF(OR(J259="Luxury SUV",J259="SUV",J259="Four-Door Car"),4,"NA"))</f>
        <v>2</v>
      </c>
      <c r="R259">
        <f t="shared" ref="R259:R322" ca="1" si="29">DATEDIF(L259,TODAY(),"Y")</f>
        <v>30</v>
      </c>
    </row>
    <row r="260" spans="1:18" x14ac:dyDescent="0.35">
      <c r="A260" t="s">
        <v>298</v>
      </c>
      <c r="B260" t="s">
        <v>102</v>
      </c>
      <c r="C260" t="s">
        <v>27</v>
      </c>
      <c r="D260" t="s">
        <v>4</v>
      </c>
      <c r="E260" s="5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 s="4">
        <v>403.2</v>
      </c>
      <c r="L260" s="2">
        <v>35403.199999999997</v>
      </c>
      <c r="M260" t="str">
        <f t="shared" si="24"/>
        <v>Washington</v>
      </c>
      <c r="N260" t="str">
        <f t="shared" si="25"/>
        <v>M</v>
      </c>
      <c r="O260" t="str">
        <f t="shared" si="26"/>
        <v>Bachelor</v>
      </c>
      <c r="P260" t="str">
        <f t="shared" si="27"/>
        <v>Personal</v>
      </c>
      <c r="Q260">
        <f t="shared" si="28"/>
        <v>4</v>
      </c>
      <c r="R260">
        <f t="shared" ca="1" si="29"/>
        <v>29</v>
      </c>
    </row>
    <row r="261" spans="1:18" x14ac:dyDescent="0.35">
      <c r="A261" t="s">
        <v>299</v>
      </c>
      <c r="B261" t="s">
        <v>33</v>
      </c>
      <c r="C261" t="s">
        <v>21</v>
      </c>
      <c r="D261" t="s">
        <v>4</v>
      </c>
      <c r="E261" s="5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 s="4">
        <v>20.543175999999999</v>
      </c>
      <c r="L261" s="2">
        <v>35020.543175999999</v>
      </c>
      <c r="M261" t="str">
        <f t="shared" si="24"/>
        <v>Oregon</v>
      </c>
      <c r="N261" t="str">
        <f t="shared" si="25"/>
        <v>F</v>
      </c>
      <c r="O261" t="str">
        <f t="shared" si="26"/>
        <v>Bachelor</v>
      </c>
      <c r="P261" t="str">
        <f t="shared" si="27"/>
        <v>Corporate</v>
      </c>
      <c r="Q261">
        <f t="shared" si="28"/>
        <v>4</v>
      </c>
      <c r="R261">
        <f t="shared" ca="1" si="29"/>
        <v>30</v>
      </c>
    </row>
    <row r="262" spans="1:18" x14ac:dyDescent="0.35">
      <c r="A262" t="s">
        <v>300</v>
      </c>
      <c r="B262" t="s">
        <v>48</v>
      </c>
      <c r="C262" t="s">
        <v>27</v>
      </c>
      <c r="D262" t="s">
        <v>4</v>
      </c>
      <c r="E262" s="5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 s="4">
        <v>385.11543699999999</v>
      </c>
      <c r="L262" s="2">
        <v>35385.115437</v>
      </c>
      <c r="M262" t="str">
        <f t="shared" si="24"/>
        <v>California</v>
      </c>
      <c r="N262" t="str">
        <f t="shared" si="25"/>
        <v>M</v>
      </c>
      <c r="O262" t="str">
        <f t="shared" si="26"/>
        <v>Bachelor</v>
      </c>
      <c r="P262" t="str">
        <f t="shared" si="27"/>
        <v>Personal</v>
      </c>
      <c r="Q262">
        <f t="shared" si="28"/>
        <v>4</v>
      </c>
      <c r="R262">
        <f t="shared" ca="1" si="29"/>
        <v>29</v>
      </c>
    </row>
    <row r="263" spans="1:18" x14ac:dyDescent="0.35">
      <c r="A263" t="s">
        <v>301</v>
      </c>
      <c r="B263" t="s">
        <v>48</v>
      </c>
      <c r="C263" t="s">
        <v>21</v>
      </c>
      <c r="D263" t="s">
        <v>35</v>
      </c>
      <c r="E263" s="5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 s="4">
        <v>140.16503499999999</v>
      </c>
      <c r="L263" s="2">
        <v>35140.165034999998</v>
      </c>
      <c r="M263" t="str">
        <f t="shared" si="24"/>
        <v>California</v>
      </c>
      <c r="N263" t="str">
        <f t="shared" si="25"/>
        <v>F</v>
      </c>
      <c r="O263" t="str">
        <f t="shared" si="26"/>
        <v>College</v>
      </c>
      <c r="P263" t="str">
        <f t="shared" si="27"/>
        <v>Personal</v>
      </c>
      <c r="Q263">
        <f t="shared" si="28"/>
        <v>4</v>
      </c>
      <c r="R263">
        <f t="shared" ca="1" si="29"/>
        <v>30</v>
      </c>
    </row>
    <row r="264" spans="1:18" x14ac:dyDescent="0.35">
      <c r="A264" t="s">
        <v>302</v>
      </c>
      <c r="B264" t="s">
        <v>5</v>
      </c>
      <c r="C264" t="s">
        <v>21</v>
      </c>
      <c r="D264" t="s">
        <v>35</v>
      </c>
      <c r="E264" s="5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 s="4">
        <v>326.39999999999998</v>
      </c>
      <c r="L264" s="2">
        <v>35326.400000000001</v>
      </c>
      <c r="M264" t="str">
        <f t="shared" si="24"/>
        <v>Arizona</v>
      </c>
      <c r="N264" t="str">
        <f t="shared" si="25"/>
        <v>F</v>
      </c>
      <c r="O264" t="str">
        <f t="shared" si="26"/>
        <v>College</v>
      </c>
      <c r="P264" t="str">
        <f t="shared" si="27"/>
        <v>Personal</v>
      </c>
      <c r="Q264">
        <f t="shared" si="28"/>
        <v>4</v>
      </c>
      <c r="R264">
        <f t="shared" ca="1" si="29"/>
        <v>29</v>
      </c>
    </row>
    <row r="265" spans="1:18" x14ac:dyDescent="0.35">
      <c r="A265" t="s">
        <v>303</v>
      </c>
      <c r="B265" t="s">
        <v>5</v>
      </c>
      <c r="C265" t="s">
        <v>27</v>
      </c>
      <c r="D265" t="s">
        <v>31</v>
      </c>
      <c r="E265" s="5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 s="4">
        <v>321.60000000000002</v>
      </c>
      <c r="L265" s="2">
        <v>35321.599999999999</v>
      </c>
      <c r="M265" t="str">
        <f t="shared" si="24"/>
        <v>Arizona</v>
      </c>
      <c r="N265" t="str">
        <f t="shared" si="25"/>
        <v>M</v>
      </c>
      <c r="O265" t="str">
        <f t="shared" si="26"/>
        <v>High School or Below</v>
      </c>
      <c r="P265" t="str">
        <f t="shared" si="27"/>
        <v>Personal</v>
      </c>
      <c r="Q265">
        <f t="shared" si="28"/>
        <v>4</v>
      </c>
      <c r="R265">
        <f t="shared" ca="1" si="29"/>
        <v>29</v>
      </c>
    </row>
    <row r="266" spans="1:18" x14ac:dyDescent="0.35">
      <c r="A266" t="s">
        <v>304</v>
      </c>
      <c r="B266" t="s">
        <v>48</v>
      </c>
      <c r="C266" t="s">
        <v>27</v>
      </c>
      <c r="D266" t="s">
        <v>4</v>
      </c>
      <c r="E266" s="5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 s="4">
        <v>398.4</v>
      </c>
      <c r="L266" s="2">
        <v>35398.400000000001</v>
      </c>
      <c r="M266" t="str">
        <f t="shared" si="24"/>
        <v>California</v>
      </c>
      <c r="N266" t="str">
        <f t="shared" si="25"/>
        <v>M</v>
      </c>
      <c r="O266" t="str">
        <f t="shared" si="26"/>
        <v>Bachelor</v>
      </c>
      <c r="P266" t="str">
        <f t="shared" si="27"/>
        <v>Personal</v>
      </c>
      <c r="Q266">
        <f t="shared" si="28"/>
        <v>4</v>
      </c>
      <c r="R266">
        <f t="shared" ca="1" si="29"/>
        <v>29</v>
      </c>
    </row>
    <row r="267" spans="1:18" x14ac:dyDescent="0.3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 s="4">
        <v>102.879769</v>
      </c>
      <c r="L267" s="2">
        <v>35102.879768999999</v>
      </c>
      <c r="M267" t="str">
        <f t="shared" si="24"/>
        <v>Oregon</v>
      </c>
      <c r="N267" t="str">
        <f t="shared" si="25"/>
        <v>M</v>
      </c>
      <c r="O267" t="str">
        <f t="shared" si="26"/>
        <v>College</v>
      </c>
      <c r="P267" t="str">
        <f t="shared" si="27"/>
        <v>Corporate</v>
      </c>
      <c r="Q267">
        <f t="shared" si="28"/>
        <v>4</v>
      </c>
      <c r="R267">
        <f t="shared" ca="1" si="29"/>
        <v>30</v>
      </c>
    </row>
    <row r="268" spans="1:18" x14ac:dyDescent="0.35">
      <c r="A268" t="s">
        <v>306</v>
      </c>
      <c r="B268" t="s">
        <v>5</v>
      </c>
      <c r="C268" t="s">
        <v>21</v>
      </c>
      <c r="D268" t="s">
        <v>2</v>
      </c>
      <c r="E268" s="5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 s="4">
        <v>56.868288999999997</v>
      </c>
      <c r="L268" s="2">
        <v>35056.868288999998</v>
      </c>
      <c r="M268" t="str">
        <f t="shared" si="24"/>
        <v>Arizona</v>
      </c>
      <c r="N268" t="str">
        <f t="shared" si="25"/>
        <v>F</v>
      </c>
      <c r="O268" t="str">
        <f t="shared" si="26"/>
        <v>Master</v>
      </c>
      <c r="P268" t="str">
        <f t="shared" si="27"/>
        <v>Corporate</v>
      </c>
      <c r="Q268">
        <f t="shared" si="28"/>
        <v>4</v>
      </c>
      <c r="R268">
        <f t="shared" ca="1" si="29"/>
        <v>30</v>
      </c>
    </row>
    <row r="269" spans="1:18" x14ac:dyDescent="0.35">
      <c r="A269" t="s">
        <v>307</v>
      </c>
      <c r="B269" t="s">
        <v>5</v>
      </c>
      <c r="C269" t="s">
        <v>21</v>
      </c>
      <c r="D269" t="s">
        <v>4</v>
      </c>
      <c r="E269" s="5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 s="4">
        <v>463.158502</v>
      </c>
      <c r="L269" s="2">
        <v>35463.158501999998</v>
      </c>
      <c r="M269" t="str">
        <f t="shared" si="24"/>
        <v>Arizona</v>
      </c>
      <c r="N269" t="str">
        <f t="shared" si="25"/>
        <v>F</v>
      </c>
      <c r="O269" t="str">
        <f t="shared" si="26"/>
        <v>Bachelor</v>
      </c>
      <c r="P269" t="str">
        <f t="shared" si="27"/>
        <v>Personal</v>
      </c>
      <c r="Q269">
        <f t="shared" si="28"/>
        <v>2</v>
      </c>
      <c r="R269">
        <f t="shared" ca="1" si="29"/>
        <v>29</v>
      </c>
    </row>
    <row r="270" spans="1:18" x14ac:dyDescent="0.35">
      <c r="A270" t="s">
        <v>308</v>
      </c>
      <c r="B270" t="s">
        <v>48</v>
      </c>
      <c r="C270" t="s">
        <v>27</v>
      </c>
      <c r="D270" t="s">
        <v>35</v>
      </c>
      <c r="E270" s="5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 s="4">
        <v>205.44406599999999</v>
      </c>
      <c r="L270" s="2">
        <v>35205.444065999996</v>
      </c>
      <c r="M270" t="str">
        <f t="shared" si="24"/>
        <v>California</v>
      </c>
      <c r="N270" t="str">
        <f t="shared" si="25"/>
        <v>M</v>
      </c>
      <c r="O270" t="str">
        <f t="shared" si="26"/>
        <v>College</v>
      </c>
      <c r="P270" t="str">
        <f t="shared" si="27"/>
        <v>Corporate</v>
      </c>
      <c r="Q270">
        <f t="shared" si="28"/>
        <v>4</v>
      </c>
      <c r="R270">
        <f t="shared" ca="1" si="29"/>
        <v>30</v>
      </c>
    </row>
    <row r="271" spans="1:18" x14ac:dyDescent="0.35">
      <c r="A271" t="s">
        <v>309</v>
      </c>
      <c r="B271" t="s">
        <v>5</v>
      </c>
      <c r="C271" t="s">
        <v>21</v>
      </c>
      <c r="D271" t="s">
        <v>31</v>
      </c>
      <c r="E271" s="5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 s="4">
        <v>741.6</v>
      </c>
      <c r="L271" s="2">
        <v>35741.599999999999</v>
      </c>
      <c r="M271" t="str">
        <f t="shared" si="24"/>
        <v>Arizona</v>
      </c>
      <c r="N271" t="str">
        <f t="shared" si="25"/>
        <v>F</v>
      </c>
      <c r="O271" t="str">
        <f t="shared" si="26"/>
        <v>High School or Below</v>
      </c>
      <c r="P271" t="str">
        <f t="shared" si="27"/>
        <v>Corporate</v>
      </c>
      <c r="Q271">
        <f t="shared" si="28"/>
        <v>2</v>
      </c>
      <c r="R271">
        <f t="shared" ca="1" si="29"/>
        <v>28</v>
      </c>
    </row>
    <row r="272" spans="1:18" x14ac:dyDescent="0.35">
      <c r="A272" t="s">
        <v>310</v>
      </c>
      <c r="B272" t="s">
        <v>23</v>
      </c>
      <c r="C272" t="s">
        <v>21</v>
      </c>
      <c r="D272" t="s">
        <v>2</v>
      </c>
      <c r="E272" s="5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 s="4">
        <v>56.371966999999998</v>
      </c>
      <c r="L272" s="2">
        <v>35056.371966999999</v>
      </c>
      <c r="M272" t="str">
        <f t="shared" si="24"/>
        <v>Nevada</v>
      </c>
      <c r="N272" t="str">
        <f t="shared" si="25"/>
        <v>F</v>
      </c>
      <c r="O272" t="str">
        <f t="shared" si="26"/>
        <v>Master</v>
      </c>
      <c r="P272" t="str">
        <f t="shared" si="27"/>
        <v>Personal</v>
      </c>
      <c r="Q272">
        <f t="shared" si="28"/>
        <v>2</v>
      </c>
      <c r="R272">
        <f t="shared" ca="1" si="29"/>
        <v>30</v>
      </c>
    </row>
    <row r="273" spans="1:18" x14ac:dyDescent="0.35">
      <c r="A273" t="s">
        <v>311</v>
      </c>
      <c r="B273" t="s">
        <v>102</v>
      </c>
      <c r="C273" t="s">
        <v>27</v>
      </c>
      <c r="D273" t="s">
        <v>31</v>
      </c>
      <c r="E273" s="5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 s="4">
        <v>813.6</v>
      </c>
      <c r="L273" s="2">
        <v>35813.599999999999</v>
      </c>
      <c r="M273" t="str">
        <f t="shared" si="24"/>
        <v>Washington</v>
      </c>
      <c r="N273" t="str">
        <f t="shared" si="25"/>
        <v>M</v>
      </c>
      <c r="O273" t="str">
        <f t="shared" si="26"/>
        <v>High School or Below</v>
      </c>
      <c r="P273" t="str">
        <f t="shared" si="27"/>
        <v>Personal</v>
      </c>
      <c r="Q273">
        <f t="shared" si="28"/>
        <v>4</v>
      </c>
      <c r="R273">
        <f t="shared" ca="1" si="29"/>
        <v>28</v>
      </c>
    </row>
    <row r="274" spans="1:18" x14ac:dyDescent="0.3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 s="4">
        <v>494.4</v>
      </c>
      <c r="L274" s="2">
        <v>35494.400000000001</v>
      </c>
      <c r="M274" t="str">
        <f t="shared" si="24"/>
        <v>Oregon</v>
      </c>
      <c r="N274" t="str">
        <f t="shared" si="25"/>
        <v>M</v>
      </c>
      <c r="O274" t="str">
        <f t="shared" si="26"/>
        <v>High School or Below</v>
      </c>
      <c r="P274" t="str">
        <f t="shared" si="27"/>
        <v>Personal</v>
      </c>
      <c r="Q274">
        <f t="shared" si="28"/>
        <v>4</v>
      </c>
      <c r="R274">
        <f t="shared" ca="1" si="29"/>
        <v>29</v>
      </c>
    </row>
    <row r="275" spans="1:18" x14ac:dyDescent="0.35">
      <c r="A275" t="s">
        <v>313</v>
      </c>
      <c r="B275" t="s">
        <v>5</v>
      </c>
      <c r="C275" t="s">
        <v>21</v>
      </c>
      <c r="D275" t="s">
        <v>31</v>
      </c>
      <c r="E275" s="5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 s="4">
        <v>795.86407899999995</v>
      </c>
      <c r="L275" s="2">
        <v>35795.864078999999</v>
      </c>
      <c r="M275" t="str">
        <f t="shared" si="24"/>
        <v>Arizona</v>
      </c>
      <c r="N275" t="str">
        <f t="shared" si="25"/>
        <v>F</v>
      </c>
      <c r="O275" t="str">
        <f t="shared" si="26"/>
        <v>High School or Below</v>
      </c>
      <c r="P275" t="str">
        <f t="shared" si="27"/>
        <v>Personal</v>
      </c>
      <c r="Q275">
        <f t="shared" si="28"/>
        <v>2</v>
      </c>
      <c r="R275">
        <f t="shared" ca="1" si="29"/>
        <v>28</v>
      </c>
    </row>
    <row r="276" spans="1:18" x14ac:dyDescent="0.35">
      <c r="A276" t="s">
        <v>314</v>
      </c>
      <c r="B276" t="s">
        <v>102</v>
      </c>
      <c r="C276" t="s">
        <v>21</v>
      </c>
      <c r="D276" t="s">
        <v>4</v>
      </c>
      <c r="E276" s="5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 s="4">
        <v>614.4</v>
      </c>
      <c r="L276" s="2">
        <v>35614.400000000001</v>
      </c>
      <c r="M276" t="str">
        <f t="shared" si="24"/>
        <v>Washington</v>
      </c>
      <c r="N276" t="str">
        <f t="shared" si="25"/>
        <v>F</v>
      </c>
      <c r="O276" t="str">
        <f t="shared" si="26"/>
        <v>Bachelor</v>
      </c>
      <c r="P276" t="str">
        <f t="shared" si="27"/>
        <v>Personal</v>
      </c>
      <c r="Q276">
        <f t="shared" si="28"/>
        <v>4</v>
      </c>
      <c r="R276">
        <f t="shared" ca="1" si="29"/>
        <v>29</v>
      </c>
    </row>
    <row r="277" spans="1:18" x14ac:dyDescent="0.35">
      <c r="A277" t="s">
        <v>315</v>
      </c>
      <c r="B277" t="s">
        <v>33</v>
      </c>
      <c r="C277" t="s">
        <v>27</v>
      </c>
      <c r="D277" t="s">
        <v>2</v>
      </c>
      <c r="E277" s="5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 s="4">
        <v>72.438681000000003</v>
      </c>
      <c r="L277" s="2">
        <v>35072.438681</v>
      </c>
      <c r="M277" t="str">
        <f t="shared" si="24"/>
        <v>Oregon</v>
      </c>
      <c r="N277" t="str">
        <f t="shared" si="25"/>
        <v>M</v>
      </c>
      <c r="O277" t="str">
        <f t="shared" si="26"/>
        <v>Master</v>
      </c>
      <c r="P277" t="str">
        <f t="shared" si="27"/>
        <v>Special</v>
      </c>
      <c r="Q277">
        <f t="shared" si="28"/>
        <v>2</v>
      </c>
      <c r="R277">
        <f t="shared" ca="1" si="29"/>
        <v>30</v>
      </c>
    </row>
    <row r="278" spans="1:18" x14ac:dyDescent="0.35">
      <c r="A278" t="s">
        <v>316</v>
      </c>
      <c r="B278" t="s">
        <v>5</v>
      </c>
      <c r="C278" t="s">
        <v>27</v>
      </c>
      <c r="D278" t="s">
        <v>35</v>
      </c>
      <c r="E278" s="5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 s="4">
        <v>532.79999999999995</v>
      </c>
      <c r="L278" s="2">
        <v>35532.800000000003</v>
      </c>
      <c r="M278" t="str">
        <f t="shared" si="24"/>
        <v>Arizona</v>
      </c>
      <c r="N278" t="str">
        <f t="shared" si="25"/>
        <v>M</v>
      </c>
      <c r="O278" t="str">
        <f t="shared" si="26"/>
        <v>College</v>
      </c>
      <c r="P278" t="str">
        <f t="shared" si="27"/>
        <v>Corporate</v>
      </c>
      <c r="Q278">
        <f t="shared" si="28"/>
        <v>4</v>
      </c>
      <c r="R278">
        <f t="shared" ca="1" si="29"/>
        <v>29</v>
      </c>
    </row>
    <row r="279" spans="1:18" x14ac:dyDescent="0.35">
      <c r="A279" t="s">
        <v>317</v>
      </c>
      <c r="B279" t="s">
        <v>5</v>
      </c>
      <c r="C279" t="s">
        <v>21</v>
      </c>
      <c r="D279" t="s">
        <v>31</v>
      </c>
      <c r="E279" s="5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 s="4">
        <v>67.881546</v>
      </c>
      <c r="L279" s="2">
        <v>35067.881545999997</v>
      </c>
      <c r="M279" t="str">
        <f t="shared" si="24"/>
        <v>Arizona</v>
      </c>
      <c r="N279" t="str">
        <f t="shared" si="25"/>
        <v>F</v>
      </c>
      <c r="O279" t="str">
        <f t="shared" si="26"/>
        <v>High School or Below</v>
      </c>
      <c r="P279" t="str">
        <f t="shared" si="27"/>
        <v>Personal</v>
      </c>
      <c r="Q279">
        <f t="shared" si="28"/>
        <v>4</v>
      </c>
      <c r="R279">
        <f t="shared" ca="1" si="29"/>
        <v>30</v>
      </c>
    </row>
    <row r="280" spans="1:18" x14ac:dyDescent="0.35">
      <c r="A280" t="s">
        <v>318</v>
      </c>
      <c r="B280" t="s">
        <v>48</v>
      </c>
      <c r="C280" t="s">
        <v>27</v>
      </c>
      <c r="D280" t="s">
        <v>35</v>
      </c>
      <c r="E280" s="5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 s="4">
        <v>402.63682899999998</v>
      </c>
      <c r="L280" s="2">
        <v>35402.636829000003</v>
      </c>
      <c r="M280" t="str">
        <f t="shared" si="24"/>
        <v>California</v>
      </c>
      <c r="N280" t="str">
        <f t="shared" si="25"/>
        <v>M</v>
      </c>
      <c r="O280" t="str">
        <f t="shared" si="26"/>
        <v>College</v>
      </c>
      <c r="P280" t="str">
        <f t="shared" si="27"/>
        <v>Personal</v>
      </c>
      <c r="Q280">
        <f t="shared" si="28"/>
        <v>2</v>
      </c>
      <c r="R280">
        <f t="shared" ca="1" si="29"/>
        <v>29</v>
      </c>
    </row>
    <row r="281" spans="1:18" x14ac:dyDescent="0.35">
      <c r="A281" t="s">
        <v>319</v>
      </c>
      <c r="B281" t="s">
        <v>33</v>
      </c>
      <c r="C281" t="s">
        <v>21</v>
      </c>
      <c r="D281" t="s">
        <v>31</v>
      </c>
      <c r="E281" s="5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 s="4">
        <v>641.38861599999996</v>
      </c>
      <c r="L281" s="2">
        <v>35641.388615999997</v>
      </c>
      <c r="M281" t="str">
        <f t="shared" si="24"/>
        <v>Oregon</v>
      </c>
      <c r="N281" t="str">
        <f t="shared" si="25"/>
        <v>F</v>
      </c>
      <c r="O281" t="str">
        <f t="shared" si="26"/>
        <v>High School or Below</v>
      </c>
      <c r="P281" t="str">
        <f t="shared" si="27"/>
        <v>Personal</v>
      </c>
      <c r="Q281">
        <f t="shared" si="28"/>
        <v>2</v>
      </c>
      <c r="R281">
        <f t="shared" ca="1" si="29"/>
        <v>29</v>
      </c>
    </row>
    <row r="282" spans="1:18" x14ac:dyDescent="0.3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 s="4">
        <v>342.48117300000001</v>
      </c>
      <c r="L282" s="2">
        <v>35342.481173</v>
      </c>
      <c r="M282" t="str">
        <f t="shared" si="24"/>
        <v>Nevada</v>
      </c>
      <c r="N282" t="str">
        <f t="shared" si="25"/>
        <v>M</v>
      </c>
      <c r="O282" t="str">
        <f t="shared" si="26"/>
        <v>College</v>
      </c>
      <c r="P282" t="str">
        <f t="shared" si="27"/>
        <v>Personal</v>
      </c>
      <c r="Q282">
        <f t="shared" si="28"/>
        <v>4</v>
      </c>
      <c r="R282">
        <f t="shared" ca="1" si="29"/>
        <v>29</v>
      </c>
    </row>
    <row r="283" spans="1:18" x14ac:dyDescent="0.35">
      <c r="A283" t="s">
        <v>321</v>
      </c>
      <c r="B283" t="s">
        <v>48</v>
      </c>
      <c r="C283" t="s">
        <v>27</v>
      </c>
      <c r="D283" t="s">
        <v>4</v>
      </c>
      <c r="E283" s="5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 s="4">
        <v>331.2</v>
      </c>
      <c r="L283" s="2">
        <v>35331.199999999997</v>
      </c>
      <c r="M283" t="str">
        <f t="shared" si="24"/>
        <v>California</v>
      </c>
      <c r="N283" t="str">
        <f t="shared" si="25"/>
        <v>M</v>
      </c>
      <c r="O283" t="str">
        <f t="shared" si="26"/>
        <v>Bachelor</v>
      </c>
      <c r="P283" t="str">
        <f t="shared" si="27"/>
        <v>Personal</v>
      </c>
      <c r="Q283">
        <f t="shared" si="28"/>
        <v>2</v>
      </c>
      <c r="R283">
        <f t="shared" ca="1" si="29"/>
        <v>29</v>
      </c>
    </row>
    <row r="284" spans="1:18" x14ac:dyDescent="0.3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 s="4">
        <v>340.8</v>
      </c>
      <c r="L284" s="2">
        <v>35340.800000000003</v>
      </c>
      <c r="M284" t="str">
        <f t="shared" si="24"/>
        <v>Nevada</v>
      </c>
      <c r="N284" t="str">
        <f t="shared" si="25"/>
        <v>M</v>
      </c>
      <c r="O284" t="str">
        <f t="shared" si="26"/>
        <v>High School or Below</v>
      </c>
      <c r="P284" t="str">
        <f t="shared" si="27"/>
        <v>Personal</v>
      </c>
      <c r="Q284">
        <f t="shared" si="28"/>
        <v>4</v>
      </c>
      <c r="R284">
        <f t="shared" ca="1" si="29"/>
        <v>29</v>
      </c>
    </row>
    <row r="285" spans="1:18" x14ac:dyDescent="0.35">
      <c r="A285" t="s">
        <v>323</v>
      </c>
      <c r="B285" t="s">
        <v>102</v>
      </c>
      <c r="C285" t="s">
        <v>27</v>
      </c>
      <c r="D285" t="s">
        <v>4</v>
      </c>
      <c r="E285" s="5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 s="4">
        <v>412.10193299999997</v>
      </c>
      <c r="L285" s="2">
        <v>35412.101932999998</v>
      </c>
      <c r="M285" t="str">
        <f t="shared" si="24"/>
        <v>Washington</v>
      </c>
      <c r="N285" t="str">
        <f t="shared" si="25"/>
        <v>M</v>
      </c>
      <c r="O285" t="str">
        <f t="shared" si="26"/>
        <v>Bachelor</v>
      </c>
      <c r="P285" t="str">
        <f t="shared" si="27"/>
        <v>Personal</v>
      </c>
      <c r="Q285">
        <f t="shared" si="28"/>
        <v>2</v>
      </c>
      <c r="R285">
        <f t="shared" ca="1" si="29"/>
        <v>29</v>
      </c>
    </row>
    <row r="286" spans="1:18" x14ac:dyDescent="0.35">
      <c r="A286" t="s">
        <v>324</v>
      </c>
      <c r="B286" t="s">
        <v>102</v>
      </c>
      <c r="C286" t="s">
        <v>27</v>
      </c>
      <c r="D286" t="s">
        <v>4</v>
      </c>
      <c r="E286" s="5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 s="4">
        <v>73.700573000000006</v>
      </c>
      <c r="L286" s="2">
        <v>35073.700573000002</v>
      </c>
      <c r="M286" t="str">
        <f t="shared" si="24"/>
        <v>Washington</v>
      </c>
      <c r="N286" t="str">
        <f t="shared" si="25"/>
        <v>M</v>
      </c>
      <c r="O286" t="str">
        <f t="shared" si="26"/>
        <v>Bachelor</v>
      </c>
      <c r="P286" t="str">
        <f t="shared" si="27"/>
        <v>Personal</v>
      </c>
      <c r="Q286">
        <f t="shared" si="28"/>
        <v>2</v>
      </c>
      <c r="R286">
        <f t="shared" ca="1" si="29"/>
        <v>30</v>
      </c>
    </row>
    <row r="287" spans="1:18" x14ac:dyDescent="0.35">
      <c r="A287" t="s">
        <v>325</v>
      </c>
      <c r="B287" t="s">
        <v>5</v>
      </c>
      <c r="C287" t="s">
        <v>21</v>
      </c>
      <c r="D287" t="s">
        <v>31</v>
      </c>
      <c r="E287" s="5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 s="4">
        <v>374.4</v>
      </c>
      <c r="L287" s="2">
        <v>35374.400000000001</v>
      </c>
      <c r="M287" t="str">
        <f t="shared" si="24"/>
        <v>Arizona</v>
      </c>
      <c r="N287" t="str">
        <f t="shared" si="25"/>
        <v>F</v>
      </c>
      <c r="O287" t="str">
        <f t="shared" si="26"/>
        <v>High School or Below</v>
      </c>
      <c r="P287" t="str">
        <f t="shared" si="27"/>
        <v>Personal</v>
      </c>
      <c r="Q287">
        <f t="shared" si="28"/>
        <v>4</v>
      </c>
      <c r="R287">
        <f t="shared" ca="1" si="29"/>
        <v>29</v>
      </c>
    </row>
    <row r="288" spans="1:18" x14ac:dyDescent="0.35">
      <c r="A288" t="s">
        <v>326</v>
      </c>
      <c r="B288" t="s">
        <v>5</v>
      </c>
      <c r="C288" t="s">
        <v>21</v>
      </c>
      <c r="D288" t="s">
        <v>4</v>
      </c>
      <c r="E288" s="5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 s="4">
        <v>350.4</v>
      </c>
      <c r="L288" s="2">
        <v>35350.400000000001</v>
      </c>
      <c r="M288" t="str">
        <f t="shared" si="24"/>
        <v>Arizona</v>
      </c>
      <c r="N288" t="str">
        <f t="shared" si="25"/>
        <v>F</v>
      </c>
      <c r="O288" t="str">
        <f t="shared" si="26"/>
        <v>Bachelor</v>
      </c>
      <c r="P288" t="str">
        <f t="shared" si="27"/>
        <v>Corporate</v>
      </c>
      <c r="Q288">
        <f t="shared" si="28"/>
        <v>4</v>
      </c>
      <c r="R288">
        <f t="shared" ca="1" si="29"/>
        <v>29</v>
      </c>
    </row>
    <row r="289" spans="1:18" x14ac:dyDescent="0.35">
      <c r="A289" t="s">
        <v>327</v>
      </c>
      <c r="B289" t="s">
        <v>48</v>
      </c>
      <c r="C289" t="s">
        <v>27</v>
      </c>
      <c r="D289" t="s">
        <v>4</v>
      </c>
      <c r="E289" s="5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 s="4">
        <v>345.6</v>
      </c>
      <c r="L289" s="2">
        <v>35345.599999999999</v>
      </c>
      <c r="M289" t="str">
        <f t="shared" si="24"/>
        <v>California</v>
      </c>
      <c r="N289" t="str">
        <f t="shared" si="25"/>
        <v>M</v>
      </c>
      <c r="O289" t="str">
        <f t="shared" si="26"/>
        <v>Bachelor</v>
      </c>
      <c r="P289" t="str">
        <f t="shared" si="27"/>
        <v>Personal</v>
      </c>
      <c r="Q289">
        <f t="shared" si="28"/>
        <v>4</v>
      </c>
      <c r="R289">
        <f t="shared" ca="1" si="29"/>
        <v>29</v>
      </c>
    </row>
    <row r="290" spans="1:18" x14ac:dyDescent="0.35">
      <c r="A290" t="s">
        <v>328</v>
      </c>
      <c r="B290" t="s">
        <v>48</v>
      </c>
      <c r="C290" t="s">
        <v>271</v>
      </c>
      <c r="D290" t="s">
        <v>31</v>
      </c>
      <c r="E290" s="5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 s="4">
        <v>722.02474199999995</v>
      </c>
      <c r="L290" s="2">
        <v>35722.024742000001</v>
      </c>
      <c r="M290" t="str">
        <f t="shared" si="24"/>
        <v>California</v>
      </c>
      <c r="N290" t="str">
        <f t="shared" si="25"/>
        <v>M</v>
      </c>
      <c r="O290" t="str">
        <f t="shared" si="26"/>
        <v>High School or Below</v>
      </c>
      <c r="P290" t="str">
        <f t="shared" si="27"/>
        <v>Personal</v>
      </c>
      <c r="Q290">
        <f t="shared" si="28"/>
        <v>2</v>
      </c>
      <c r="R290">
        <f t="shared" ca="1" si="29"/>
        <v>28</v>
      </c>
    </row>
    <row r="291" spans="1:18" x14ac:dyDescent="0.35">
      <c r="A291" t="s">
        <v>329</v>
      </c>
      <c r="B291" t="s">
        <v>102</v>
      </c>
      <c r="C291" t="s">
        <v>271</v>
      </c>
      <c r="D291" t="s">
        <v>35</v>
      </c>
      <c r="E291" s="5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 s="4">
        <v>259.36111699999998</v>
      </c>
      <c r="L291" s="2">
        <v>35259.361117</v>
      </c>
      <c r="M291" t="str">
        <f t="shared" si="24"/>
        <v>Washington</v>
      </c>
      <c r="N291" t="str">
        <f t="shared" si="25"/>
        <v>M</v>
      </c>
      <c r="O291" t="str">
        <f t="shared" si="26"/>
        <v>College</v>
      </c>
      <c r="P291" t="str">
        <f t="shared" si="27"/>
        <v>Personal</v>
      </c>
      <c r="Q291">
        <f t="shared" si="28"/>
        <v>4</v>
      </c>
      <c r="R291">
        <f t="shared" ca="1" si="29"/>
        <v>30</v>
      </c>
    </row>
    <row r="292" spans="1:18" x14ac:dyDescent="0.35">
      <c r="A292" t="s">
        <v>330</v>
      </c>
      <c r="B292" t="s">
        <v>33</v>
      </c>
      <c r="C292" t="s">
        <v>21</v>
      </c>
      <c r="D292" t="s">
        <v>4</v>
      </c>
      <c r="E292" s="5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 s="4">
        <v>537.6</v>
      </c>
      <c r="L292" s="2">
        <v>35537.599999999999</v>
      </c>
      <c r="M292" t="str">
        <f t="shared" si="24"/>
        <v>Oregon</v>
      </c>
      <c r="N292" t="str">
        <f t="shared" si="25"/>
        <v>F</v>
      </c>
      <c r="O292" t="str">
        <f t="shared" si="26"/>
        <v>Bachelor</v>
      </c>
      <c r="P292" t="str">
        <f t="shared" si="27"/>
        <v>Personal</v>
      </c>
      <c r="Q292">
        <f t="shared" si="28"/>
        <v>4</v>
      </c>
      <c r="R292">
        <f t="shared" ca="1" si="29"/>
        <v>29</v>
      </c>
    </row>
    <row r="293" spans="1:18" x14ac:dyDescent="0.35">
      <c r="A293" t="s">
        <v>331</v>
      </c>
      <c r="B293" t="s">
        <v>26</v>
      </c>
      <c r="C293" t="s">
        <v>271</v>
      </c>
      <c r="D293" t="s">
        <v>31</v>
      </c>
      <c r="E293" s="5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 s="4">
        <v>396.295614</v>
      </c>
      <c r="L293" s="2">
        <v>35396.295614000002</v>
      </c>
      <c r="M293" t="str">
        <f t="shared" si="24"/>
        <v>California</v>
      </c>
      <c r="N293" t="str">
        <f t="shared" si="25"/>
        <v>M</v>
      </c>
      <c r="O293" t="str">
        <f t="shared" si="26"/>
        <v>High School or Below</v>
      </c>
      <c r="P293" t="str">
        <f t="shared" si="27"/>
        <v>Personal</v>
      </c>
      <c r="Q293">
        <f t="shared" si="28"/>
        <v>4</v>
      </c>
      <c r="R293">
        <f t="shared" ca="1" si="29"/>
        <v>29</v>
      </c>
    </row>
    <row r="294" spans="1:18" x14ac:dyDescent="0.35">
      <c r="A294" t="s">
        <v>332</v>
      </c>
      <c r="B294" t="s">
        <v>33</v>
      </c>
      <c r="C294" t="s">
        <v>271</v>
      </c>
      <c r="D294" t="s">
        <v>2</v>
      </c>
      <c r="E294" s="5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 s="4">
        <v>358.28156200000001</v>
      </c>
      <c r="L294" s="2">
        <v>35358.281561999996</v>
      </c>
      <c r="M294" t="str">
        <f t="shared" si="24"/>
        <v>Oregon</v>
      </c>
      <c r="N294" t="str">
        <f t="shared" si="25"/>
        <v>M</v>
      </c>
      <c r="O294" t="str">
        <f t="shared" si="26"/>
        <v>Master</v>
      </c>
      <c r="P294" t="str">
        <f t="shared" si="27"/>
        <v>Personal</v>
      </c>
      <c r="Q294">
        <f t="shared" si="28"/>
        <v>2</v>
      </c>
      <c r="R294">
        <f t="shared" ca="1" si="29"/>
        <v>29</v>
      </c>
    </row>
    <row r="295" spans="1:18" x14ac:dyDescent="0.35">
      <c r="A295" t="s">
        <v>333</v>
      </c>
      <c r="B295" t="s">
        <v>5</v>
      </c>
      <c r="C295" t="s">
        <v>21</v>
      </c>
      <c r="D295" t="s">
        <v>4</v>
      </c>
      <c r="E295" s="5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 s="4">
        <v>653.38856399999997</v>
      </c>
      <c r="L295" s="2">
        <v>35653.388564000001</v>
      </c>
      <c r="M295" t="str">
        <f t="shared" si="24"/>
        <v>Arizona</v>
      </c>
      <c r="N295" t="str">
        <f t="shared" si="25"/>
        <v>F</v>
      </c>
      <c r="O295" t="str">
        <f t="shared" si="26"/>
        <v>Bachelor</v>
      </c>
      <c r="P295" t="str">
        <f t="shared" si="27"/>
        <v>Corporate</v>
      </c>
      <c r="Q295">
        <f t="shared" si="28"/>
        <v>4</v>
      </c>
      <c r="R295">
        <f t="shared" ca="1" si="29"/>
        <v>29</v>
      </c>
    </row>
    <row r="296" spans="1:18" x14ac:dyDescent="0.35">
      <c r="A296" t="s">
        <v>334</v>
      </c>
      <c r="B296" t="s">
        <v>33</v>
      </c>
      <c r="C296" t="s">
        <v>21</v>
      </c>
      <c r="D296" t="s">
        <v>31</v>
      </c>
      <c r="E296" s="5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 s="4">
        <v>121.032372</v>
      </c>
      <c r="L296" s="2">
        <v>35121.032372000001</v>
      </c>
      <c r="M296" t="str">
        <f t="shared" si="24"/>
        <v>Oregon</v>
      </c>
      <c r="N296" t="str">
        <f t="shared" si="25"/>
        <v>F</v>
      </c>
      <c r="O296" t="str">
        <f t="shared" si="26"/>
        <v>High School or Below</v>
      </c>
      <c r="P296" t="str">
        <f t="shared" si="27"/>
        <v>Personal</v>
      </c>
      <c r="Q296">
        <f t="shared" si="28"/>
        <v>2</v>
      </c>
      <c r="R296">
        <f t="shared" ca="1" si="29"/>
        <v>30</v>
      </c>
    </row>
    <row r="297" spans="1:18" x14ac:dyDescent="0.35">
      <c r="A297" t="s">
        <v>335</v>
      </c>
      <c r="B297" t="s">
        <v>5</v>
      </c>
      <c r="C297" t="s">
        <v>271</v>
      </c>
      <c r="D297" t="s">
        <v>80</v>
      </c>
      <c r="E297" s="5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 s="4">
        <v>92.813395999999997</v>
      </c>
      <c r="L297" s="2">
        <v>35092.813395999998</v>
      </c>
      <c r="M297" t="str">
        <f t="shared" si="24"/>
        <v>Arizona</v>
      </c>
      <c r="N297" t="str">
        <f t="shared" si="25"/>
        <v>M</v>
      </c>
      <c r="O297" t="str">
        <f t="shared" si="26"/>
        <v>Doctor</v>
      </c>
      <c r="P297" t="str">
        <f t="shared" si="27"/>
        <v>Special</v>
      </c>
      <c r="Q297">
        <f t="shared" si="28"/>
        <v>4</v>
      </c>
      <c r="R297">
        <f t="shared" ca="1" si="29"/>
        <v>30</v>
      </c>
    </row>
    <row r="298" spans="1:18" x14ac:dyDescent="0.35">
      <c r="A298" t="s">
        <v>336</v>
      </c>
      <c r="B298" t="s">
        <v>26</v>
      </c>
      <c r="C298" t="s">
        <v>271</v>
      </c>
      <c r="D298" t="s">
        <v>35</v>
      </c>
      <c r="E298" s="5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 s="4">
        <v>528</v>
      </c>
      <c r="L298" s="2">
        <v>35528</v>
      </c>
      <c r="M298" t="str">
        <f t="shared" si="24"/>
        <v>California</v>
      </c>
      <c r="N298" t="str">
        <f t="shared" si="25"/>
        <v>M</v>
      </c>
      <c r="O298" t="str">
        <f t="shared" si="26"/>
        <v>College</v>
      </c>
      <c r="P298" t="str">
        <f t="shared" si="27"/>
        <v>Personal</v>
      </c>
      <c r="Q298">
        <f t="shared" si="28"/>
        <v>4</v>
      </c>
      <c r="R298">
        <f t="shared" ca="1" si="29"/>
        <v>29</v>
      </c>
    </row>
    <row r="299" spans="1:18" x14ac:dyDescent="0.35">
      <c r="A299" t="s">
        <v>337</v>
      </c>
      <c r="B299" t="s">
        <v>102</v>
      </c>
      <c r="C299" t="s">
        <v>338</v>
      </c>
      <c r="D299" t="s">
        <v>4</v>
      </c>
      <c r="E299" s="5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 s="4">
        <v>159.636956</v>
      </c>
      <c r="L299" s="2">
        <v>35159.636956000002</v>
      </c>
      <c r="M299" t="str">
        <f t="shared" si="24"/>
        <v>Washington</v>
      </c>
      <c r="N299" t="str">
        <f t="shared" si="25"/>
        <v>F</v>
      </c>
      <c r="O299" t="str">
        <f t="shared" si="26"/>
        <v>Bachelor</v>
      </c>
      <c r="P299" t="str">
        <f t="shared" si="27"/>
        <v>Special</v>
      </c>
      <c r="Q299">
        <f t="shared" si="28"/>
        <v>4</v>
      </c>
      <c r="R299">
        <f t="shared" ca="1" si="29"/>
        <v>30</v>
      </c>
    </row>
    <row r="300" spans="1:18" x14ac:dyDescent="0.35">
      <c r="A300" t="s">
        <v>339</v>
      </c>
      <c r="B300" t="s">
        <v>5</v>
      </c>
      <c r="C300" t="s">
        <v>271</v>
      </c>
      <c r="D300" t="s">
        <v>35</v>
      </c>
      <c r="E300" s="5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 s="4">
        <v>476.15695699999998</v>
      </c>
      <c r="L300" s="2">
        <v>35476.156956999999</v>
      </c>
      <c r="M300" t="str">
        <f t="shared" si="24"/>
        <v>Arizona</v>
      </c>
      <c r="N300" t="str">
        <f t="shared" si="25"/>
        <v>M</v>
      </c>
      <c r="O300" t="str">
        <f t="shared" si="26"/>
        <v>College</v>
      </c>
      <c r="P300" t="str">
        <f t="shared" si="27"/>
        <v>Personal</v>
      </c>
      <c r="Q300">
        <f t="shared" si="28"/>
        <v>4</v>
      </c>
      <c r="R300">
        <f t="shared" ca="1" si="29"/>
        <v>29</v>
      </c>
    </row>
    <row r="301" spans="1:18" x14ac:dyDescent="0.35">
      <c r="A301" t="s">
        <v>340</v>
      </c>
      <c r="B301" t="s">
        <v>33</v>
      </c>
      <c r="C301" t="s">
        <v>271</v>
      </c>
      <c r="D301" t="s">
        <v>31</v>
      </c>
      <c r="E301" s="5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 s="4">
        <v>727.2</v>
      </c>
      <c r="L301" s="2">
        <v>35727.199999999997</v>
      </c>
      <c r="M301" t="str">
        <f t="shared" si="24"/>
        <v>Oregon</v>
      </c>
      <c r="N301" t="str">
        <f t="shared" si="25"/>
        <v>M</v>
      </c>
      <c r="O301" t="str">
        <f t="shared" si="26"/>
        <v>High School or Below</v>
      </c>
      <c r="P301" t="str">
        <f t="shared" si="27"/>
        <v>Corporate</v>
      </c>
      <c r="Q301">
        <f t="shared" si="28"/>
        <v>4</v>
      </c>
      <c r="R301">
        <f t="shared" ca="1" si="29"/>
        <v>28</v>
      </c>
    </row>
    <row r="302" spans="1:18" x14ac:dyDescent="0.3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 s="4">
        <v>321.60000000000002</v>
      </c>
      <c r="L302" s="2">
        <v>35321.599999999999</v>
      </c>
      <c r="M302" t="str">
        <f t="shared" si="24"/>
        <v>California</v>
      </c>
      <c r="N302" t="str">
        <f t="shared" si="25"/>
        <v>M</v>
      </c>
      <c r="O302" t="str">
        <f t="shared" si="26"/>
        <v>College</v>
      </c>
      <c r="P302" t="str">
        <f t="shared" si="27"/>
        <v>Personal</v>
      </c>
      <c r="Q302">
        <f t="shared" si="28"/>
        <v>4</v>
      </c>
      <c r="R302">
        <f t="shared" ca="1" si="29"/>
        <v>29</v>
      </c>
    </row>
    <row r="303" spans="1:18" x14ac:dyDescent="0.35">
      <c r="A303" t="s">
        <v>342</v>
      </c>
      <c r="B303" t="s">
        <v>23</v>
      </c>
      <c r="C303" t="s">
        <v>27</v>
      </c>
      <c r="D303" t="s">
        <v>4</v>
      </c>
      <c r="E303" s="5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 s="4">
        <v>42.078344999999999</v>
      </c>
      <c r="L303" s="2">
        <v>35042.078345000002</v>
      </c>
      <c r="M303" t="str">
        <f t="shared" si="24"/>
        <v>Nevada</v>
      </c>
      <c r="N303" t="str">
        <f t="shared" si="25"/>
        <v>M</v>
      </c>
      <c r="O303" t="str">
        <f t="shared" si="26"/>
        <v>Bachelor</v>
      </c>
      <c r="P303" t="str">
        <f t="shared" si="27"/>
        <v>Corporate</v>
      </c>
      <c r="Q303">
        <f t="shared" si="28"/>
        <v>4</v>
      </c>
      <c r="R303">
        <f t="shared" ca="1" si="29"/>
        <v>30</v>
      </c>
    </row>
    <row r="304" spans="1:18" x14ac:dyDescent="0.3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 s="4">
        <v>561.6</v>
      </c>
      <c r="L304" s="2">
        <v>35561.599999999999</v>
      </c>
      <c r="M304" t="str">
        <f t="shared" si="24"/>
        <v>Oregon</v>
      </c>
      <c r="N304" t="str">
        <f t="shared" si="25"/>
        <v>M</v>
      </c>
      <c r="O304" t="str">
        <f t="shared" si="26"/>
        <v>High School or Below</v>
      </c>
      <c r="P304" t="str">
        <f t="shared" si="27"/>
        <v>Personal</v>
      </c>
      <c r="Q304">
        <f t="shared" si="28"/>
        <v>2</v>
      </c>
      <c r="R304">
        <f t="shared" ca="1" si="29"/>
        <v>29</v>
      </c>
    </row>
    <row r="305" spans="1:18" x14ac:dyDescent="0.35">
      <c r="A305" t="s">
        <v>344</v>
      </c>
      <c r="B305" t="s">
        <v>102</v>
      </c>
      <c r="C305" t="s">
        <v>21</v>
      </c>
      <c r="D305" t="s">
        <v>35</v>
      </c>
      <c r="E305" s="5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 s="4">
        <v>200.11606</v>
      </c>
      <c r="L305" s="2">
        <v>35200.11606</v>
      </c>
      <c r="M305" t="str">
        <f t="shared" si="24"/>
        <v>Washington</v>
      </c>
      <c r="N305" t="str">
        <f t="shared" si="25"/>
        <v>F</v>
      </c>
      <c r="O305" t="str">
        <f t="shared" si="26"/>
        <v>College</v>
      </c>
      <c r="P305" t="str">
        <f t="shared" si="27"/>
        <v>Personal</v>
      </c>
      <c r="Q305">
        <f t="shared" si="28"/>
        <v>4</v>
      </c>
      <c r="R305">
        <f t="shared" ca="1" si="29"/>
        <v>30</v>
      </c>
    </row>
    <row r="306" spans="1:18" x14ac:dyDescent="0.35">
      <c r="A306" t="s">
        <v>345</v>
      </c>
      <c r="B306" t="s">
        <v>33</v>
      </c>
      <c r="C306" t="s">
        <v>21</v>
      </c>
      <c r="D306" t="s">
        <v>4</v>
      </c>
      <c r="E306" s="5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 s="4">
        <v>676.94402300000002</v>
      </c>
      <c r="L306" s="2">
        <v>35676.944023000004</v>
      </c>
      <c r="M306" t="str">
        <f t="shared" si="24"/>
        <v>Oregon</v>
      </c>
      <c r="N306" t="str">
        <f t="shared" si="25"/>
        <v>F</v>
      </c>
      <c r="O306" t="str">
        <f t="shared" si="26"/>
        <v>Bachelor</v>
      </c>
      <c r="P306" t="str">
        <f t="shared" si="27"/>
        <v>Personal</v>
      </c>
      <c r="Q306">
        <f t="shared" si="28"/>
        <v>4</v>
      </c>
      <c r="R306">
        <f t="shared" ca="1" si="29"/>
        <v>29</v>
      </c>
    </row>
    <row r="307" spans="1:18" x14ac:dyDescent="0.35">
      <c r="A307" t="s">
        <v>346</v>
      </c>
      <c r="B307" t="s">
        <v>3</v>
      </c>
      <c r="C307" t="s">
        <v>27</v>
      </c>
      <c r="D307" t="s">
        <v>35</v>
      </c>
      <c r="E307" s="5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 s="4">
        <v>76.609295000000003</v>
      </c>
      <c r="L307" s="2">
        <v>35076.609295000002</v>
      </c>
      <c r="M307" t="str">
        <f t="shared" si="24"/>
        <v>Washington</v>
      </c>
      <c r="N307" t="str">
        <f t="shared" si="25"/>
        <v>M</v>
      </c>
      <c r="O307" t="str">
        <f t="shared" si="26"/>
        <v>College</v>
      </c>
      <c r="P307" t="str">
        <f t="shared" si="27"/>
        <v>Personal</v>
      </c>
      <c r="Q307">
        <f t="shared" si="28"/>
        <v>4</v>
      </c>
      <c r="R307">
        <f t="shared" ca="1" si="29"/>
        <v>30</v>
      </c>
    </row>
    <row r="308" spans="1:18" x14ac:dyDescent="0.35">
      <c r="A308" t="s">
        <v>347</v>
      </c>
      <c r="B308" t="s">
        <v>26</v>
      </c>
      <c r="C308" t="s">
        <v>27</v>
      </c>
      <c r="D308" t="s">
        <v>4</v>
      </c>
      <c r="E308" s="5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 s="4">
        <v>830.623064</v>
      </c>
      <c r="L308" s="2">
        <v>35830.623063999999</v>
      </c>
      <c r="M308" t="str">
        <f t="shared" si="24"/>
        <v>California</v>
      </c>
      <c r="N308" t="str">
        <f t="shared" si="25"/>
        <v>M</v>
      </c>
      <c r="O308" t="str">
        <f t="shared" si="26"/>
        <v>Bachelor</v>
      </c>
      <c r="P308" t="str">
        <f t="shared" si="27"/>
        <v>Corporate</v>
      </c>
      <c r="Q308">
        <f t="shared" si="28"/>
        <v>4</v>
      </c>
      <c r="R308">
        <f t="shared" ca="1" si="29"/>
        <v>28</v>
      </c>
    </row>
    <row r="309" spans="1:18" x14ac:dyDescent="0.3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 s="4">
        <v>580.47325899999998</v>
      </c>
      <c r="L309" s="2">
        <v>35580.473258999999</v>
      </c>
      <c r="M309" t="str">
        <f t="shared" si="24"/>
        <v>Oregon</v>
      </c>
      <c r="N309" t="str">
        <f t="shared" si="25"/>
        <v>M</v>
      </c>
      <c r="O309" t="str">
        <f t="shared" si="26"/>
        <v>College</v>
      </c>
      <c r="P309" t="str">
        <f t="shared" si="27"/>
        <v>Personal</v>
      </c>
      <c r="Q309">
        <f t="shared" si="28"/>
        <v>4</v>
      </c>
      <c r="R309">
        <f t="shared" ca="1" si="29"/>
        <v>29</v>
      </c>
    </row>
    <row r="310" spans="1:18" x14ac:dyDescent="0.35">
      <c r="A310" t="s">
        <v>349</v>
      </c>
      <c r="B310" t="s">
        <v>33</v>
      </c>
      <c r="C310" t="s">
        <v>21</v>
      </c>
      <c r="D310" t="s">
        <v>4</v>
      </c>
      <c r="E310" s="5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 s="4">
        <v>60.036682999999996</v>
      </c>
      <c r="L310" s="2">
        <v>35060.036682999998</v>
      </c>
      <c r="M310" t="str">
        <f t="shared" si="24"/>
        <v>Oregon</v>
      </c>
      <c r="N310" t="str">
        <f t="shared" si="25"/>
        <v>F</v>
      </c>
      <c r="O310" t="str">
        <f t="shared" si="26"/>
        <v>Bachelor</v>
      </c>
      <c r="P310" t="str">
        <f t="shared" si="27"/>
        <v>Personal</v>
      </c>
      <c r="Q310">
        <f t="shared" si="28"/>
        <v>4</v>
      </c>
      <c r="R310">
        <f t="shared" ca="1" si="29"/>
        <v>30</v>
      </c>
    </row>
    <row r="311" spans="1:18" x14ac:dyDescent="0.35">
      <c r="A311" t="s">
        <v>350</v>
      </c>
      <c r="B311" t="s">
        <v>26</v>
      </c>
      <c r="C311" t="s">
        <v>21</v>
      </c>
      <c r="D311" t="s">
        <v>4</v>
      </c>
      <c r="E311" s="5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 s="4">
        <v>321.60000000000002</v>
      </c>
      <c r="L311" s="2">
        <v>35321.599999999999</v>
      </c>
      <c r="M311" t="str">
        <f t="shared" si="24"/>
        <v>California</v>
      </c>
      <c r="N311" t="str">
        <f t="shared" si="25"/>
        <v>F</v>
      </c>
      <c r="O311" t="str">
        <f t="shared" si="26"/>
        <v>Bachelor</v>
      </c>
      <c r="P311" t="str">
        <f t="shared" si="27"/>
        <v>Corporate</v>
      </c>
      <c r="Q311">
        <f t="shared" si="28"/>
        <v>4</v>
      </c>
      <c r="R311">
        <f t="shared" ca="1" si="29"/>
        <v>29</v>
      </c>
    </row>
    <row r="312" spans="1:18" x14ac:dyDescent="0.35">
      <c r="A312" t="s">
        <v>351</v>
      </c>
      <c r="B312" t="s">
        <v>33</v>
      </c>
      <c r="C312" t="s">
        <v>27</v>
      </c>
      <c r="D312" t="s">
        <v>4</v>
      </c>
      <c r="E312" s="5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 s="4">
        <v>47.531010000000002</v>
      </c>
      <c r="L312" s="2">
        <v>35047.531009999999</v>
      </c>
      <c r="M312" t="str">
        <f t="shared" si="24"/>
        <v>Oregon</v>
      </c>
      <c r="N312" t="str">
        <f t="shared" si="25"/>
        <v>M</v>
      </c>
      <c r="O312" t="str">
        <f t="shared" si="26"/>
        <v>Bachelor</v>
      </c>
      <c r="P312" t="str">
        <f t="shared" si="27"/>
        <v>Personal</v>
      </c>
      <c r="Q312">
        <f t="shared" si="28"/>
        <v>4</v>
      </c>
      <c r="R312">
        <f t="shared" ca="1" si="29"/>
        <v>30</v>
      </c>
    </row>
    <row r="313" spans="1:18" x14ac:dyDescent="0.35">
      <c r="A313" t="s">
        <v>352</v>
      </c>
      <c r="B313" t="s">
        <v>33</v>
      </c>
      <c r="C313" t="s">
        <v>21</v>
      </c>
      <c r="D313" t="s">
        <v>31</v>
      </c>
      <c r="E313" s="5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 s="4">
        <v>303.87275199999999</v>
      </c>
      <c r="L313" s="2">
        <v>35303.872752000003</v>
      </c>
      <c r="M313" t="str">
        <f t="shared" si="24"/>
        <v>Oregon</v>
      </c>
      <c r="N313" t="str">
        <f t="shared" si="25"/>
        <v>F</v>
      </c>
      <c r="O313" t="str">
        <f t="shared" si="26"/>
        <v>High School or Below</v>
      </c>
      <c r="P313" t="str">
        <f t="shared" si="27"/>
        <v>Personal</v>
      </c>
      <c r="Q313">
        <f t="shared" si="28"/>
        <v>4</v>
      </c>
      <c r="R313">
        <f t="shared" ca="1" si="29"/>
        <v>30</v>
      </c>
    </row>
    <row r="314" spans="1:18" x14ac:dyDescent="0.3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 s="4">
        <v>100.62006700000001</v>
      </c>
      <c r="L314" s="2">
        <v>35100.620067000003</v>
      </c>
      <c r="M314" t="str">
        <f t="shared" si="24"/>
        <v>California</v>
      </c>
      <c r="N314" t="str">
        <f t="shared" si="25"/>
        <v>M</v>
      </c>
      <c r="O314" t="str">
        <f t="shared" si="26"/>
        <v>High School or Below</v>
      </c>
      <c r="P314" t="str">
        <f t="shared" si="27"/>
        <v>Corporate</v>
      </c>
      <c r="Q314">
        <f t="shared" si="28"/>
        <v>4</v>
      </c>
      <c r="R314">
        <f t="shared" ca="1" si="29"/>
        <v>30</v>
      </c>
    </row>
    <row r="315" spans="1:18" x14ac:dyDescent="0.35">
      <c r="A315" t="s">
        <v>354</v>
      </c>
      <c r="B315" t="s">
        <v>33</v>
      </c>
      <c r="C315" t="s">
        <v>21</v>
      </c>
      <c r="D315" t="s">
        <v>80</v>
      </c>
      <c r="E315" s="5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 s="4">
        <v>481.33989100000002</v>
      </c>
      <c r="L315" s="2">
        <v>35481.339891000003</v>
      </c>
      <c r="M315" t="str">
        <f t="shared" si="24"/>
        <v>Oregon</v>
      </c>
      <c r="N315" t="str">
        <f t="shared" si="25"/>
        <v>F</v>
      </c>
      <c r="O315" t="str">
        <f t="shared" si="26"/>
        <v>Doctor</v>
      </c>
      <c r="P315" t="str">
        <f t="shared" si="27"/>
        <v>Personal</v>
      </c>
      <c r="Q315">
        <f t="shared" si="28"/>
        <v>4</v>
      </c>
      <c r="R315">
        <f t="shared" ca="1" si="29"/>
        <v>29</v>
      </c>
    </row>
    <row r="316" spans="1:18" x14ac:dyDescent="0.35">
      <c r="A316" t="s">
        <v>355</v>
      </c>
      <c r="B316" t="s">
        <v>33</v>
      </c>
      <c r="C316" t="s">
        <v>21</v>
      </c>
      <c r="D316" t="s">
        <v>2</v>
      </c>
      <c r="E316" s="5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 s="4">
        <v>508.8</v>
      </c>
      <c r="L316" s="2">
        <v>35508.800000000003</v>
      </c>
      <c r="M316" t="str">
        <f t="shared" si="24"/>
        <v>Oregon</v>
      </c>
      <c r="N316" t="str">
        <f t="shared" si="25"/>
        <v>F</v>
      </c>
      <c r="O316" t="str">
        <f t="shared" si="26"/>
        <v>Master</v>
      </c>
      <c r="P316" t="str">
        <f t="shared" si="27"/>
        <v>Corporate</v>
      </c>
      <c r="Q316">
        <f t="shared" si="28"/>
        <v>4</v>
      </c>
      <c r="R316">
        <f t="shared" ca="1" si="29"/>
        <v>29</v>
      </c>
    </row>
    <row r="317" spans="1:18" x14ac:dyDescent="0.35">
      <c r="A317" t="s">
        <v>356</v>
      </c>
      <c r="B317" t="s">
        <v>33</v>
      </c>
      <c r="C317" t="s">
        <v>27</v>
      </c>
      <c r="D317" t="s">
        <v>4</v>
      </c>
      <c r="E317" s="5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 s="4">
        <v>1101.5999999999999</v>
      </c>
      <c r="L317" s="2">
        <v>36101.599999999999</v>
      </c>
      <c r="M317" t="str">
        <f t="shared" si="24"/>
        <v>Oregon</v>
      </c>
      <c r="N317" t="str">
        <f t="shared" si="25"/>
        <v>M</v>
      </c>
      <c r="O317" t="str">
        <f t="shared" si="26"/>
        <v>Bachelor</v>
      </c>
      <c r="P317" t="str">
        <f t="shared" si="27"/>
        <v>Personal</v>
      </c>
      <c r="Q317">
        <f t="shared" si="28"/>
        <v>4</v>
      </c>
      <c r="R317">
        <f t="shared" ca="1" si="29"/>
        <v>27</v>
      </c>
    </row>
    <row r="318" spans="1:18" x14ac:dyDescent="0.35">
      <c r="A318" t="s">
        <v>357</v>
      </c>
      <c r="B318" t="s">
        <v>33</v>
      </c>
      <c r="C318" t="s">
        <v>21</v>
      </c>
      <c r="D318" t="s">
        <v>35</v>
      </c>
      <c r="E318" s="5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 s="4">
        <v>86.320021999999994</v>
      </c>
      <c r="L318" s="2">
        <v>35086.320022</v>
      </c>
      <c r="M318" t="str">
        <f t="shared" si="24"/>
        <v>Oregon</v>
      </c>
      <c r="N318" t="str">
        <f t="shared" si="25"/>
        <v>F</v>
      </c>
      <c r="O318" t="str">
        <f t="shared" si="26"/>
        <v>College</v>
      </c>
      <c r="P318" t="str">
        <f t="shared" si="27"/>
        <v>Corporate</v>
      </c>
      <c r="Q318">
        <f t="shared" si="28"/>
        <v>4</v>
      </c>
      <c r="R318">
        <f t="shared" ca="1" si="29"/>
        <v>30</v>
      </c>
    </row>
    <row r="319" spans="1:18" x14ac:dyDescent="0.35">
      <c r="A319" t="s">
        <v>358</v>
      </c>
      <c r="B319" t="s">
        <v>26</v>
      </c>
      <c r="C319" t="s">
        <v>21</v>
      </c>
      <c r="D319" t="s">
        <v>4</v>
      </c>
      <c r="E319" s="5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 s="4">
        <v>470.4</v>
      </c>
      <c r="L319" s="2">
        <v>35470.400000000001</v>
      </c>
      <c r="M319" t="str">
        <f t="shared" si="24"/>
        <v>California</v>
      </c>
      <c r="N319" t="str">
        <f t="shared" si="25"/>
        <v>F</v>
      </c>
      <c r="O319" t="str">
        <f t="shared" si="26"/>
        <v>Bachelor</v>
      </c>
      <c r="P319" t="str">
        <f t="shared" si="27"/>
        <v>Personal</v>
      </c>
      <c r="Q319">
        <f t="shared" si="28"/>
        <v>2</v>
      </c>
      <c r="R319">
        <f t="shared" ca="1" si="29"/>
        <v>29</v>
      </c>
    </row>
    <row r="320" spans="1:18" x14ac:dyDescent="0.35">
      <c r="A320" t="s">
        <v>359</v>
      </c>
      <c r="B320" t="s">
        <v>26</v>
      </c>
      <c r="C320" t="s">
        <v>21</v>
      </c>
      <c r="D320" t="s">
        <v>4</v>
      </c>
      <c r="E320" s="5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 s="4">
        <v>667.2</v>
      </c>
      <c r="L320" s="2">
        <v>35667.199999999997</v>
      </c>
      <c r="M320" t="str">
        <f t="shared" si="24"/>
        <v>California</v>
      </c>
      <c r="N320" t="str">
        <f t="shared" si="25"/>
        <v>F</v>
      </c>
      <c r="O320" t="str">
        <f t="shared" si="26"/>
        <v>Bachelor</v>
      </c>
      <c r="P320" t="str">
        <f t="shared" si="27"/>
        <v>Personal</v>
      </c>
      <c r="Q320">
        <f t="shared" si="28"/>
        <v>4</v>
      </c>
      <c r="R320">
        <f t="shared" ca="1" si="29"/>
        <v>29</v>
      </c>
    </row>
    <row r="321" spans="1:18" x14ac:dyDescent="0.35">
      <c r="A321" t="s">
        <v>360</v>
      </c>
      <c r="B321" t="s">
        <v>26</v>
      </c>
      <c r="C321" t="s">
        <v>21</v>
      </c>
      <c r="D321" t="s">
        <v>2</v>
      </c>
      <c r="E321" s="5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 s="4">
        <v>56.60333</v>
      </c>
      <c r="L321" s="2">
        <v>35056.603329999998</v>
      </c>
      <c r="M321" t="str">
        <f t="shared" si="24"/>
        <v>California</v>
      </c>
      <c r="N321" t="str">
        <f t="shared" si="25"/>
        <v>F</v>
      </c>
      <c r="O321" t="str">
        <f t="shared" si="26"/>
        <v>Master</v>
      </c>
      <c r="P321" t="str">
        <f t="shared" si="27"/>
        <v>Personal</v>
      </c>
      <c r="Q321">
        <f t="shared" si="28"/>
        <v>4</v>
      </c>
      <c r="R321">
        <f t="shared" ca="1" si="29"/>
        <v>30</v>
      </c>
    </row>
    <row r="322" spans="1:18" x14ac:dyDescent="0.35">
      <c r="A322" t="s">
        <v>361</v>
      </c>
      <c r="B322" t="s">
        <v>5</v>
      </c>
      <c r="C322" t="s">
        <v>21</v>
      </c>
      <c r="D322" t="s">
        <v>35</v>
      </c>
      <c r="E322" s="5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 s="4">
        <v>262.86517199999997</v>
      </c>
      <c r="L322" s="2">
        <v>35262.865171999998</v>
      </c>
      <c r="M322" t="str">
        <f t="shared" si="24"/>
        <v>Arizona</v>
      </c>
      <c r="N322" t="str">
        <f t="shared" si="25"/>
        <v>F</v>
      </c>
      <c r="O322" t="str">
        <f t="shared" si="26"/>
        <v>College</v>
      </c>
      <c r="P322" t="str">
        <f t="shared" si="27"/>
        <v>Corporate</v>
      </c>
      <c r="Q322">
        <f t="shared" si="28"/>
        <v>4</v>
      </c>
      <c r="R322">
        <f t="shared" ca="1" si="29"/>
        <v>30</v>
      </c>
    </row>
    <row r="323" spans="1:18" x14ac:dyDescent="0.35">
      <c r="A323" t="s">
        <v>362</v>
      </c>
      <c r="B323" t="s">
        <v>5</v>
      </c>
      <c r="C323" t="s">
        <v>21</v>
      </c>
      <c r="D323" t="s">
        <v>80</v>
      </c>
      <c r="E323" s="5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 s="4">
        <v>309.577946</v>
      </c>
      <c r="L323" s="2">
        <v>35309.577945999998</v>
      </c>
      <c r="M323" t="str">
        <f t="shared" ref="M323:M386" si="30">IF(OR(B323="California",B323="Cali"),"California",IF(OR(B323="Arizona",B323="AZ"),"Arizona",IF(OR(B323="Washington",B323="WA"),"Washington",B323)))</f>
        <v>Arizona</v>
      </c>
      <c r="N323" t="str">
        <f t="shared" ref="N323:N386" si="31">IF(OR(C323="F",C323="Femal",C323="female"),"F",IF(OR(C323="M",C323="Male"),"M","NA"))</f>
        <v>F</v>
      </c>
      <c r="O323" t="str">
        <f t="shared" ref="O323:O386" si="32">IF(OR(D323="Bachelor",D323="Bachelors"),"Bachelor",D323)</f>
        <v>Doctor</v>
      </c>
      <c r="P323" t="str">
        <f t="shared" ref="P323:P386" si="33">LEFT(I323,FIND(" ",I323)-1)</f>
        <v>Personal</v>
      </c>
      <c r="Q323">
        <f t="shared" ref="Q323:Q386" si="34">IF(OR(J323="Luxury Car",J323="Two-Door Car",J323="Sports Car"),2,IF(OR(J323="Luxury SUV",J323="SUV",J323="Four-Door Car"),4,"NA"))</f>
        <v>4</v>
      </c>
      <c r="R323">
        <f t="shared" ref="R323:R386" ca="1" si="35">DATEDIF(L323,TODAY(),"Y")</f>
        <v>30</v>
      </c>
    </row>
    <row r="324" spans="1:18" x14ac:dyDescent="0.35">
      <c r="A324" t="s">
        <v>363</v>
      </c>
      <c r="B324" t="s">
        <v>33</v>
      </c>
      <c r="C324" t="s">
        <v>27</v>
      </c>
      <c r="D324" t="s">
        <v>4</v>
      </c>
      <c r="E324" s="5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 s="4">
        <v>350.4</v>
      </c>
      <c r="L324" s="2">
        <v>35350.400000000001</v>
      </c>
      <c r="M324" t="str">
        <f t="shared" si="30"/>
        <v>Oregon</v>
      </c>
      <c r="N324" t="str">
        <f t="shared" si="31"/>
        <v>M</v>
      </c>
      <c r="O324" t="str">
        <f t="shared" si="32"/>
        <v>Bachelor</v>
      </c>
      <c r="P324" t="str">
        <f t="shared" si="33"/>
        <v>Corporate</v>
      </c>
      <c r="Q324">
        <f t="shared" si="34"/>
        <v>4</v>
      </c>
      <c r="R324">
        <f t="shared" ca="1" si="35"/>
        <v>29</v>
      </c>
    </row>
    <row r="325" spans="1:18" x14ac:dyDescent="0.35">
      <c r="A325" t="s">
        <v>364</v>
      </c>
      <c r="B325" t="s">
        <v>26</v>
      </c>
      <c r="C325" t="s">
        <v>21</v>
      </c>
      <c r="D325" t="s">
        <v>35</v>
      </c>
      <c r="E325" s="5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 s="4">
        <v>365.36458099999999</v>
      </c>
      <c r="L325" s="2">
        <v>35365.364581000002</v>
      </c>
      <c r="M325" t="str">
        <f t="shared" si="30"/>
        <v>California</v>
      </c>
      <c r="N325" t="str">
        <f t="shared" si="31"/>
        <v>F</v>
      </c>
      <c r="O325" t="str">
        <f t="shared" si="32"/>
        <v>College</v>
      </c>
      <c r="P325" t="str">
        <f t="shared" si="33"/>
        <v>Personal</v>
      </c>
      <c r="Q325">
        <f t="shared" si="34"/>
        <v>4</v>
      </c>
      <c r="R325">
        <f t="shared" ca="1" si="35"/>
        <v>29</v>
      </c>
    </row>
    <row r="326" spans="1:18" x14ac:dyDescent="0.35">
      <c r="A326" t="s">
        <v>365</v>
      </c>
      <c r="B326" t="s">
        <v>26</v>
      </c>
      <c r="C326" t="s">
        <v>27</v>
      </c>
      <c r="D326" t="s">
        <v>4</v>
      </c>
      <c r="E326" s="5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 s="4">
        <v>384</v>
      </c>
      <c r="L326" s="2">
        <v>35384</v>
      </c>
      <c r="M326" t="str">
        <f t="shared" si="30"/>
        <v>California</v>
      </c>
      <c r="N326" t="str">
        <f t="shared" si="31"/>
        <v>M</v>
      </c>
      <c r="O326" t="str">
        <f t="shared" si="32"/>
        <v>Bachelor</v>
      </c>
      <c r="P326" t="str">
        <f t="shared" si="33"/>
        <v>Personal</v>
      </c>
      <c r="Q326">
        <f t="shared" si="34"/>
        <v>4</v>
      </c>
      <c r="R326">
        <f t="shared" ca="1" si="35"/>
        <v>29</v>
      </c>
    </row>
    <row r="327" spans="1:18" x14ac:dyDescent="0.3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 s="4">
        <v>489.6</v>
      </c>
      <c r="L327" s="2">
        <v>35489.599999999999</v>
      </c>
      <c r="M327" t="str">
        <f t="shared" si="30"/>
        <v>California</v>
      </c>
      <c r="N327" t="str">
        <f t="shared" si="31"/>
        <v>M</v>
      </c>
      <c r="O327" t="str">
        <f t="shared" si="32"/>
        <v>College</v>
      </c>
      <c r="P327" t="str">
        <f t="shared" si="33"/>
        <v>Personal</v>
      </c>
      <c r="Q327">
        <f t="shared" si="34"/>
        <v>4</v>
      </c>
      <c r="R327">
        <f t="shared" ca="1" si="35"/>
        <v>29</v>
      </c>
    </row>
    <row r="328" spans="1:18" x14ac:dyDescent="0.35">
      <c r="A328" t="s">
        <v>367</v>
      </c>
      <c r="B328" t="s">
        <v>23</v>
      </c>
      <c r="C328" t="s">
        <v>21</v>
      </c>
      <c r="D328" t="s">
        <v>31</v>
      </c>
      <c r="E328" s="5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 s="4">
        <v>705.6</v>
      </c>
      <c r="L328" s="2">
        <v>35705.599999999999</v>
      </c>
      <c r="M328" t="str">
        <f t="shared" si="30"/>
        <v>Nevada</v>
      </c>
      <c r="N328" t="str">
        <f t="shared" si="31"/>
        <v>F</v>
      </c>
      <c r="O328" t="str">
        <f t="shared" si="32"/>
        <v>High School or Below</v>
      </c>
      <c r="P328" t="str">
        <f t="shared" si="33"/>
        <v>Personal</v>
      </c>
      <c r="Q328">
        <f t="shared" si="34"/>
        <v>4</v>
      </c>
      <c r="R328">
        <f t="shared" ca="1" si="35"/>
        <v>28</v>
      </c>
    </row>
    <row r="329" spans="1:18" x14ac:dyDescent="0.35">
      <c r="A329" t="s">
        <v>368</v>
      </c>
      <c r="B329" t="s">
        <v>23</v>
      </c>
      <c r="C329" t="s">
        <v>21</v>
      </c>
      <c r="D329" t="s">
        <v>4</v>
      </c>
      <c r="E329" s="5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 s="4">
        <v>9.5152800000000006</v>
      </c>
      <c r="L329" s="2">
        <v>35009.51528</v>
      </c>
      <c r="M329" t="str">
        <f t="shared" si="30"/>
        <v>Nevada</v>
      </c>
      <c r="N329" t="str">
        <f t="shared" si="31"/>
        <v>F</v>
      </c>
      <c r="O329" t="str">
        <f t="shared" si="32"/>
        <v>Bachelor</v>
      </c>
      <c r="P329" t="str">
        <f t="shared" si="33"/>
        <v>Corporate</v>
      </c>
      <c r="Q329">
        <f t="shared" si="34"/>
        <v>4</v>
      </c>
      <c r="R329">
        <f t="shared" ca="1" si="35"/>
        <v>30</v>
      </c>
    </row>
    <row r="330" spans="1:18" x14ac:dyDescent="0.35">
      <c r="A330" t="s">
        <v>369</v>
      </c>
      <c r="B330" t="s">
        <v>33</v>
      </c>
      <c r="C330" t="s">
        <v>21</v>
      </c>
      <c r="D330" t="s">
        <v>35</v>
      </c>
      <c r="E330" s="5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 s="4">
        <v>244.564334</v>
      </c>
      <c r="L330" s="2">
        <v>35244.564334000002</v>
      </c>
      <c r="M330" t="str">
        <f t="shared" si="30"/>
        <v>Oregon</v>
      </c>
      <c r="N330" t="str">
        <f t="shared" si="31"/>
        <v>F</v>
      </c>
      <c r="O330" t="str">
        <f t="shared" si="32"/>
        <v>College</v>
      </c>
      <c r="P330" t="str">
        <f t="shared" si="33"/>
        <v>Personal</v>
      </c>
      <c r="Q330">
        <f t="shared" si="34"/>
        <v>4</v>
      </c>
      <c r="R330">
        <f t="shared" ca="1" si="35"/>
        <v>30</v>
      </c>
    </row>
    <row r="331" spans="1:18" x14ac:dyDescent="0.35">
      <c r="A331" t="s">
        <v>370</v>
      </c>
      <c r="B331" t="s">
        <v>26</v>
      </c>
      <c r="C331" t="s">
        <v>27</v>
      </c>
      <c r="D331" t="s">
        <v>4</v>
      </c>
      <c r="E331" s="5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 s="4">
        <v>639.10555599999998</v>
      </c>
      <c r="L331" s="2">
        <v>35639.105556000002</v>
      </c>
      <c r="M331" t="str">
        <f t="shared" si="30"/>
        <v>California</v>
      </c>
      <c r="N331" t="str">
        <f t="shared" si="31"/>
        <v>M</v>
      </c>
      <c r="O331" t="str">
        <f t="shared" si="32"/>
        <v>Bachelor</v>
      </c>
      <c r="P331" t="str">
        <f t="shared" si="33"/>
        <v>Personal</v>
      </c>
      <c r="Q331">
        <f t="shared" si="34"/>
        <v>2</v>
      </c>
      <c r="R331">
        <f t="shared" ca="1" si="35"/>
        <v>29</v>
      </c>
    </row>
    <row r="332" spans="1:18" x14ac:dyDescent="0.3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 s="4">
        <v>453.6</v>
      </c>
      <c r="L332" s="2">
        <v>35453.599999999999</v>
      </c>
      <c r="M332" t="str">
        <f t="shared" si="30"/>
        <v>California</v>
      </c>
      <c r="N332" t="str">
        <f t="shared" si="31"/>
        <v>M</v>
      </c>
      <c r="O332" t="str">
        <f t="shared" si="32"/>
        <v>High School or Below</v>
      </c>
      <c r="P332" t="str">
        <f t="shared" si="33"/>
        <v>Personal</v>
      </c>
      <c r="Q332">
        <f t="shared" si="34"/>
        <v>4</v>
      </c>
      <c r="R332">
        <f t="shared" ca="1" si="35"/>
        <v>29</v>
      </c>
    </row>
    <row r="333" spans="1:18" x14ac:dyDescent="0.35">
      <c r="A333" t="s">
        <v>372</v>
      </c>
      <c r="B333" t="s">
        <v>26</v>
      </c>
      <c r="C333" t="s">
        <v>21</v>
      </c>
      <c r="D333" t="s">
        <v>31</v>
      </c>
      <c r="E333" s="5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 s="4">
        <v>532.79999999999995</v>
      </c>
      <c r="L333" s="2">
        <v>35532.800000000003</v>
      </c>
      <c r="M333" t="str">
        <f t="shared" si="30"/>
        <v>California</v>
      </c>
      <c r="N333" t="str">
        <f t="shared" si="31"/>
        <v>F</v>
      </c>
      <c r="O333" t="str">
        <f t="shared" si="32"/>
        <v>High School or Below</v>
      </c>
      <c r="P333" t="str">
        <f t="shared" si="33"/>
        <v>Corporate</v>
      </c>
      <c r="Q333">
        <f t="shared" si="34"/>
        <v>4</v>
      </c>
      <c r="R333">
        <f t="shared" ca="1" si="35"/>
        <v>29</v>
      </c>
    </row>
    <row r="334" spans="1:18" x14ac:dyDescent="0.35">
      <c r="A334" t="s">
        <v>373</v>
      </c>
      <c r="B334" t="s">
        <v>26</v>
      </c>
      <c r="C334" t="s">
        <v>21</v>
      </c>
      <c r="D334" t="s">
        <v>35</v>
      </c>
      <c r="E334" s="5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 s="4">
        <v>511.2</v>
      </c>
      <c r="L334" s="2">
        <v>35511.199999999997</v>
      </c>
      <c r="M334" t="str">
        <f t="shared" si="30"/>
        <v>California</v>
      </c>
      <c r="N334" t="str">
        <f t="shared" si="31"/>
        <v>F</v>
      </c>
      <c r="O334" t="str">
        <f t="shared" si="32"/>
        <v>College</v>
      </c>
      <c r="P334" t="str">
        <f t="shared" si="33"/>
        <v>Personal</v>
      </c>
      <c r="Q334">
        <f t="shared" si="34"/>
        <v>2</v>
      </c>
      <c r="R334">
        <f t="shared" ca="1" si="35"/>
        <v>29</v>
      </c>
    </row>
    <row r="335" spans="1:18" x14ac:dyDescent="0.3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 s="4">
        <v>554.52296899999999</v>
      </c>
      <c r="L335" s="2">
        <v>35554.522968999998</v>
      </c>
      <c r="M335" t="str">
        <f t="shared" si="30"/>
        <v>Oregon</v>
      </c>
      <c r="N335" t="str">
        <f t="shared" si="31"/>
        <v>M</v>
      </c>
      <c r="O335" t="str">
        <f t="shared" si="32"/>
        <v>High School or Below</v>
      </c>
      <c r="P335" t="str">
        <f t="shared" si="33"/>
        <v>Personal</v>
      </c>
      <c r="Q335">
        <f t="shared" si="34"/>
        <v>4</v>
      </c>
      <c r="R335">
        <f t="shared" ca="1" si="35"/>
        <v>29</v>
      </c>
    </row>
    <row r="336" spans="1:18" x14ac:dyDescent="0.35">
      <c r="A336" t="s">
        <v>375</v>
      </c>
      <c r="B336" t="s">
        <v>5</v>
      </c>
      <c r="C336" t="s">
        <v>21</v>
      </c>
      <c r="D336" t="s">
        <v>35</v>
      </c>
      <c r="E336" s="5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 s="4">
        <v>336</v>
      </c>
      <c r="L336" s="2">
        <v>35336</v>
      </c>
      <c r="M336" t="str">
        <f t="shared" si="30"/>
        <v>Arizona</v>
      </c>
      <c r="N336" t="str">
        <f t="shared" si="31"/>
        <v>F</v>
      </c>
      <c r="O336" t="str">
        <f t="shared" si="32"/>
        <v>College</v>
      </c>
      <c r="P336" t="str">
        <f t="shared" si="33"/>
        <v>Personal</v>
      </c>
      <c r="Q336">
        <f t="shared" si="34"/>
        <v>4</v>
      </c>
      <c r="R336">
        <f t="shared" ca="1" si="35"/>
        <v>29</v>
      </c>
    </row>
    <row r="337" spans="1:18" x14ac:dyDescent="0.35">
      <c r="A337" t="s">
        <v>376</v>
      </c>
      <c r="B337" t="s">
        <v>5</v>
      </c>
      <c r="C337" t="s">
        <v>27</v>
      </c>
      <c r="D337" t="s">
        <v>31</v>
      </c>
      <c r="E337" s="5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 s="4">
        <v>402.44982299999998</v>
      </c>
      <c r="L337" s="2">
        <v>35402.449823000003</v>
      </c>
      <c r="M337" t="str">
        <f t="shared" si="30"/>
        <v>Arizona</v>
      </c>
      <c r="N337" t="str">
        <f t="shared" si="31"/>
        <v>M</v>
      </c>
      <c r="O337" t="str">
        <f t="shared" si="32"/>
        <v>High School or Below</v>
      </c>
      <c r="P337" t="str">
        <f t="shared" si="33"/>
        <v>Personal</v>
      </c>
      <c r="Q337">
        <f t="shared" si="34"/>
        <v>2</v>
      </c>
      <c r="R337">
        <f t="shared" ca="1" si="35"/>
        <v>29</v>
      </c>
    </row>
    <row r="338" spans="1:18" x14ac:dyDescent="0.3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 s="4">
        <v>327.02053899999999</v>
      </c>
      <c r="L338" s="2">
        <v>35327.020538999997</v>
      </c>
      <c r="M338" t="str">
        <f t="shared" si="30"/>
        <v>California</v>
      </c>
      <c r="N338" t="str">
        <f t="shared" si="31"/>
        <v>M</v>
      </c>
      <c r="O338" t="str">
        <f t="shared" si="32"/>
        <v>College</v>
      </c>
      <c r="P338" t="str">
        <f t="shared" si="33"/>
        <v>Personal</v>
      </c>
      <c r="Q338">
        <f t="shared" si="34"/>
        <v>4</v>
      </c>
      <c r="R338">
        <f t="shared" ca="1" si="35"/>
        <v>29</v>
      </c>
    </row>
    <row r="339" spans="1:18" x14ac:dyDescent="0.35">
      <c r="A339" t="s">
        <v>378</v>
      </c>
      <c r="B339" t="s">
        <v>26</v>
      </c>
      <c r="C339" t="s">
        <v>27</v>
      </c>
      <c r="D339" t="s">
        <v>4</v>
      </c>
      <c r="E339" s="5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 s="4">
        <v>5.3952999999999998</v>
      </c>
      <c r="L339" s="2">
        <v>35005.395299999996</v>
      </c>
      <c r="M339" t="str">
        <f t="shared" si="30"/>
        <v>California</v>
      </c>
      <c r="N339" t="str">
        <f t="shared" si="31"/>
        <v>M</v>
      </c>
      <c r="O339" t="str">
        <f t="shared" si="32"/>
        <v>Bachelor</v>
      </c>
      <c r="P339" t="str">
        <f t="shared" si="33"/>
        <v>Corporate</v>
      </c>
      <c r="Q339">
        <f t="shared" si="34"/>
        <v>4</v>
      </c>
      <c r="R339">
        <f t="shared" ca="1" si="35"/>
        <v>30</v>
      </c>
    </row>
    <row r="340" spans="1:18" x14ac:dyDescent="0.35">
      <c r="A340" t="s">
        <v>379</v>
      </c>
      <c r="B340" t="s">
        <v>5</v>
      </c>
      <c r="C340" t="s">
        <v>21</v>
      </c>
      <c r="D340" t="s">
        <v>4</v>
      </c>
      <c r="E340" s="5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 s="4">
        <v>131.40129099999999</v>
      </c>
      <c r="L340" s="2">
        <v>35131.401291000002</v>
      </c>
      <c r="M340" t="str">
        <f t="shared" si="30"/>
        <v>Arizona</v>
      </c>
      <c r="N340" t="str">
        <f t="shared" si="31"/>
        <v>F</v>
      </c>
      <c r="O340" t="str">
        <f t="shared" si="32"/>
        <v>Bachelor</v>
      </c>
      <c r="P340" t="str">
        <f t="shared" si="33"/>
        <v>Personal</v>
      </c>
      <c r="Q340">
        <f t="shared" si="34"/>
        <v>4</v>
      </c>
      <c r="R340">
        <f t="shared" ca="1" si="35"/>
        <v>30</v>
      </c>
    </row>
    <row r="341" spans="1:18" x14ac:dyDescent="0.3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 s="4">
        <v>99.382942999999997</v>
      </c>
      <c r="L341" s="2">
        <v>35099.382942999997</v>
      </c>
      <c r="M341" t="str">
        <f t="shared" si="30"/>
        <v>California</v>
      </c>
      <c r="N341" t="str">
        <f t="shared" si="31"/>
        <v>M</v>
      </c>
      <c r="O341" t="str">
        <f t="shared" si="32"/>
        <v>College</v>
      </c>
      <c r="P341" t="str">
        <f t="shared" si="33"/>
        <v>Personal</v>
      </c>
      <c r="Q341">
        <f t="shared" si="34"/>
        <v>2</v>
      </c>
      <c r="R341">
        <f t="shared" ca="1" si="35"/>
        <v>30</v>
      </c>
    </row>
    <row r="342" spans="1:18" x14ac:dyDescent="0.35">
      <c r="A342" t="s">
        <v>381</v>
      </c>
      <c r="B342" t="s">
        <v>26</v>
      </c>
      <c r="C342" t="s">
        <v>338</v>
      </c>
      <c r="D342" t="s">
        <v>31</v>
      </c>
      <c r="E342" s="5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 s="4">
        <v>856.8</v>
      </c>
      <c r="L342" s="2">
        <v>35856.800000000003</v>
      </c>
      <c r="M342" t="str">
        <f t="shared" si="30"/>
        <v>California</v>
      </c>
      <c r="N342" t="str">
        <f t="shared" si="31"/>
        <v>F</v>
      </c>
      <c r="O342" t="str">
        <f t="shared" si="32"/>
        <v>High School or Below</v>
      </c>
      <c r="P342" t="str">
        <f t="shared" si="33"/>
        <v>Personal</v>
      </c>
      <c r="Q342">
        <f t="shared" si="34"/>
        <v>4</v>
      </c>
      <c r="R342">
        <f t="shared" ca="1" si="35"/>
        <v>28</v>
      </c>
    </row>
    <row r="343" spans="1:18" x14ac:dyDescent="0.3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 s="4">
        <v>739.2</v>
      </c>
      <c r="L343" s="2">
        <v>35739.199999999997</v>
      </c>
      <c r="M343" t="str">
        <f t="shared" si="30"/>
        <v>California</v>
      </c>
      <c r="N343" t="str">
        <f t="shared" si="31"/>
        <v>M</v>
      </c>
      <c r="O343" t="str">
        <f t="shared" si="32"/>
        <v>High School or Below</v>
      </c>
      <c r="P343" t="str">
        <f t="shared" si="33"/>
        <v>Personal</v>
      </c>
      <c r="Q343">
        <f t="shared" si="34"/>
        <v>4</v>
      </c>
      <c r="R343">
        <f t="shared" ca="1" si="35"/>
        <v>28</v>
      </c>
    </row>
    <row r="344" spans="1:18" x14ac:dyDescent="0.3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 s="4">
        <v>518.4</v>
      </c>
      <c r="L344" s="2">
        <v>35518.400000000001</v>
      </c>
      <c r="M344" t="str">
        <f t="shared" si="30"/>
        <v>Oregon</v>
      </c>
      <c r="N344" t="str">
        <f t="shared" si="31"/>
        <v>M</v>
      </c>
      <c r="O344" t="str">
        <f t="shared" si="32"/>
        <v>High School or Below</v>
      </c>
      <c r="P344" t="str">
        <f t="shared" si="33"/>
        <v>Personal</v>
      </c>
      <c r="Q344">
        <f t="shared" si="34"/>
        <v>4</v>
      </c>
      <c r="R344">
        <f t="shared" ca="1" si="35"/>
        <v>29</v>
      </c>
    </row>
    <row r="345" spans="1:18" x14ac:dyDescent="0.35">
      <c r="A345" t="s">
        <v>384</v>
      </c>
      <c r="B345" t="s">
        <v>26</v>
      </c>
      <c r="C345" t="s">
        <v>338</v>
      </c>
      <c r="D345" t="s">
        <v>31</v>
      </c>
      <c r="E345" s="5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 s="4">
        <v>292.8</v>
      </c>
      <c r="L345" s="2">
        <v>35292.800000000003</v>
      </c>
      <c r="M345" t="str">
        <f t="shared" si="30"/>
        <v>California</v>
      </c>
      <c r="N345" t="str">
        <f t="shared" si="31"/>
        <v>F</v>
      </c>
      <c r="O345" t="str">
        <f t="shared" si="32"/>
        <v>High School or Below</v>
      </c>
      <c r="P345" t="str">
        <f t="shared" si="33"/>
        <v>Personal</v>
      </c>
      <c r="Q345">
        <f t="shared" si="34"/>
        <v>4</v>
      </c>
      <c r="R345">
        <f t="shared" ca="1" si="35"/>
        <v>30</v>
      </c>
    </row>
    <row r="346" spans="1:18" x14ac:dyDescent="0.35">
      <c r="A346" t="s">
        <v>385</v>
      </c>
      <c r="B346" t="s">
        <v>26</v>
      </c>
      <c r="C346" t="s">
        <v>338</v>
      </c>
      <c r="D346" t="s">
        <v>31</v>
      </c>
      <c r="E346" s="5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 s="4">
        <v>340.8</v>
      </c>
      <c r="L346" s="2">
        <v>35340.800000000003</v>
      </c>
      <c r="M346" t="str">
        <f t="shared" si="30"/>
        <v>California</v>
      </c>
      <c r="N346" t="str">
        <f t="shared" si="31"/>
        <v>F</v>
      </c>
      <c r="O346" t="str">
        <f t="shared" si="32"/>
        <v>High School or Below</v>
      </c>
      <c r="P346" t="str">
        <f t="shared" si="33"/>
        <v>Personal</v>
      </c>
      <c r="Q346">
        <f t="shared" si="34"/>
        <v>4</v>
      </c>
      <c r="R346">
        <f t="shared" ca="1" si="35"/>
        <v>29</v>
      </c>
    </row>
    <row r="347" spans="1:18" x14ac:dyDescent="0.35">
      <c r="A347" t="s">
        <v>386</v>
      </c>
      <c r="B347" t="s">
        <v>23</v>
      </c>
      <c r="C347" t="s">
        <v>338</v>
      </c>
      <c r="D347" t="s">
        <v>4</v>
      </c>
      <c r="E347" s="5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 s="4">
        <v>350.4</v>
      </c>
      <c r="L347" s="2">
        <v>35350.400000000001</v>
      </c>
      <c r="M347" t="str">
        <f t="shared" si="30"/>
        <v>Nevada</v>
      </c>
      <c r="N347" t="str">
        <f t="shared" si="31"/>
        <v>F</v>
      </c>
      <c r="O347" t="str">
        <f t="shared" si="32"/>
        <v>Bachelor</v>
      </c>
      <c r="P347" t="str">
        <f t="shared" si="33"/>
        <v>Personal</v>
      </c>
      <c r="Q347">
        <f t="shared" si="34"/>
        <v>4</v>
      </c>
      <c r="R347">
        <f t="shared" ca="1" si="35"/>
        <v>29</v>
      </c>
    </row>
    <row r="348" spans="1:18" x14ac:dyDescent="0.3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 s="4">
        <v>340.8</v>
      </c>
      <c r="L348" s="2">
        <v>35340.800000000003</v>
      </c>
      <c r="M348" t="str">
        <f t="shared" si="30"/>
        <v>Oregon</v>
      </c>
      <c r="N348" t="str">
        <f t="shared" si="31"/>
        <v>M</v>
      </c>
      <c r="O348" t="str">
        <f t="shared" si="32"/>
        <v>High School or Below</v>
      </c>
      <c r="P348" t="str">
        <f t="shared" si="33"/>
        <v>Personal</v>
      </c>
      <c r="Q348">
        <f t="shared" si="34"/>
        <v>4</v>
      </c>
      <c r="R348">
        <f t="shared" ca="1" si="35"/>
        <v>29</v>
      </c>
    </row>
    <row r="349" spans="1:18" x14ac:dyDescent="0.35">
      <c r="A349" t="s">
        <v>388</v>
      </c>
      <c r="B349" t="s">
        <v>3</v>
      </c>
      <c r="C349" t="s">
        <v>21</v>
      </c>
      <c r="D349" t="s">
        <v>80</v>
      </c>
      <c r="E349" s="5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 s="4">
        <v>84.218362999999997</v>
      </c>
      <c r="L349" s="2">
        <v>35084.218363</v>
      </c>
      <c r="M349" t="str">
        <f t="shared" si="30"/>
        <v>Washington</v>
      </c>
      <c r="N349" t="str">
        <f t="shared" si="31"/>
        <v>F</v>
      </c>
      <c r="O349" t="str">
        <f t="shared" si="32"/>
        <v>Doctor</v>
      </c>
      <c r="P349" t="str">
        <f t="shared" si="33"/>
        <v>Corporate</v>
      </c>
      <c r="Q349">
        <f t="shared" si="34"/>
        <v>4</v>
      </c>
      <c r="R349">
        <f t="shared" ca="1" si="35"/>
        <v>30</v>
      </c>
    </row>
    <row r="350" spans="1:18" x14ac:dyDescent="0.35">
      <c r="A350" t="s">
        <v>389</v>
      </c>
      <c r="B350" t="s">
        <v>23</v>
      </c>
      <c r="C350" t="s">
        <v>338</v>
      </c>
      <c r="D350" t="s">
        <v>4</v>
      </c>
      <c r="E350" s="5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 s="4">
        <v>64.546876999999995</v>
      </c>
      <c r="L350" s="2">
        <v>35064.546877000001</v>
      </c>
      <c r="M350" t="str">
        <f t="shared" si="30"/>
        <v>Nevada</v>
      </c>
      <c r="N350" t="str">
        <f t="shared" si="31"/>
        <v>F</v>
      </c>
      <c r="O350" t="str">
        <f t="shared" si="32"/>
        <v>Bachelor</v>
      </c>
      <c r="P350" t="str">
        <f t="shared" si="33"/>
        <v>Personal</v>
      </c>
      <c r="Q350">
        <f t="shared" si="34"/>
        <v>4</v>
      </c>
      <c r="R350">
        <f t="shared" ca="1" si="35"/>
        <v>30</v>
      </c>
    </row>
    <row r="351" spans="1:18" x14ac:dyDescent="0.35">
      <c r="A351" t="s">
        <v>390</v>
      </c>
      <c r="B351" t="s">
        <v>33</v>
      </c>
      <c r="C351" t="s">
        <v>338</v>
      </c>
      <c r="D351" t="s">
        <v>35</v>
      </c>
      <c r="E351" s="5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 s="4">
        <v>441.6</v>
      </c>
      <c r="L351" s="2">
        <v>35441.599999999999</v>
      </c>
      <c r="M351" t="str">
        <f t="shared" si="30"/>
        <v>Oregon</v>
      </c>
      <c r="N351" t="str">
        <f t="shared" si="31"/>
        <v>F</v>
      </c>
      <c r="O351" t="str">
        <f t="shared" si="32"/>
        <v>College</v>
      </c>
      <c r="P351" t="str">
        <f t="shared" si="33"/>
        <v>Corporate</v>
      </c>
      <c r="Q351">
        <f t="shared" si="34"/>
        <v>4</v>
      </c>
      <c r="R351">
        <f t="shared" ca="1" si="35"/>
        <v>29</v>
      </c>
    </row>
    <row r="352" spans="1:18" x14ac:dyDescent="0.35">
      <c r="A352" t="s">
        <v>391</v>
      </c>
      <c r="B352" t="s">
        <v>26</v>
      </c>
      <c r="C352" t="s">
        <v>338</v>
      </c>
      <c r="D352" t="s">
        <v>35</v>
      </c>
      <c r="E352" s="5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 s="4">
        <v>37.910623000000001</v>
      </c>
      <c r="L352" s="2">
        <v>35037.910623000003</v>
      </c>
      <c r="M352" t="str">
        <f t="shared" si="30"/>
        <v>California</v>
      </c>
      <c r="N352" t="str">
        <f t="shared" si="31"/>
        <v>F</v>
      </c>
      <c r="O352" t="str">
        <f t="shared" si="32"/>
        <v>College</v>
      </c>
      <c r="P352" t="str">
        <f t="shared" si="33"/>
        <v>Personal</v>
      </c>
      <c r="Q352">
        <f t="shared" si="34"/>
        <v>4</v>
      </c>
      <c r="R352">
        <f t="shared" ca="1" si="35"/>
        <v>30</v>
      </c>
    </row>
    <row r="353" spans="1:18" x14ac:dyDescent="0.35">
      <c r="A353" t="s">
        <v>392</v>
      </c>
      <c r="B353" t="s">
        <v>5</v>
      </c>
      <c r="C353" t="s">
        <v>338</v>
      </c>
      <c r="D353" t="s">
        <v>35</v>
      </c>
      <c r="E353" s="5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 s="4">
        <v>202.860399</v>
      </c>
      <c r="L353" s="2">
        <v>35202.860398999997</v>
      </c>
      <c r="M353" t="str">
        <f t="shared" si="30"/>
        <v>Arizona</v>
      </c>
      <c r="N353" t="str">
        <f t="shared" si="31"/>
        <v>F</v>
      </c>
      <c r="O353" t="str">
        <f t="shared" si="32"/>
        <v>College</v>
      </c>
      <c r="P353" t="str">
        <f t="shared" si="33"/>
        <v>Corporate</v>
      </c>
      <c r="Q353">
        <f t="shared" si="34"/>
        <v>4</v>
      </c>
      <c r="R353">
        <f t="shared" ca="1" si="35"/>
        <v>30</v>
      </c>
    </row>
    <row r="354" spans="1:18" x14ac:dyDescent="0.35">
      <c r="A354" t="s">
        <v>393</v>
      </c>
      <c r="B354" t="s">
        <v>26</v>
      </c>
      <c r="C354" t="s">
        <v>338</v>
      </c>
      <c r="D354" t="s">
        <v>31</v>
      </c>
      <c r="E354" s="5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 s="4">
        <v>345.6</v>
      </c>
      <c r="L354" s="2">
        <v>35345.599999999999</v>
      </c>
      <c r="M354" t="str">
        <f t="shared" si="30"/>
        <v>California</v>
      </c>
      <c r="N354" t="str">
        <f t="shared" si="31"/>
        <v>F</v>
      </c>
      <c r="O354" t="str">
        <f t="shared" si="32"/>
        <v>High School or Below</v>
      </c>
      <c r="P354" t="str">
        <f t="shared" si="33"/>
        <v>Corporate</v>
      </c>
      <c r="Q354">
        <f t="shared" si="34"/>
        <v>4</v>
      </c>
      <c r="R354">
        <f t="shared" ca="1" si="35"/>
        <v>29</v>
      </c>
    </row>
    <row r="355" spans="1:18" x14ac:dyDescent="0.35">
      <c r="A355" t="s">
        <v>394</v>
      </c>
      <c r="B355" t="s">
        <v>3</v>
      </c>
      <c r="C355" t="s">
        <v>27</v>
      </c>
      <c r="D355" t="s">
        <v>2</v>
      </c>
      <c r="E355" s="5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 s="4">
        <v>85.809816999999995</v>
      </c>
      <c r="L355" s="2">
        <v>35085.809817000001</v>
      </c>
      <c r="M355" t="str">
        <f t="shared" si="30"/>
        <v>Washington</v>
      </c>
      <c r="N355" t="str">
        <f t="shared" si="31"/>
        <v>M</v>
      </c>
      <c r="O355" t="str">
        <f t="shared" si="32"/>
        <v>Master</v>
      </c>
      <c r="P355" t="str">
        <f t="shared" si="33"/>
        <v>Personal</v>
      </c>
      <c r="Q355">
        <f t="shared" si="34"/>
        <v>4</v>
      </c>
      <c r="R355">
        <f t="shared" ca="1" si="35"/>
        <v>30</v>
      </c>
    </row>
    <row r="356" spans="1:18" x14ac:dyDescent="0.35">
      <c r="A356" t="s">
        <v>395</v>
      </c>
      <c r="B356" t="s">
        <v>3</v>
      </c>
      <c r="C356" t="s">
        <v>27</v>
      </c>
      <c r="D356" t="s">
        <v>4</v>
      </c>
      <c r="E356" s="5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 s="4">
        <v>91.146660999999995</v>
      </c>
      <c r="L356" s="2">
        <v>35091.146660999999</v>
      </c>
      <c r="M356" t="str">
        <f t="shared" si="30"/>
        <v>Washington</v>
      </c>
      <c r="N356" t="str">
        <f t="shared" si="31"/>
        <v>M</v>
      </c>
      <c r="O356" t="str">
        <f t="shared" si="32"/>
        <v>Bachelor</v>
      </c>
      <c r="P356" t="str">
        <f t="shared" si="33"/>
        <v>Personal</v>
      </c>
      <c r="Q356">
        <f t="shared" si="34"/>
        <v>4</v>
      </c>
      <c r="R356">
        <f t="shared" ca="1" si="35"/>
        <v>30</v>
      </c>
    </row>
    <row r="357" spans="1:18" x14ac:dyDescent="0.3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 s="4">
        <v>355.2</v>
      </c>
      <c r="L357" s="2">
        <v>35355.199999999997</v>
      </c>
      <c r="M357" t="str">
        <f t="shared" si="30"/>
        <v>California</v>
      </c>
      <c r="N357" t="str">
        <f t="shared" si="31"/>
        <v>M</v>
      </c>
      <c r="O357" t="str">
        <f t="shared" si="32"/>
        <v>High School or Below</v>
      </c>
      <c r="P357" t="str">
        <f t="shared" si="33"/>
        <v>Personal</v>
      </c>
      <c r="Q357">
        <f t="shared" si="34"/>
        <v>2</v>
      </c>
      <c r="R357">
        <f t="shared" ca="1" si="35"/>
        <v>29</v>
      </c>
    </row>
    <row r="358" spans="1:18" x14ac:dyDescent="0.35">
      <c r="A358" t="s">
        <v>397</v>
      </c>
      <c r="B358" t="s">
        <v>33</v>
      </c>
      <c r="C358" t="s">
        <v>338</v>
      </c>
      <c r="D358" t="s">
        <v>2</v>
      </c>
      <c r="E358" s="5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 s="4">
        <v>286.23493100000002</v>
      </c>
      <c r="L358" s="2">
        <v>35286.234930999999</v>
      </c>
      <c r="M358" t="str">
        <f t="shared" si="30"/>
        <v>Oregon</v>
      </c>
      <c r="N358" t="str">
        <f t="shared" si="31"/>
        <v>F</v>
      </c>
      <c r="O358" t="str">
        <f t="shared" si="32"/>
        <v>Master</v>
      </c>
      <c r="P358" t="str">
        <f t="shared" si="33"/>
        <v>Personal</v>
      </c>
      <c r="Q358">
        <f t="shared" si="34"/>
        <v>4</v>
      </c>
      <c r="R358">
        <f t="shared" ca="1" si="35"/>
        <v>30</v>
      </c>
    </row>
    <row r="359" spans="1:18" x14ac:dyDescent="0.35">
      <c r="A359" t="s">
        <v>398</v>
      </c>
      <c r="B359" t="s">
        <v>26</v>
      </c>
      <c r="C359" t="s">
        <v>338</v>
      </c>
      <c r="D359" t="s">
        <v>31</v>
      </c>
      <c r="E359" s="5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 s="4">
        <v>1159.2</v>
      </c>
      <c r="L359" s="2">
        <v>36159.199999999997</v>
      </c>
      <c r="M359" t="str">
        <f t="shared" si="30"/>
        <v>California</v>
      </c>
      <c r="N359" t="str">
        <f t="shared" si="31"/>
        <v>F</v>
      </c>
      <c r="O359" t="str">
        <f t="shared" si="32"/>
        <v>High School or Below</v>
      </c>
      <c r="P359" t="str">
        <f t="shared" si="33"/>
        <v>Personal</v>
      </c>
      <c r="Q359">
        <f t="shared" si="34"/>
        <v>4</v>
      </c>
      <c r="R359">
        <f t="shared" ca="1" si="35"/>
        <v>27</v>
      </c>
    </row>
    <row r="360" spans="1:18" x14ac:dyDescent="0.35">
      <c r="A360" t="s">
        <v>399</v>
      </c>
      <c r="B360" t="s">
        <v>23</v>
      </c>
      <c r="C360" t="s">
        <v>338</v>
      </c>
      <c r="D360" t="s">
        <v>35</v>
      </c>
      <c r="E360" s="5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 s="4">
        <v>316.8</v>
      </c>
      <c r="L360" s="2">
        <v>35316.800000000003</v>
      </c>
      <c r="M360" t="str">
        <f t="shared" si="30"/>
        <v>Nevada</v>
      </c>
      <c r="N360" t="str">
        <f t="shared" si="31"/>
        <v>F</v>
      </c>
      <c r="O360" t="str">
        <f t="shared" si="32"/>
        <v>College</v>
      </c>
      <c r="P360" t="str">
        <f t="shared" si="33"/>
        <v>Personal</v>
      </c>
      <c r="Q360">
        <f t="shared" si="34"/>
        <v>4</v>
      </c>
      <c r="R360">
        <f t="shared" ca="1" si="35"/>
        <v>30</v>
      </c>
    </row>
    <row r="361" spans="1:18" x14ac:dyDescent="0.3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 s="4">
        <v>466.57079099999999</v>
      </c>
      <c r="L361" s="2">
        <v>35466.570790999998</v>
      </c>
      <c r="M361" t="str">
        <f t="shared" si="30"/>
        <v>California</v>
      </c>
      <c r="N361" t="str">
        <f t="shared" si="31"/>
        <v>M</v>
      </c>
      <c r="O361" t="str">
        <f t="shared" si="32"/>
        <v>Doctor</v>
      </c>
      <c r="P361" t="str">
        <f t="shared" si="33"/>
        <v>Personal</v>
      </c>
      <c r="Q361">
        <f t="shared" si="34"/>
        <v>4</v>
      </c>
      <c r="R361">
        <f t="shared" ca="1" si="35"/>
        <v>29</v>
      </c>
    </row>
    <row r="362" spans="1:18" x14ac:dyDescent="0.3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 s="4">
        <v>331.2</v>
      </c>
      <c r="L362" s="2">
        <v>35331.199999999997</v>
      </c>
      <c r="M362" t="str">
        <f t="shared" si="30"/>
        <v>Nevada</v>
      </c>
      <c r="N362" t="str">
        <f t="shared" si="31"/>
        <v>M</v>
      </c>
      <c r="O362" t="str">
        <f t="shared" si="32"/>
        <v>College</v>
      </c>
      <c r="P362" t="str">
        <f t="shared" si="33"/>
        <v>Personal</v>
      </c>
      <c r="Q362">
        <f t="shared" si="34"/>
        <v>4</v>
      </c>
      <c r="R362">
        <f t="shared" ca="1" si="35"/>
        <v>29</v>
      </c>
    </row>
    <row r="363" spans="1:18" x14ac:dyDescent="0.35">
      <c r="A363" t="s">
        <v>402</v>
      </c>
      <c r="B363" t="s">
        <v>5</v>
      </c>
      <c r="C363" t="s">
        <v>338</v>
      </c>
      <c r="D363" t="s">
        <v>4</v>
      </c>
      <c r="E363" s="5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 s="4">
        <v>364.8</v>
      </c>
      <c r="L363" s="2">
        <v>35364.800000000003</v>
      </c>
      <c r="M363" t="str">
        <f t="shared" si="30"/>
        <v>Arizona</v>
      </c>
      <c r="N363" t="str">
        <f t="shared" si="31"/>
        <v>F</v>
      </c>
      <c r="O363" t="str">
        <f t="shared" si="32"/>
        <v>Bachelor</v>
      </c>
      <c r="P363" t="str">
        <f t="shared" si="33"/>
        <v>Personal</v>
      </c>
      <c r="Q363">
        <f t="shared" si="34"/>
        <v>4</v>
      </c>
      <c r="R363">
        <f t="shared" ca="1" si="35"/>
        <v>29</v>
      </c>
    </row>
    <row r="364" spans="1:18" x14ac:dyDescent="0.35">
      <c r="A364" t="s">
        <v>403</v>
      </c>
      <c r="B364" t="s">
        <v>26</v>
      </c>
      <c r="C364" t="s">
        <v>338</v>
      </c>
      <c r="D364" t="s">
        <v>4</v>
      </c>
      <c r="E364" s="5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 s="4">
        <v>1252.4062349999999</v>
      </c>
      <c r="L364" s="2">
        <v>36252.406235000002</v>
      </c>
      <c r="M364" t="str">
        <f t="shared" si="30"/>
        <v>California</v>
      </c>
      <c r="N364" t="str">
        <f t="shared" si="31"/>
        <v>F</v>
      </c>
      <c r="O364" t="str">
        <f t="shared" si="32"/>
        <v>Bachelor</v>
      </c>
      <c r="P364" t="str">
        <f t="shared" si="33"/>
        <v>Personal</v>
      </c>
      <c r="Q364">
        <f t="shared" si="34"/>
        <v>2</v>
      </c>
      <c r="R364">
        <f t="shared" ca="1" si="35"/>
        <v>27</v>
      </c>
    </row>
    <row r="365" spans="1:18" x14ac:dyDescent="0.35">
      <c r="A365" t="s">
        <v>404</v>
      </c>
      <c r="B365" t="s">
        <v>33</v>
      </c>
      <c r="C365" t="s">
        <v>27</v>
      </c>
      <c r="D365" t="s">
        <v>4</v>
      </c>
      <c r="E365" s="5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 s="4">
        <v>331.2</v>
      </c>
      <c r="L365" s="2">
        <v>35331.199999999997</v>
      </c>
      <c r="M365" t="str">
        <f t="shared" si="30"/>
        <v>Oregon</v>
      </c>
      <c r="N365" t="str">
        <f t="shared" si="31"/>
        <v>M</v>
      </c>
      <c r="O365" t="str">
        <f t="shared" si="32"/>
        <v>Bachelor</v>
      </c>
      <c r="P365" t="str">
        <f t="shared" si="33"/>
        <v>Personal</v>
      </c>
      <c r="Q365">
        <f t="shared" si="34"/>
        <v>4</v>
      </c>
      <c r="R365">
        <f t="shared" ca="1" si="35"/>
        <v>29</v>
      </c>
    </row>
    <row r="366" spans="1:18" x14ac:dyDescent="0.3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 s="4">
        <v>312</v>
      </c>
      <c r="L366" s="2">
        <v>35312</v>
      </c>
      <c r="M366" t="str">
        <f t="shared" si="30"/>
        <v>California</v>
      </c>
      <c r="N366" t="str">
        <f t="shared" si="31"/>
        <v>M</v>
      </c>
      <c r="O366" t="str">
        <f t="shared" si="32"/>
        <v>High School or Below</v>
      </c>
      <c r="P366" t="str">
        <f t="shared" si="33"/>
        <v>Special</v>
      </c>
      <c r="Q366">
        <f t="shared" si="34"/>
        <v>4</v>
      </c>
      <c r="R366">
        <f t="shared" ca="1" si="35"/>
        <v>30</v>
      </c>
    </row>
    <row r="367" spans="1:18" x14ac:dyDescent="0.35">
      <c r="A367" t="s">
        <v>406</v>
      </c>
      <c r="B367" t="s">
        <v>5</v>
      </c>
      <c r="C367" t="s">
        <v>27</v>
      </c>
      <c r="D367" t="s">
        <v>4</v>
      </c>
      <c r="E367" s="5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 s="4">
        <v>421.48445600000002</v>
      </c>
      <c r="L367" s="2">
        <v>35421.484455999998</v>
      </c>
      <c r="M367" t="str">
        <f t="shared" si="30"/>
        <v>Arizona</v>
      </c>
      <c r="N367" t="str">
        <f t="shared" si="31"/>
        <v>M</v>
      </c>
      <c r="O367" t="str">
        <f t="shared" si="32"/>
        <v>Bachelor</v>
      </c>
      <c r="P367" t="str">
        <f t="shared" si="33"/>
        <v>Corporate</v>
      </c>
      <c r="Q367">
        <f t="shared" si="34"/>
        <v>4</v>
      </c>
      <c r="R367">
        <f t="shared" ca="1" si="35"/>
        <v>29</v>
      </c>
    </row>
    <row r="368" spans="1:18" x14ac:dyDescent="0.35">
      <c r="A368" t="s">
        <v>407</v>
      </c>
      <c r="B368" t="s">
        <v>26</v>
      </c>
      <c r="C368" t="s">
        <v>338</v>
      </c>
      <c r="D368" t="s">
        <v>35</v>
      </c>
      <c r="E368" s="5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 s="4">
        <v>430.505942</v>
      </c>
      <c r="L368" s="2">
        <v>35430.505942000003</v>
      </c>
      <c r="M368" t="str">
        <f t="shared" si="30"/>
        <v>California</v>
      </c>
      <c r="N368" t="str">
        <f t="shared" si="31"/>
        <v>F</v>
      </c>
      <c r="O368" t="str">
        <f t="shared" si="32"/>
        <v>College</v>
      </c>
      <c r="P368" t="str">
        <f t="shared" si="33"/>
        <v>Personal</v>
      </c>
      <c r="Q368">
        <f t="shared" si="34"/>
        <v>4</v>
      </c>
      <c r="R368">
        <f t="shared" ca="1" si="35"/>
        <v>29</v>
      </c>
    </row>
    <row r="369" spans="1:18" x14ac:dyDescent="0.35">
      <c r="A369" t="s">
        <v>408</v>
      </c>
      <c r="B369" t="s">
        <v>26</v>
      </c>
      <c r="C369" t="s">
        <v>338</v>
      </c>
      <c r="D369" t="s">
        <v>35</v>
      </c>
      <c r="E369" s="5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 s="4">
        <v>398.502948</v>
      </c>
      <c r="L369" s="2">
        <v>35398.502948000001</v>
      </c>
      <c r="M369" t="str">
        <f t="shared" si="30"/>
        <v>California</v>
      </c>
      <c r="N369" t="str">
        <f t="shared" si="31"/>
        <v>F</v>
      </c>
      <c r="O369" t="str">
        <f t="shared" si="32"/>
        <v>College</v>
      </c>
      <c r="P369" t="str">
        <f t="shared" si="33"/>
        <v>Corporate</v>
      </c>
      <c r="Q369">
        <f t="shared" si="34"/>
        <v>4</v>
      </c>
      <c r="R369">
        <f t="shared" ca="1" si="35"/>
        <v>29</v>
      </c>
    </row>
    <row r="370" spans="1:18" x14ac:dyDescent="0.35">
      <c r="A370" t="s">
        <v>409</v>
      </c>
      <c r="B370" t="s">
        <v>33</v>
      </c>
      <c r="C370" t="s">
        <v>338</v>
      </c>
      <c r="D370" t="s">
        <v>4</v>
      </c>
      <c r="E370" s="5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 s="4">
        <v>7.646763</v>
      </c>
      <c r="L370" s="2">
        <v>35007.646762999997</v>
      </c>
      <c r="M370" t="str">
        <f t="shared" si="30"/>
        <v>Oregon</v>
      </c>
      <c r="N370" t="str">
        <f t="shared" si="31"/>
        <v>F</v>
      </c>
      <c r="O370" t="str">
        <f t="shared" si="32"/>
        <v>Bachelor</v>
      </c>
      <c r="P370" t="str">
        <f t="shared" si="33"/>
        <v>Personal</v>
      </c>
      <c r="Q370">
        <f t="shared" si="34"/>
        <v>4</v>
      </c>
      <c r="R370">
        <f t="shared" ca="1" si="35"/>
        <v>30</v>
      </c>
    </row>
    <row r="371" spans="1:18" x14ac:dyDescent="0.35">
      <c r="A371" t="s">
        <v>410</v>
      </c>
      <c r="B371" t="s">
        <v>33</v>
      </c>
      <c r="C371" t="s">
        <v>338</v>
      </c>
      <c r="D371" t="s">
        <v>2</v>
      </c>
      <c r="E371" s="5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 s="4">
        <v>55.510525999999999</v>
      </c>
      <c r="L371" s="2">
        <v>35055.510525999998</v>
      </c>
      <c r="M371" t="str">
        <f t="shared" si="30"/>
        <v>Oregon</v>
      </c>
      <c r="N371" t="str">
        <f t="shared" si="31"/>
        <v>F</v>
      </c>
      <c r="O371" t="str">
        <f t="shared" si="32"/>
        <v>Master</v>
      </c>
      <c r="P371" t="str">
        <f t="shared" si="33"/>
        <v>Corporate</v>
      </c>
      <c r="Q371">
        <f t="shared" si="34"/>
        <v>4</v>
      </c>
      <c r="R371">
        <f t="shared" ca="1" si="35"/>
        <v>30</v>
      </c>
    </row>
    <row r="372" spans="1:18" x14ac:dyDescent="0.35">
      <c r="A372" t="s">
        <v>411</v>
      </c>
      <c r="B372" t="s">
        <v>26</v>
      </c>
      <c r="C372" t="s">
        <v>27</v>
      </c>
      <c r="D372" t="s">
        <v>4</v>
      </c>
      <c r="E372" s="5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 s="4">
        <v>351.270869</v>
      </c>
      <c r="L372" s="2">
        <v>35351.270869</v>
      </c>
      <c r="M372" t="str">
        <f t="shared" si="30"/>
        <v>California</v>
      </c>
      <c r="N372" t="str">
        <f t="shared" si="31"/>
        <v>M</v>
      </c>
      <c r="O372" t="str">
        <f t="shared" si="32"/>
        <v>Bachelor</v>
      </c>
      <c r="P372" t="str">
        <f t="shared" si="33"/>
        <v>Personal</v>
      </c>
      <c r="Q372">
        <f t="shared" si="34"/>
        <v>2</v>
      </c>
      <c r="R372">
        <f t="shared" ca="1" si="35"/>
        <v>29</v>
      </c>
    </row>
    <row r="373" spans="1:18" x14ac:dyDescent="0.35">
      <c r="A373" t="s">
        <v>412</v>
      </c>
      <c r="B373" t="s">
        <v>26</v>
      </c>
      <c r="C373" t="s">
        <v>338</v>
      </c>
      <c r="D373" t="s">
        <v>31</v>
      </c>
      <c r="E373" s="5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 s="4">
        <v>806.4</v>
      </c>
      <c r="L373" s="2">
        <v>35806.400000000001</v>
      </c>
      <c r="M373" t="str">
        <f t="shared" si="30"/>
        <v>California</v>
      </c>
      <c r="N373" t="str">
        <f t="shared" si="31"/>
        <v>F</v>
      </c>
      <c r="O373" t="str">
        <f t="shared" si="32"/>
        <v>High School or Below</v>
      </c>
      <c r="P373" t="str">
        <f t="shared" si="33"/>
        <v>Personal</v>
      </c>
      <c r="Q373">
        <f t="shared" si="34"/>
        <v>2</v>
      </c>
      <c r="R373">
        <f t="shared" ca="1" si="35"/>
        <v>28</v>
      </c>
    </row>
    <row r="374" spans="1:18" x14ac:dyDescent="0.35">
      <c r="A374" t="s">
        <v>413</v>
      </c>
      <c r="B374" t="s">
        <v>5</v>
      </c>
      <c r="C374" t="s">
        <v>27</v>
      </c>
      <c r="D374" t="s">
        <v>4</v>
      </c>
      <c r="E374" s="5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 s="4">
        <v>647.45458299999996</v>
      </c>
      <c r="L374" s="2">
        <v>35647.454582999999</v>
      </c>
      <c r="M374" t="str">
        <f t="shared" si="30"/>
        <v>Arizona</v>
      </c>
      <c r="N374" t="str">
        <f t="shared" si="31"/>
        <v>M</v>
      </c>
      <c r="O374" t="str">
        <f t="shared" si="32"/>
        <v>Bachelor</v>
      </c>
      <c r="P374" t="str">
        <f t="shared" si="33"/>
        <v>Corporate</v>
      </c>
      <c r="Q374">
        <f t="shared" si="34"/>
        <v>4</v>
      </c>
      <c r="R374">
        <f t="shared" ca="1" si="35"/>
        <v>29</v>
      </c>
    </row>
    <row r="375" spans="1:18" x14ac:dyDescent="0.35">
      <c r="A375" t="s">
        <v>414</v>
      </c>
      <c r="B375" t="s">
        <v>26</v>
      </c>
      <c r="C375" t="s">
        <v>338</v>
      </c>
      <c r="D375" t="s">
        <v>4</v>
      </c>
      <c r="E375" s="5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 s="4">
        <v>508.8</v>
      </c>
      <c r="L375" s="2">
        <v>35508.800000000003</v>
      </c>
      <c r="M375" t="str">
        <f t="shared" si="30"/>
        <v>California</v>
      </c>
      <c r="N375" t="str">
        <f t="shared" si="31"/>
        <v>F</v>
      </c>
      <c r="O375" t="str">
        <f t="shared" si="32"/>
        <v>Bachelor</v>
      </c>
      <c r="P375" t="str">
        <f t="shared" si="33"/>
        <v>Personal</v>
      </c>
      <c r="Q375">
        <f t="shared" si="34"/>
        <v>4</v>
      </c>
      <c r="R375">
        <f t="shared" ca="1" si="35"/>
        <v>29</v>
      </c>
    </row>
    <row r="376" spans="1:18" x14ac:dyDescent="0.35">
      <c r="A376" t="s">
        <v>415</v>
      </c>
      <c r="B376" t="s">
        <v>33</v>
      </c>
      <c r="C376" t="s">
        <v>338</v>
      </c>
      <c r="D376" t="s">
        <v>2</v>
      </c>
      <c r="E376" s="5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 s="4">
        <v>128.43823</v>
      </c>
      <c r="L376" s="2">
        <v>35128.43823</v>
      </c>
      <c r="M376" t="str">
        <f t="shared" si="30"/>
        <v>Oregon</v>
      </c>
      <c r="N376" t="str">
        <f t="shared" si="31"/>
        <v>F</v>
      </c>
      <c r="O376" t="str">
        <f t="shared" si="32"/>
        <v>Master</v>
      </c>
      <c r="P376" t="str">
        <f t="shared" si="33"/>
        <v>Personal</v>
      </c>
      <c r="Q376">
        <f t="shared" si="34"/>
        <v>2</v>
      </c>
      <c r="R376">
        <f t="shared" ca="1" si="35"/>
        <v>30</v>
      </c>
    </row>
    <row r="377" spans="1:18" x14ac:dyDescent="0.35">
      <c r="A377" t="s">
        <v>416</v>
      </c>
      <c r="B377" t="s">
        <v>5</v>
      </c>
      <c r="C377" t="s">
        <v>27</v>
      </c>
      <c r="D377" t="s">
        <v>35</v>
      </c>
      <c r="E377" s="5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 s="4">
        <v>302.03397100000001</v>
      </c>
      <c r="L377" s="2">
        <v>35302.033970999997</v>
      </c>
      <c r="M377" t="str">
        <f t="shared" si="30"/>
        <v>Arizona</v>
      </c>
      <c r="N377" t="str">
        <f t="shared" si="31"/>
        <v>M</v>
      </c>
      <c r="O377" t="str">
        <f t="shared" si="32"/>
        <v>College</v>
      </c>
      <c r="P377" t="str">
        <f t="shared" si="33"/>
        <v>Special</v>
      </c>
      <c r="Q377">
        <f t="shared" si="34"/>
        <v>4</v>
      </c>
      <c r="R377">
        <f t="shared" ca="1" si="35"/>
        <v>30</v>
      </c>
    </row>
    <row r="378" spans="1:18" x14ac:dyDescent="0.35">
      <c r="A378" t="s">
        <v>417</v>
      </c>
      <c r="B378" t="s">
        <v>26</v>
      </c>
      <c r="C378" t="s">
        <v>338</v>
      </c>
      <c r="D378" t="s">
        <v>31</v>
      </c>
      <c r="E378" s="5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 s="4">
        <v>480</v>
      </c>
      <c r="L378" s="2">
        <v>35480</v>
      </c>
      <c r="M378" t="str">
        <f t="shared" si="30"/>
        <v>California</v>
      </c>
      <c r="N378" t="str">
        <f t="shared" si="31"/>
        <v>F</v>
      </c>
      <c r="O378" t="str">
        <f t="shared" si="32"/>
        <v>High School or Below</v>
      </c>
      <c r="P378" t="str">
        <f t="shared" si="33"/>
        <v>Personal</v>
      </c>
      <c r="Q378">
        <f t="shared" si="34"/>
        <v>4</v>
      </c>
      <c r="R378">
        <f t="shared" ca="1" si="35"/>
        <v>29</v>
      </c>
    </row>
    <row r="379" spans="1:18" x14ac:dyDescent="0.35">
      <c r="A379" t="s">
        <v>418</v>
      </c>
      <c r="B379" t="s">
        <v>26</v>
      </c>
      <c r="C379" t="s">
        <v>338</v>
      </c>
      <c r="D379" t="s">
        <v>4</v>
      </c>
      <c r="E379" s="5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 s="4">
        <v>1003.160633</v>
      </c>
      <c r="L379" s="2">
        <v>36003.160633</v>
      </c>
      <c r="M379" t="str">
        <f t="shared" si="30"/>
        <v>California</v>
      </c>
      <c r="N379" t="str">
        <f t="shared" si="31"/>
        <v>F</v>
      </c>
      <c r="O379" t="str">
        <f t="shared" si="32"/>
        <v>Bachelor</v>
      </c>
      <c r="P379" t="str">
        <f t="shared" si="33"/>
        <v>Personal</v>
      </c>
      <c r="Q379">
        <f t="shared" si="34"/>
        <v>4</v>
      </c>
      <c r="R379">
        <f t="shared" ca="1" si="35"/>
        <v>28</v>
      </c>
    </row>
    <row r="380" spans="1:18" x14ac:dyDescent="0.35">
      <c r="A380" t="s">
        <v>419</v>
      </c>
      <c r="B380" t="s">
        <v>23</v>
      </c>
      <c r="C380" t="s">
        <v>338</v>
      </c>
      <c r="D380" t="s">
        <v>31</v>
      </c>
      <c r="E380" s="5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 s="4">
        <v>518.4</v>
      </c>
      <c r="L380" s="2">
        <v>35518.400000000001</v>
      </c>
      <c r="M380" t="str">
        <f t="shared" si="30"/>
        <v>Nevada</v>
      </c>
      <c r="N380" t="str">
        <f t="shared" si="31"/>
        <v>F</v>
      </c>
      <c r="O380" t="str">
        <f t="shared" si="32"/>
        <v>High School or Below</v>
      </c>
      <c r="P380" t="str">
        <f t="shared" si="33"/>
        <v>Personal</v>
      </c>
      <c r="Q380">
        <f t="shared" si="34"/>
        <v>2</v>
      </c>
      <c r="R380">
        <f t="shared" ca="1" si="35"/>
        <v>29</v>
      </c>
    </row>
    <row r="381" spans="1:18" x14ac:dyDescent="0.35">
      <c r="A381" t="s">
        <v>420</v>
      </c>
      <c r="B381" t="s">
        <v>26</v>
      </c>
      <c r="C381" t="s">
        <v>338</v>
      </c>
      <c r="D381" t="s">
        <v>35</v>
      </c>
      <c r="E381" s="5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 s="4">
        <v>379.2</v>
      </c>
      <c r="L381" s="2">
        <v>35379.199999999997</v>
      </c>
      <c r="M381" t="str">
        <f t="shared" si="30"/>
        <v>California</v>
      </c>
      <c r="N381" t="str">
        <f t="shared" si="31"/>
        <v>F</v>
      </c>
      <c r="O381" t="str">
        <f t="shared" si="32"/>
        <v>College</v>
      </c>
      <c r="P381" t="str">
        <f t="shared" si="33"/>
        <v>Corporate</v>
      </c>
      <c r="Q381">
        <f t="shared" si="34"/>
        <v>4</v>
      </c>
      <c r="R381">
        <f t="shared" ca="1" si="35"/>
        <v>29</v>
      </c>
    </row>
    <row r="382" spans="1:18" x14ac:dyDescent="0.35">
      <c r="A382" t="s">
        <v>421</v>
      </c>
      <c r="B382" t="s">
        <v>5</v>
      </c>
      <c r="C382" t="s">
        <v>27</v>
      </c>
      <c r="D382" t="s">
        <v>35</v>
      </c>
      <c r="E382" s="5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 s="4">
        <v>244.36207200000001</v>
      </c>
      <c r="L382" s="2">
        <v>35244.362072000004</v>
      </c>
      <c r="M382" t="str">
        <f t="shared" si="30"/>
        <v>Arizona</v>
      </c>
      <c r="N382" t="str">
        <f t="shared" si="31"/>
        <v>M</v>
      </c>
      <c r="O382" t="str">
        <f t="shared" si="32"/>
        <v>College</v>
      </c>
      <c r="P382" t="str">
        <f t="shared" si="33"/>
        <v>Personal</v>
      </c>
      <c r="Q382">
        <f t="shared" si="34"/>
        <v>4</v>
      </c>
      <c r="R382">
        <f t="shared" ca="1" si="35"/>
        <v>30</v>
      </c>
    </row>
    <row r="383" spans="1:18" x14ac:dyDescent="0.35">
      <c r="A383" t="s">
        <v>422</v>
      </c>
      <c r="B383" t="s">
        <v>5</v>
      </c>
      <c r="C383" t="s">
        <v>338</v>
      </c>
      <c r="D383" t="s">
        <v>4</v>
      </c>
      <c r="E383" s="5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 s="4">
        <v>201.455005</v>
      </c>
      <c r="L383" s="2">
        <v>35201.455005000003</v>
      </c>
      <c r="M383" t="str">
        <f t="shared" si="30"/>
        <v>Arizona</v>
      </c>
      <c r="N383" t="str">
        <f t="shared" si="31"/>
        <v>F</v>
      </c>
      <c r="O383" t="str">
        <f t="shared" si="32"/>
        <v>Bachelor</v>
      </c>
      <c r="P383" t="str">
        <f t="shared" si="33"/>
        <v>Special</v>
      </c>
      <c r="Q383">
        <f t="shared" si="34"/>
        <v>4</v>
      </c>
      <c r="R383">
        <f t="shared" ca="1" si="35"/>
        <v>30</v>
      </c>
    </row>
    <row r="384" spans="1:18" x14ac:dyDescent="0.35">
      <c r="A384" t="s">
        <v>423</v>
      </c>
      <c r="B384" t="s">
        <v>3</v>
      </c>
      <c r="C384" t="s">
        <v>27</v>
      </c>
      <c r="D384" t="s">
        <v>35</v>
      </c>
      <c r="E384" s="5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 s="4">
        <v>91.550979999999996</v>
      </c>
      <c r="L384" s="2">
        <v>35091.55098</v>
      </c>
      <c r="M384" t="str">
        <f t="shared" si="30"/>
        <v>Washington</v>
      </c>
      <c r="N384" t="str">
        <f t="shared" si="31"/>
        <v>M</v>
      </c>
      <c r="O384" t="str">
        <f t="shared" si="32"/>
        <v>College</v>
      </c>
      <c r="P384" t="str">
        <f t="shared" si="33"/>
        <v>Personal</v>
      </c>
      <c r="Q384">
        <f t="shared" si="34"/>
        <v>4</v>
      </c>
      <c r="R384">
        <f t="shared" ca="1" si="35"/>
        <v>30</v>
      </c>
    </row>
    <row r="385" spans="1:18" x14ac:dyDescent="0.35">
      <c r="A385" t="s">
        <v>424</v>
      </c>
      <c r="B385" t="s">
        <v>5</v>
      </c>
      <c r="C385" t="s">
        <v>21</v>
      </c>
      <c r="D385" t="s">
        <v>35</v>
      </c>
      <c r="E385" s="5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 s="4">
        <v>552</v>
      </c>
      <c r="L385" s="2">
        <v>35552</v>
      </c>
      <c r="M385" t="str">
        <f t="shared" si="30"/>
        <v>Arizona</v>
      </c>
      <c r="N385" t="str">
        <f t="shared" si="31"/>
        <v>F</v>
      </c>
      <c r="O385" t="str">
        <f t="shared" si="32"/>
        <v>College</v>
      </c>
      <c r="P385" t="str">
        <f t="shared" si="33"/>
        <v>Personal</v>
      </c>
      <c r="Q385">
        <f t="shared" si="34"/>
        <v>4</v>
      </c>
      <c r="R385">
        <f t="shared" ca="1" si="35"/>
        <v>29</v>
      </c>
    </row>
    <row r="386" spans="1:18" x14ac:dyDescent="0.35">
      <c r="A386" t="s">
        <v>425</v>
      </c>
      <c r="B386" t="s">
        <v>3</v>
      </c>
      <c r="C386" t="s">
        <v>27</v>
      </c>
      <c r="D386" t="s">
        <v>80</v>
      </c>
      <c r="E386" s="5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 s="4">
        <v>91.834667999999994</v>
      </c>
      <c r="L386" s="2">
        <v>35091.834668000003</v>
      </c>
      <c r="M386" t="str">
        <f t="shared" si="30"/>
        <v>Washington</v>
      </c>
      <c r="N386" t="str">
        <f t="shared" si="31"/>
        <v>M</v>
      </c>
      <c r="O386" t="str">
        <f t="shared" si="32"/>
        <v>Doctor</v>
      </c>
      <c r="P386" t="str">
        <f t="shared" si="33"/>
        <v>Corporate</v>
      </c>
      <c r="Q386">
        <f t="shared" si="34"/>
        <v>4</v>
      </c>
      <c r="R386">
        <f t="shared" ca="1" si="35"/>
        <v>30</v>
      </c>
    </row>
    <row r="387" spans="1:18" x14ac:dyDescent="0.35">
      <c r="A387" t="s">
        <v>426</v>
      </c>
      <c r="B387" t="s">
        <v>33</v>
      </c>
      <c r="C387" t="s">
        <v>21</v>
      </c>
      <c r="D387" t="s">
        <v>35</v>
      </c>
      <c r="E387" s="5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 s="4">
        <v>707.43083200000001</v>
      </c>
      <c r="L387" s="2">
        <v>35707.430831999998</v>
      </c>
      <c r="M387" t="str">
        <f t="shared" ref="M387:M450" si="36">IF(OR(B387="California",B387="Cali"),"California",IF(OR(B387="Arizona",B387="AZ"),"Arizona",IF(OR(B387="Washington",B387="WA"),"Washington",B387)))</f>
        <v>Oregon</v>
      </c>
      <c r="N387" t="str">
        <f t="shared" ref="N387:N450" si="37">IF(OR(C387="F",C387="Femal",C387="female"),"F",IF(OR(C387="M",C387="Male"),"M","NA"))</f>
        <v>F</v>
      </c>
      <c r="O387" t="str">
        <f t="shared" ref="O387:O450" si="38">IF(OR(D387="Bachelor",D387="Bachelors"),"Bachelor",D387)</f>
        <v>College</v>
      </c>
      <c r="P387" t="str">
        <f t="shared" ref="P387:P450" si="39">LEFT(I387,FIND(" ",I387)-1)</f>
        <v>Personal</v>
      </c>
      <c r="Q387">
        <f t="shared" ref="Q387:Q450" si="40">IF(OR(J387="Luxury Car",J387="Two-Door Car",J387="Sports Car"),2,IF(OR(J387="Luxury SUV",J387="SUV",J387="Four-Door Car"),4,"NA"))</f>
        <v>4</v>
      </c>
      <c r="R387">
        <f t="shared" ref="R387:R450" ca="1" si="41">DATEDIF(L387,TODAY(),"Y")</f>
        <v>28</v>
      </c>
    </row>
    <row r="388" spans="1:18" x14ac:dyDescent="0.35">
      <c r="A388" t="s">
        <v>427</v>
      </c>
      <c r="B388" t="s">
        <v>3</v>
      </c>
      <c r="C388" t="s">
        <v>27</v>
      </c>
      <c r="D388" t="s">
        <v>4</v>
      </c>
      <c r="E388" s="5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 s="4">
        <v>92.915250999999998</v>
      </c>
      <c r="L388" s="2">
        <v>35092.915250999999</v>
      </c>
      <c r="M388" t="str">
        <f t="shared" si="36"/>
        <v>Washington</v>
      </c>
      <c r="N388" t="str">
        <f t="shared" si="37"/>
        <v>M</v>
      </c>
      <c r="O388" t="str">
        <f t="shared" si="38"/>
        <v>Bachelor</v>
      </c>
      <c r="P388" t="str">
        <f t="shared" si="39"/>
        <v>Personal</v>
      </c>
      <c r="Q388">
        <f t="shared" si="40"/>
        <v>4</v>
      </c>
      <c r="R388">
        <f t="shared" ca="1" si="41"/>
        <v>30</v>
      </c>
    </row>
    <row r="389" spans="1:18" x14ac:dyDescent="0.35">
      <c r="A389" t="s">
        <v>428</v>
      </c>
      <c r="B389" t="s">
        <v>33</v>
      </c>
      <c r="C389" t="s">
        <v>27</v>
      </c>
      <c r="D389" t="s">
        <v>4</v>
      </c>
      <c r="E389" s="5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 s="4">
        <v>376.126419</v>
      </c>
      <c r="L389" s="2">
        <v>35376.126419</v>
      </c>
      <c r="M389" t="str">
        <f t="shared" si="36"/>
        <v>Oregon</v>
      </c>
      <c r="N389" t="str">
        <f t="shared" si="37"/>
        <v>M</v>
      </c>
      <c r="O389" t="str">
        <f t="shared" si="38"/>
        <v>Bachelor</v>
      </c>
      <c r="P389" t="str">
        <f t="shared" si="39"/>
        <v>Personal</v>
      </c>
      <c r="Q389">
        <f t="shared" si="40"/>
        <v>4</v>
      </c>
      <c r="R389">
        <f t="shared" ca="1" si="41"/>
        <v>29</v>
      </c>
    </row>
    <row r="390" spans="1:18" x14ac:dyDescent="0.3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 s="4">
        <v>701.70823900000005</v>
      </c>
      <c r="L390" s="2">
        <v>35701.708239</v>
      </c>
      <c r="M390" t="str">
        <f t="shared" si="36"/>
        <v>California</v>
      </c>
      <c r="N390" t="str">
        <f t="shared" si="37"/>
        <v>M</v>
      </c>
      <c r="O390" t="str">
        <f t="shared" si="38"/>
        <v>College</v>
      </c>
      <c r="P390" t="str">
        <f t="shared" si="39"/>
        <v>Personal</v>
      </c>
      <c r="Q390">
        <f t="shared" si="40"/>
        <v>2</v>
      </c>
      <c r="R390">
        <f t="shared" ca="1" si="41"/>
        <v>28</v>
      </c>
    </row>
    <row r="391" spans="1:18" x14ac:dyDescent="0.35">
      <c r="A391" t="s">
        <v>430</v>
      </c>
      <c r="B391" t="s">
        <v>26</v>
      </c>
      <c r="C391" t="s">
        <v>21</v>
      </c>
      <c r="D391" t="s">
        <v>2</v>
      </c>
      <c r="E391" s="5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 s="4">
        <v>152.18424400000001</v>
      </c>
      <c r="L391" s="2">
        <v>35152.184243999996</v>
      </c>
      <c r="M391" t="str">
        <f t="shared" si="36"/>
        <v>California</v>
      </c>
      <c r="N391" t="str">
        <f t="shared" si="37"/>
        <v>F</v>
      </c>
      <c r="O391" t="str">
        <f t="shared" si="38"/>
        <v>Master</v>
      </c>
      <c r="P391" t="str">
        <f t="shared" si="39"/>
        <v>Personal</v>
      </c>
      <c r="Q391">
        <f t="shared" si="40"/>
        <v>4</v>
      </c>
      <c r="R391">
        <f t="shared" ca="1" si="41"/>
        <v>30</v>
      </c>
    </row>
    <row r="392" spans="1:18" x14ac:dyDescent="0.35">
      <c r="A392" t="s">
        <v>431</v>
      </c>
      <c r="B392" t="s">
        <v>26</v>
      </c>
      <c r="C392" t="s">
        <v>27</v>
      </c>
      <c r="D392" t="s">
        <v>2</v>
      </c>
      <c r="E392" s="5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 s="4">
        <v>176.81941399999999</v>
      </c>
      <c r="L392" s="2">
        <v>35176.819413999998</v>
      </c>
      <c r="M392" t="str">
        <f t="shared" si="36"/>
        <v>California</v>
      </c>
      <c r="N392" t="str">
        <f t="shared" si="37"/>
        <v>M</v>
      </c>
      <c r="O392" t="str">
        <f t="shared" si="38"/>
        <v>Master</v>
      </c>
      <c r="P392" t="str">
        <f t="shared" si="39"/>
        <v>Personal</v>
      </c>
      <c r="Q392">
        <f t="shared" si="40"/>
        <v>4</v>
      </c>
      <c r="R392">
        <f t="shared" ca="1" si="41"/>
        <v>30</v>
      </c>
    </row>
    <row r="393" spans="1:18" x14ac:dyDescent="0.35">
      <c r="A393" t="s">
        <v>432</v>
      </c>
      <c r="B393" t="s">
        <v>26</v>
      </c>
      <c r="C393" t="s">
        <v>27</v>
      </c>
      <c r="D393" t="s">
        <v>4</v>
      </c>
      <c r="E393" s="5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 s="4">
        <v>104.454624</v>
      </c>
      <c r="L393" s="2">
        <v>35104.454623999998</v>
      </c>
      <c r="M393" t="str">
        <f t="shared" si="36"/>
        <v>California</v>
      </c>
      <c r="N393" t="str">
        <f t="shared" si="37"/>
        <v>M</v>
      </c>
      <c r="O393" t="str">
        <f t="shared" si="38"/>
        <v>Bachelor</v>
      </c>
      <c r="P393" t="str">
        <f t="shared" si="39"/>
        <v>Corporate</v>
      </c>
      <c r="Q393">
        <f t="shared" si="40"/>
        <v>4</v>
      </c>
      <c r="R393">
        <f t="shared" ca="1" si="41"/>
        <v>30</v>
      </c>
    </row>
    <row r="394" spans="1:18" x14ac:dyDescent="0.35">
      <c r="A394" t="s">
        <v>433</v>
      </c>
      <c r="B394" t="s">
        <v>26</v>
      </c>
      <c r="C394" t="s">
        <v>21</v>
      </c>
      <c r="D394" t="s">
        <v>35</v>
      </c>
      <c r="E394" s="5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 s="4">
        <v>941.71805400000005</v>
      </c>
      <c r="L394" s="2">
        <v>35941.718053999997</v>
      </c>
      <c r="M394" t="str">
        <f t="shared" si="36"/>
        <v>California</v>
      </c>
      <c r="N394" t="str">
        <f t="shared" si="37"/>
        <v>F</v>
      </c>
      <c r="O394" t="str">
        <f t="shared" si="38"/>
        <v>College</v>
      </c>
      <c r="P394" t="str">
        <f t="shared" si="39"/>
        <v>Personal</v>
      </c>
      <c r="Q394">
        <f t="shared" si="40"/>
        <v>4</v>
      </c>
      <c r="R394">
        <f t="shared" ca="1" si="41"/>
        <v>28</v>
      </c>
    </row>
    <row r="395" spans="1:18" x14ac:dyDescent="0.35">
      <c r="A395" t="s">
        <v>434</v>
      </c>
      <c r="B395" t="s">
        <v>23</v>
      </c>
      <c r="C395" t="s">
        <v>27</v>
      </c>
      <c r="D395" t="s">
        <v>4</v>
      </c>
      <c r="E395" s="5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 s="4">
        <v>468</v>
      </c>
      <c r="L395" s="2">
        <v>35468</v>
      </c>
      <c r="M395" t="str">
        <f t="shared" si="36"/>
        <v>Nevada</v>
      </c>
      <c r="N395" t="str">
        <f t="shared" si="37"/>
        <v>M</v>
      </c>
      <c r="O395" t="str">
        <f t="shared" si="38"/>
        <v>Bachelor</v>
      </c>
      <c r="P395" t="str">
        <f t="shared" si="39"/>
        <v>Personal</v>
      </c>
      <c r="Q395">
        <f t="shared" si="40"/>
        <v>2</v>
      </c>
      <c r="R395">
        <f t="shared" ca="1" si="41"/>
        <v>29</v>
      </c>
    </row>
    <row r="396" spans="1:18" x14ac:dyDescent="0.35">
      <c r="A396" t="s">
        <v>435</v>
      </c>
      <c r="B396" t="s">
        <v>3</v>
      </c>
      <c r="C396" t="s">
        <v>338</v>
      </c>
      <c r="D396" t="s">
        <v>2</v>
      </c>
      <c r="E396" s="5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 s="4">
        <v>94.030308000000005</v>
      </c>
      <c r="L396" s="2">
        <v>35094.030308000001</v>
      </c>
      <c r="M396" t="str">
        <f t="shared" si="36"/>
        <v>Washington</v>
      </c>
      <c r="N396" t="str">
        <f t="shared" si="37"/>
        <v>F</v>
      </c>
      <c r="O396" t="str">
        <f t="shared" si="38"/>
        <v>Master</v>
      </c>
      <c r="P396" t="str">
        <f t="shared" si="39"/>
        <v>Personal</v>
      </c>
      <c r="Q396">
        <f t="shared" si="40"/>
        <v>2</v>
      </c>
      <c r="R396">
        <f t="shared" ca="1" si="41"/>
        <v>30</v>
      </c>
    </row>
    <row r="397" spans="1:18" x14ac:dyDescent="0.3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 s="4">
        <v>460.8</v>
      </c>
      <c r="L397" s="2">
        <v>35460.800000000003</v>
      </c>
      <c r="M397" t="str">
        <f t="shared" si="36"/>
        <v>Oregon</v>
      </c>
      <c r="N397" t="str">
        <f t="shared" si="37"/>
        <v>M</v>
      </c>
      <c r="O397" t="str">
        <f t="shared" si="38"/>
        <v>High School or Below</v>
      </c>
      <c r="P397" t="str">
        <f t="shared" si="39"/>
        <v>Corporate</v>
      </c>
      <c r="Q397">
        <f t="shared" si="40"/>
        <v>4</v>
      </c>
      <c r="R397">
        <f t="shared" ca="1" si="41"/>
        <v>29</v>
      </c>
    </row>
    <row r="398" spans="1:18" x14ac:dyDescent="0.35">
      <c r="A398" t="s">
        <v>437</v>
      </c>
      <c r="B398" t="s">
        <v>33</v>
      </c>
      <c r="C398" t="s">
        <v>27</v>
      </c>
      <c r="D398" t="s">
        <v>4</v>
      </c>
      <c r="E398" s="5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 s="4">
        <v>67.859881000000001</v>
      </c>
      <c r="L398" s="2">
        <v>35067.859880999997</v>
      </c>
      <c r="M398" t="str">
        <f t="shared" si="36"/>
        <v>Oregon</v>
      </c>
      <c r="N398" t="str">
        <f t="shared" si="37"/>
        <v>M</v>
      </c>
      <c r="O398" t="str">
        <f t="shared" si="38"/>
        <v>Bachelor</v>
      </c>
      <c r="P398" t="str">
        <f t="shared" si="39"/>
        <v>Personal</v>
      </c>
      <c r="Q398">
        <f t="shared" si="40"/>
        <v>2</v>
      </c>
      <c r="R398">
        <f t="shared" ca="1" si="41"/>
        <v>30</v>
      </c>
    </row>
    <row r="399" spans="1:18" x14ac:dyDescent="0.35">
      <c r="A399" t="s">
        <v>438</v>
      </c>
      <c r="B399" t="s">
        <v>5</v>
      </c>
      <c r="C399" t="s">
        <v>21</v>
      </c>
      <c r="D399" t="s">
        <v>4</v>
      </c>
      <c r="E399" s="5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 s="4">
        <v>539.84300299999995</v>
      </c>
      <c r="L399" s="2">
        <v>35539.843003000002</v>
      </c>
      <c r="M399" t="str">
        <f t="shared" si="36"/>
        <v>Arizona</v>
      </c>
      <c r="N399" t="str">
        <f t="shared" si="37"/>
        <v>F</v>
      </c>
      <c r="O399" t="str">
        <f t="shared" si="38"/>
        <v>Bachelor</v>
      </c>
      <c r="P399" t="str">
        <f t="shared" si="39"/>
        <v>Corporate</v>
      </c>
      <c r="Q399">
        <f t="shared" si="40"/>
        <v>4</v>
      </c>
      <c r="R399">
        <f t="shared" ca="1" si="41"/>
        <v>29</v>
      </c>
    </row>
    <row r="400" spans="1:18" x14ac:dyDescent="0.35">
      <c r="A400" t="s">
        <v>439</v>
      </c>
      <c r="B400" t="s">
        <v>23</v>
      </c>
      <c r="C400" t="s">
        <v>21</v>
      </c>
      <c r="D400" t="s">
        <v>31</v>
      </c>
      <c r="E400" s="5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 s="4">
        <v>556.79999999999995</v>
      </c>
      <c r="L400" s="2">
        <v>35556.800000000003</v>
      </c>
      <c r="M400" t="str">
        <f t="shared" si="36"/>
        <v>Nevada</v>
      </c>
      <c r="N400" t="str">
        <f t="shared" si="37"/>
        <v>F</v>
      </c>
      <c r="O400" t="str">
        <f t="shared" si="38"/>
        <v>High School or Below</v>
      </c>
      <c r="P400" t="str">
        <f t="shared" si="39"/>
        <v>Personal</v>
      </c>
      <c r="Q400">
        <f t="shared" si="40"/>
        <v>4</v>
      </c>
      <c r="R400">
        <f t="shared" ca="1" si="41"/>
        <v>29</v>
      </c>
    </row>
    <row r="401" spans="1:18" x14ac:dyDescent="0.3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 s="4">
        <v>350.4</v>
      </c>
      <c r="L401" s="2">
        <v>35350.400000000001</v>
      </c>
      <c r="M401" t="str">
        <f t="shared" si="36"/>
        <v>Oregon</v>
      </c>
      <c r="N401" t="str">
        <f t="shared" si="37"/>
        <v>M</v>
      </c>
      <c r="O401" t="str">
        <f t="shared" si="38"/>
        <v>High School or Below</v>
      </c>
      <c r="P401" t="str">
        <f t="shared" si="39"/>
        <v>Personal</v>
      </c>
      <c r="Q401">
        <f t="shared" si="40"/>
        <v>4</v>
      </c>
      <c r="R401">
        <f t="shared" ca="1" si="41"/>
        <v>29</v>
      </c>
    </row>
    <row r="402" spans="1:18" x14ac:dyDescent="0.35">
      <c r="A402" t="s">
        <v>441</v>
      </c>
      <c r="B402" t="s">
        <v>3</v>
      </c>
      <c r="C402" t="s">
        <v>27</v>
      </c>
      <c r="D402" t="s">
        <v>80</v>
      </c>
      <c r="E402" s="5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 s="4">
        <v>95.193156999999999</v>
      </c>
      <c r="L402" s="2">
        <v>35095.193157000002</v>
      </c>
      <c r="M402" t="str">
        <f t="shared" si="36"/>
        <v>Washington</v>
      </c>
      <c r="N402" t="str">
        <f t="shared" si="37"/>
        <v>M</v>
      </c>
      <c r="O402" t="str">
        <f t="shared" si="38"/>
        <v>Doctor</v>
      </c>
      <c r="P402" t="str">
        <f t="shared" si="39"/>
        <v>Personal</v>
      </c>
      <c r="Q402">
        <f t="shared" si="40"/>
        <v>4</v>
      </c>
      <c r="R402">
        <f t="shared" ca="1" si="41"/>
        <v>30</v>
      </c>
    </row>
    <row r="403" spans="1:18" x14ac:dyDescent="0.35">
      <c r="A403" t="s">
        <v>442</v>
      </c>
      <c r="B403" t="s">
        <v>3</v>
      </c>
      <c r="C403" t="s">
        <v>27</v>
      </c>
      <c r="D403" t="s">
        <v>31</v>
      </c>
      <c r="E403" s="5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 s="4">
        <v>95.338504999999998</v>
      </c>
      <c r="L403" s="2">
        <v>35095.338505</v>
      </c>
      <c r="M403" t="str">
        <f t="shared" si="36"/>
        <v>Washington</v>
      </c>
      <c r="N403" t="str">
        <f t="shared" si="37"/>
        <v>M</v>
      </c>
      <c r="O403" t="str">
        <f t="shared" si="38"/>
        <v>High School or Below</v>
      </c>
      <c r="P403" t="str">
        <f t="shared" si="39"/>
        <v>Personal</v>
      </c>
      <c r="Q403">
        <f t="shared" si="40"/>
        <v>4</v>
      </c>
      <c r="R403">
        <f t="shared" ca="1" si="41"/>
        <v>30</v>
      </c>
    </row>
    <row r="404" spans="1:18" x14ac:dyDescent="0.3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 s="4">
        <v>626.4</v>
      </c>
      <c r="L404" s="2">
        <v>35626.400000000001</v>
      </c>
      <c r="M404" t="str">
        <f t="shared" si="36"/>
        <v>Oregon</v>
      </c>
      <c r="N404" t="str">
        <f t="shared" si="37"/>
        <v>M</v>
      </c>
      <c r="O404" t="str">
        <f t="shared" si="38"/>
        <v>College</v>
      </c>
      <c r="P404" t="str">
        <f t="shared" si="39"/>
        <v>Special</v>
      </c>
      <c r="Q404">
        <f t="shared" si="40"/>
        <v>4</v>
      </c>
      <c r="R404">
        <f t="shared" ca="1" si="41"/>
        <v>29</v>
      </c>
    </row>
    <row r="405" spans="1:18" x14ac:dyDescent="0.35">
      <c r="A405" t="s">
        <v>444</v>
      </c>
      <c r="B405" t="s">
        <v>5</v>
      </c>
      <c r="C405" t="s">
        <v>21</v>
      </c>
      <c r="D405" t="s">
        <v>35</v>
      </c>
      <c r="E405" s="5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 s="4">
        <v>321.60000000000002</v>
      </c>
      <c r="L405" s="2">
        <v>35321.599999999999</v>
      </c>
      <c r="M405" t="str">
        <f t="shared" si="36"/>
        <v>Arizona</v>
      </c>
      <c r="N405" t="str">
        <f t="shared" si="37"/>
        <v>F</v>
      </c>
      <c r="O405" t="str">
        <f t="shared" si="38"/>
        <v>College</v>
      </c>
      <c r="P405" t="str">
        <f t="shared" si="39"/>
        <v>Personal</v>
      </c>
      <c r="Q405">
        <f t="shared" si="40"/>
        <v>4</v>
      </c>
      <c r="R405">
        <f t="shared" ca="1" si="41"/>
        <v>29</v>
      </c>
    </row>
    <row r="406" spans="1:18" x14ac:dyDescent="0.35">
      <c r="A406" t="s">
        <v>445</v>
      </c>
      <c r="B406" t="s">
        <v>23</v>
      </c>
      <c r="C406" t="s">
        <v>21</v>
      </c>
      <c r="D406" t="s">
        <v>4</v>
      </c>
      <c r="E406" s="5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 s="4">
        <v>494.39502399999998</v>
      </c>
      <c r="L406" s="2">
        <v>35494.395023999998</v>
      </c>
      <c r="M406" t="str">
        <f t="shared" si="36"/>
        <v>Nevada</v>
      </c>
      <c r="N406" t="str">
        <f t="shared" si="37"/>
        <v>F</v>
      </c>
      <c r="O406" t="str">
        <f t="shared" si="38"/>
        <v>Bachelor</v>
      </c>
      <c r="P406" t="str">
        <f t="shared" si="39"/>
        <v>Personal</v>
      </c>
      <c r="Q406">
        <f t="shared" si="40"/>
        <v>4</v>
      </c>
      <c r="R406">
        <f t="shared" ca="1" si="41"/>
        <v>29</v>
      </c>
    </row>
    <row r="407" spans="1:18" x14ac:dyDescent="0.35">
      <c r="A407" t="s">
        <v>446</v>
      </c>
      <c r="B407" t="s">
        <v>26</v>
      </c>
      <c r="C407" t="s">
        <v>21</v>
      </c>
      <c r="D407" t="s">
        <v>31</v>
      </c>
      <c r="E407" s="5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 s="4">
        <v>115.545086</v>
      </c>
      <c r="L407" s="2">
        <v>35115.545085999998</v>
      </c>
      <c r="M407" t="str">
        <f t="shared" si="36"/>
        <v>California</v>
      </c>
      <c r="N407" t="str">
        <f t="shared" si="37"/>
        <v>F</v>
      </c>
      <c r="O407" t="str">
        <f t="shared" si="38"/>
        <v>High School or Below</v>
      </c>
      <c r="P407" t="str">
        <f t="shared" si="39"/>
        <v>Personal</v>
      </c>
      <c r="Q407">
        <f t="shared" si="40"/>
        <v>4</v>
      </c>
      <c r="R407">
        <f t="shared" ca="1" si="41"/>
        <v>30</v>
      </c>
    </row>
    <row r="408" spans="1:18" x14ac:dyDescent="0.3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 s="4">
        <v>19.938980999999998</v>
      </c>
      <c r="L408" s="2">
        <v>35019.938980999999</v>
      </c>
      <c r="M408" t="str">
        <f t="shared" si="36"/>
        <v>Oregon</v>
      </c>
      <c r="N408" t="str">
        <f t="shared" si="37"/>
        <v>M</v>
      </c>
      <c r="O408" t="str">
        <f t="shared" si="38"/>
        <v>High School or Below</v>
      </c>
      <c r="P408" t="str">
        <f t="shared" si="39"/>
        <v>Corporate</v>
      </c>
      <c r="Q408">
        <f t="shared" si="40"/>
        <v>4</v>
      </c>
      <c r="R408">
        <f t="shared" ca="1" si="41"/>
        <v>30</v>
      </c>
    </row>
    <row r="409" spans="1:18" x14ac:dyDescent="0.35">
      <c r="A409" t="s">
        <v>448</v>
      </c>
      <c r="B409" t="s">
        <v>26</v>
      </c>
      <c r="C409" t="s">
        <v>21</v>
      </c>
      <c r="D409" t="s">
        <v>2</v>
      </c>
      <c r="E409" s="5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 s="4">
        <v>799.92674099999999</v>
      </c>
      <c r="L409" s="2">
        <v>35799.926741000003</v>
      </c>
      <c r="M409" t="str">
        <f t="shared" si="36"/>
        <v>California</v>
      </c>
      <c r="N409" t="str">
        <f t="shared" si="37"/>
        <v>F</v>
      </c>
      <c r="O409" t="str">
        <f t="shared" si="38"/>
        <v>Master</v>
      </c>
      <c r="P409" t="str">
        <f t="shared" si="39"/>
        <v>Personal</v>
      </c>
      <c r="Q409">
        <f t="shared" si="40"/>
        <v>2</v>
      </c>
      <c r="R409">
        <f t="shared" ca="1" si="41"/>
        <v>28</v>
      </c>
    </row>
    <row r="410" spans="1:18" x14ac:dyDescent="0.35">
      <c r="A410" t="s">
        <v>449</v>
      </c>
      <c r="B410" t="s">
        <v>5</v>
      </c>
      <c r="C410" t="s">
        <v>21</v>
      </c>
      <c r="D410" t="s">
        <v>31</v>
      </c>
      <c r="E410" s="5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 s="4">
        <v>523.20000000000005</v>
      </c>
      <c r="L410" s="2">
        <v>35523.199999999997</v>
      </c>
      <c r="M410" t="str">
        <f t="shared" si="36"/>
        <v>Arizona</v>
      </c>
      <c r="N410" t="str">
        <f t="shared" si="37"/>
        <v>F</v>
      </c>
      <c r="O410" t="str">
        <f t="shared" si="38"/>
        <v>High School or Below</v>
      </c>
      <c r="P410" t="str">
        <f t="shared" si="39"/>
        <v>Personal</v>
      </c>
      <c r="Q410">
        <f t="shared" si="40"/>
        <v>2</v>
      </c>
      <c r="R410">
        <f t="shared" ca="1" si="41"/>
        <v>29</v>
      </c>
    </row>
    <row r="411" spans="1:18" x14ac:dyDescent="0.3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 s="4">
        <v>878.4</v>
      </c>
      <c r="L411" s="2">
        <v>35878.400000000001</v>
      </c>
      <c r="M411" t="str">
        <f t="shared" si="36"/>
        <v>California</v>
      </c>
      <c r="N411" t="str">
        <f t="shared" si="37"/>
        <v>M</v>
      </c>
      <c r="O411" t="str">
        <f t="shared" si="38"/>
        <v>High School or Below</v>
      </c>
      <c r="P411" t="str">
        <f t="shared" si="39"/>
        <v>Personal</v>
      </c>
      <c r="Q411">
        <f t="shared" si="40"/>
        <v>4</v>
      </c>
      <c r="R411">
        <f t="shared" ca="1" si="41"/>
        <v>28</v>
      </c>
    </row>
    <row r="412" spans="1:18" x14ac:dyDescent="0.3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 s="4">
        <v>444.47067600000003</v>
      </c>
      <c r="L412" s="2">
        <v>35444.470675999997</v>
      </c>
      <c r="M412" t="str">
        <f t="shared" si="36"/>
        <v>Oregon</v>
      </c>
      <c r="N412" t="str">
        <f t="shared" si="37"/>
        <v>M</v>
      </c>
      <c r="O412" t="str">
        <f t="shared" si="38"/>
        <v>College</v>
      </c>
      <c r="P412" t="str">
        <f t="shared" si="39"/>
        <v>Personal</v>
      </c>
      <c r="Q412">
        <f t="shared" si="40"/>
        <v>4</v>
      </c>
      <c r="R412">
        <f t="shared" ca="1" si="41"/>
        <v>29</v>
      </c>
    </row>
    <row r="413" spans="1:18" x14ac:dyDescent="0.35">
      <c r="A413" t="s">
        <v>452</v>
      </c>
      <c r="B413" t="s">
        <v>26</v>
      </c>
      <c r="C413" t="s">
        <v>21</v>
      </c>
      <c r="D413" t="s">
        <v>35</v>
      </c>
      <c r="E413" s="5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 s="4">
        <v>268.81998499999997</v>
      </c>
      <c r="L413" s="2">
        <v>35268.819985000002</v>
      </c>
      <c r="M413" t="str">
        <f t="shared" si="36"/>
        <v>California</v>
      </c>
      <c r="N413" t="str">
        <f t="shared" si="37"/>
        <v>F</v>
      </c>
      <c r="O413" t="str">
        <f t="shared" si="38"/>
        <v>College</v>
      </c>
      <c r="P413" t="str">
        <f t="shared" si="39"/>
        <v>Personal</v>
      </c>
      <c r="Q413">
        <f t="shared" si="40"/>
        <v>4</v>
      </c>
      <c r="R413">
        <f t="shared" ca="1" si="41"/>
        <v>30</v>
      </c>
    </row>
    <row r="414" spans="1:18" x14ac:dyDescent="0.35">
      <c r="A414" t="s">
        <v>453</v>
      </c>
      <c r="B414" t="s">
        <v>33</v>
      </c>
      <c r="C414" t="s">
        <v>21</v>
      </c>
      <c r="D414" t="s">
        <v>2</v>
      </c>
      <c r="E414" s="5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 s="4">
        <v>331.2</v>
      </c>
      <c r="L414" s="2">
        <v>35331.199999999997</v>
      </c>
      <c r="M414" t="str">
        <f t="shared" si="36"/>
        <v>Oregon</v>
      </c>
      <c r="N414" t="str">
        <f t="shared" si="37"/>
        <v>F</v>
      </c>
      <c r="O414" t="str">
        <f t="shared" si="38"/>
        <v>Master</v>
      </c>
      <c r="P414" t="str">
        <f t="shared" si="39"/>
        <v>Corporate</v>
      </c>
      <c r="Q414">
        <f t="shared" si="40"/>
        <v>4</v>
      </c>
      <c r="R414">
        <f t="shared" ca="1" si="41"/>
        <v>29</v>
      </c>
    </row>
    <row r="415" spans="1:18" x14ac:dyDescent="0.35">
      <c r="A415" t="s">
        <v>454</v>
      </c>
      <c r="B415" t="s">
        <v>26</v>
      </c>
      <c r="C415" t="s">
        <v>21</v>
      </c>
      <c r="D415" t="s">
        <v>31</v>
      </c>
      <c r="E415" s="5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 s="4">
        <v>297.60000000000002</v>
      </c>
      <c r="L415" s="2">
        <v>35297.599999999999</v>
      </c>
      <c r="M415" t="str">
        <f t="shared" si="36"/>
        <v>California</v>
      </c>
      <c r="N415" t="str">
        <f t="shared" si="37"/>
        <v>F</v>
      </c>
      <c r="O415" t="str">
        <f t="shared" si="38"/>
        <v>High School or Below</v>
      </c>
      <c r="P415" t="str">
        <f t="shared" si="39"/>
        <v>Personal</v>
      </c>
      <c r="Q415">
        <f t="shared" si="40"/>
        <v>2</v>
      </c>
      <c r="R415">
        <f t="shared" ca="1" si="41"/>
        <v>30</v>
      </c>
    </row>
    <row r="416" spans="1:18" x14ac:dyDescent="0.35">
      <c r="A416" t="s">
        <v>455</v>
      </c>
      <c r="B416" t="s">
        <v>5</v>
      </c>
      <c r="C416" t="s">
        <v>21</v>
      </c>
      <c r="D416" t="s">
        <v>35</v>
      </c>
      <c r="E416" s="5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 s="4">
        <v>412.8</v>
      </c>
      <c r="L416" s="2">
        <v>35412.800000000003</v>
      </c>
      <c r="M416" t="str">
        <f t="shared" si="36"/>
        <v>Arizona</v>
      </c>
      <c r="N416" t="str">
        <f t="shared" si="37"/>
        <v>F</v>
      </c>
      <c r="O416" t="str">
        <f t="shared" si="38"/>
        <v>College</v>
      </c>
      <c r="P416" t="str">
        <f t="shared" si="39"/>
        <v>Personal</v>
      </c>
      <c r="Q416">
        <f t="shared" si="40"/>
        <v>4</v>
      </c>
      <c r="R416">
        <f t="shared" ca="1" si="41"/>
        <v>29</v>
      </c>
    </row>
    <row r="417" spans="1:18" x14ac:dyDescent="0.35">
      <c r="A417" t="s">
        <v>456</v>
      </c>
      <c r="B417" t="s">
        <v>33</v>
      </c>
      <c r="C417" t="s">
        <v>21</v>
      </c>
      <c r="D417" t="s">
        <v>35</v>
      </c>
      <c r="E417" s="5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 s="4">
        <v>806.4</v>
      </c>
      <c r="L417" s="2">
        <v>35806.400000000001</v>
      </c>
      <c r="M417" t="str">
        <f t="shared" si="36"/>
        <v>Oregon</v>
      </c>
      <c r="N417" t="str">
        <f t="shared" si="37"/>
        <v>F</v>
      </c>
      <c r="O417" t="str">
        <f t="shared" si="38"/>
        <v>College</v>
      </c>
      <c r="P417" t="str">
        <f t="shared" si="39"/>
        <v>Special</v>
      </c>
      <c r="Q417">
        <f t="shared" si="40"/>
        <v>2</v>
      </c>
      <c r="R417">
        <f t="shared" ca="1" si="41"/>
        <v>28</v>
      </c>
    </row>
    <row r="418" spans="1:18" x14ac:dyDescent="0.35">
      <c r="A418" t="s">
        <v>457</v>
      </c>
      <c r="B418" t="s">
        <v>3</v>
      </c>
      <c r="C418" t="s">
        <v>27</v>
      </c>
      <c r="D418" t="s">
        <v>31</v>
      </c>
      <c r="E418" s="5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 s="4">
        <v>101.28806899999999</v>
      </c>
      <c r="L418" s="2">
        <v>35101.288069000002</v>
      </c>
      <c r="M418" t="str">
        <f t="shared" si="36"/>
        <v>Washington</v>
      </c>
      <c r="N418" t="str">
        <f t="shared" si="37"/>
        <v>M</v>
      </c>
      <c r="O418" t="str">
        <f t="shared" si="38"/>
        <v>High School or Below</v>
      </c>
      <c r="P418" t="str">
        <f t="shared" si="39"/>
        <v>Personal</v>
      </c>
      <c r="Q418">
        <f t="shared" si="40"/>
        <v>2</v>
      </c>
      <c r="R418">
        <f t="shared" ca="1" si="41"/>
        <v>30</v>
      </c>
    </row>
    <row r="419" spans="1:18" x14ac:dyDescent="0.35">
      <c r="A419" t="s">
        <v>458</v>
      </c>
      <c r="B419" t="s">
        <v>33</v>
      </c>
      <c r="C419" t="s">
        <v>271</v>
      </c>
      <c r="D419" t="s">
        <v>4</v>
      </c>
      <c r="E419" s="5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 s="4">
        <v>532.79999999999995</v>
      </c>
      <c r="L419" s="2">
        <v>35532.800000000003</v>
      </c>
      <c r="M419" t="str">
        <f t="shared" si="36"/>
        <v>Oregon</v>
      </c>
      <c r="N419" t="str">
        <f t="shared" si="37"/>
        <v>M</v>
      </c>
      <c r="O419" t="str">
        <f t="shared" si="38"/>
        <v>Bachelor</v>
      </c>
      <c r="P419" t="str">
        <f t="shared" si="39"/>
        <v>Corporate</v>
      </c>
      <c r="Q419">
        <f t="shared" si="40"/>
        <v>4</v>
      </c>
      <c r="R419">
        <f t="shared" ca="1" si="41"/>
        <v>29</v>
      </c>
    </row>
    <row r="420" spans="1:18" x14ac:dyDescent="0.35">
      <c r="A420" t="s">
        <v>459</v>
      </c>
      <c r="B420" t="s">
        <v>23</v>
      </c>
      <c r="C420" t="s">
        <v>271</v>
      </c>
      <c r="D420" t="s">
        <v>35</v>
      </c>
      <c r="E420" s="5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 s="4">
        <v>1317.6</v>
      </c>
      <c r="L420" s="2">
        <v>36317.599999999999</v>
      </c>
      <c r="M420" t="str">
        <f t="shared" si="36"/>
        <v>Nevada</v>
      </c>
      <c r="N420" t="str">
        <f t="shared" si="37"/>
        <v>M</v>
      </c>
      <c r="O420" t="str">
        <f t="shared" si="38"/>
        <v>College</v>
      </c>
      <c r="P420" t="str">
        <f t="shared" si="39"/>
        <v>Personal</v>
      </c>
      <c r="Q420">
        <f t="shared" si="40"/>
        <v>2</v>
      </c>
      <c r="R420">
        <f t="shared" ca="1" si="41"/>
        <v>27</v>
      </c>
    </row>
    <row r="421" spans="1:18" x14ac:dyDescent="0.35">
      <c r="A421" t="s">
        <v>460</v>
      </c>
      <c r="B421" t="s">
        <v>33</v>
      </c>
      <c r="C421" t="s">
        <v>271</v>
      </c>
      <c r="D421" t="s">
        <v>2</v>
      </c>
      <c r="E421" s="5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 s="4">
        <v>691.41237799999999</v>
      </c>
      <c r="L421" s="2">
        <v>35691.412378000001</v>
      </c>
      <c r="M421" t="str">
        <f t="shared" si="36"/>
        <v>Oregon</v>
      </c>
      <c r="N421" t="str">
        <f t="shared" si="37"/>
        <v>M</v>
      </c>
      <c r="O421" t="str">
        <f t="shared" si="38"/>
        <v>Master</v>
      </c>
      <c r="P421" t="str">
        <f t="shared" si="39"/>
        <v>Personal</v>
      </c>
      <c r="Q421">
        <f t="shared" si="40"/>
        <v>4</v>
      </c>
      <c r="R421">
        <f t="shared" ca="1" si="41"/>
        <v>28</v>
      </c>
    </row>
    <row r="422" spans="1:18" x14ac:dyDescent="0.35">
      <c r="A422" t="s">
        <v>461</v>
      </c>
      <c r="B422" t="s">
        <v>33</v>
      </c>
      <c r="C422" t="s">
        <v>271</v>
      </c>
      <c r="D422" t="s">
        <v>35</v>
      </c>
      <c r="E422" s="5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 s="4">
        <v>804.81185900000003</v>
      </c>
      <c r="L422" s="2">
        <v>35804.811859000001</v>
      </c>
      <c r="M422" t="str">
        <f t="shared" si="36"/>
        <v>Oregon</v>
      </c>
      <c r="N422" t="str">
        <f t="shared" si="37"/>
        <v>M</v>
      </c>
      <c r="O422" t="str">
        <f t="shared" si="38"/>
        <v>College</v>
      </c>
      <c r="P422" t="str">
        <f t="shared" si="39"/>
        <v>Personal</v>
      </c>
      <c r="Q422">
        <f t="shared" si="40"/>
        <v>2</v>
      </c>
      <c r="R422">
        <f t="shared" ca="1" si="41"/>
        <v>28</v>
      </c>
    </row>
    <row r="423" spans="1:18" x14ac:dyDescent="0.35">
      <c r="A423" t="s">
        <v>462</v>
      </c>
      <c r="B423" t="s">
        <v>33</v>
      </c>
      <c r="C423" t="s">
        <v>21</v>
      </c>
      <c r="D423" t="s">
        <v>35</v>
      </c>
      <c r="E423" s="5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 s="4">
        <v>297.60000000000002</v>
      </c>
      <c r="L423" s="2">
        <v>35297.599999999999</v>
      </c>
      <c r="M423" t="str">
        <f t="shared" si="36"/>
        <v>Oregon</v>
      </c>
      <c r="N423" t="str">
        <f t="shared" si="37"/>
        <v>F</v>
      </c>
      <c r="O423" t="str">
        <f t="shared" si="38"/>
        <v>College</v>
      </c>
      <c r="P423" t="str">
        <f t="shared" si="39"/>
        <v>Personal</v>
      </c>
      <c r="Q423">
        <f t="shared" si="40"/>
        <v>4</v>
      </c>
      <c r="R423">
        <f t="shared" ca="1" si="41"/>
        <v>30</v>
      </c>
    </row>
    <row r="424" spans="1:18" x14ac:dyDescent="0.35">
      <c r="A424" t="s">
        <v>463</v>
      </c>
      <c r="B424" t="s">
        <v>5</v>
      </c>
      <c r="C424" t="s">
        <v>271</v>
      </c>
      <c r="D424" t="s">
        <v>31</v>
      </c>
      <c r="E424" s="5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 s="4">
        <v>1090.8643400000001</v>
      </c>
      <c r="L424" s="2">
        <v>36090.86434</v>
      </c>
      <c r="M424" t="str">
        <f t="shared" si="36"/>
        <v>Arizona</v>
      </c>
      <c r="N424" t="str">
        <f t="shared" si="37"/>
        <v>M</v>
      </c>
      <c r="O424" t="str">
        <f t="shared" si="38"/>
        <v>High School or Below</v>
      </c>
      <c r="P424" t="str">
        <f t="shared" si="39"/>
        <v>Personal</v>
      </c>
      <c r="Q424">
        <f t="shared" si="40"/>
        <v>2</v>
      </c>
      <c r="R424">
        <f t="shared" ca="1" si="41"/>
        <v>27</v>
      </c>
    </row>
    <row r="425" spans="1:18" x14ac:dyDescent="0.35">
      <c r="A425" t="s">
        <v>464</v>
      </c>
      <c r="B425" t="s">
        <v>33</v>
      </c>
      <c r="C425" t="s">
        <v>21</v>
      </c>
      <c r="D425" t="s">
        <v>35</v>
      </c>
      <c r="E425" s="5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 s="4">
        <v>50.587035</v>
      </c>
      <c r="L425" s="2">
        <v>35050.587034999997</v>
      </c>
      <c r="M425" t="str">
        <f t="shared" si="36"/>
        <v>Oregon</v>
      </c>
      <c r="N425" t="str">
        <f t="shared" si="37"/>
        <v>F</v>
      </c>
      <c r="O425" t="str">
        <f t="shared" si="38"/>
        <v>College</v>
      </c>
      <c r="P425" t="str">
        <f t="shared" si="39"/>
        <v>Personal</v>
      </c>
      <c r="Q425">
        <f t="shared" si="40"/>
        <v>2</v>
      </c>
      <c r="R425">
        <f t="shared" ca="1" si="41"/>
        <v>30</v>
      </c>
    </row>
    <row r="426" spans="1:18" x14ac:dyDescent="0.35">
      <c r="A426" t="s">
        <v>465</v>
      </c>
      <c r="B426" t="s">
        <v>33</v>
      </c>
      <c r="C426" t="s">
        <v>21</v>
      </c>
      <c r="D426" t="s">
        <v>31</v>
      </c>
      <c r="E426" s="5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 s="4">
        <v>537.6</v>
      </c>
      <c r="L426" s="2">
        <v>35537.599999999999</v>
      </c>
      <c r="M426" t="str">
        <f t="shared" si="36"/>
        <v>Oregon</v>
      </c>
      <c r="N426" t="str">
        <f t="shared" si="37"/>
        <v>F</v>
      </c>
      <c r="O426" t="str">
        <f t="shared" si="38"/>
        <v>High School or Below</v>
      </c>
      <c r="P426" t="str">
        <f t="shared" si="39"/>
        <v>Personal</v>
      </c>
      <c r="Q426">
        <f t="shared" si="40"/>
        <v>4</v>
      </c>
      <c r="R426">
        <f t="shared" ca="1" si="41"/>
        <v>29</v>
      </c>
    </row>
    <row r="427" spans="1:18" x14ac:dyDescent="0.35">
      <c r="A427" t="s">
        <v>466</v>
      </c>
      <c r="B427" t="s">
        <v>26</v>
      </c>
      <c r="C427" t="s">
        <v>271</v>
      </c>
      <c r="D427" t="s">
        <v>4</v>
      </c>
      <c r="E427" s="5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 s="4">
        <v>151.528482</v>
      </c>
      <c r="L427" s="2">
        <v>35151.528482000002</v>
      </c>
      <c r="M427" t="str">
        <f t="shared" si="36"/>
        <v>California</v>
      </c>
      <c r="N427" t="str">
        <f t="shared" si="37"/>
        <v>M</v>
      </c>
      <c r="O427" t="str">
        <f t="shared" si="38"/>
        <v>Bachelor</v>
      </c>
      <c r="P427" t="str">
        <f t="shared" si="39"/>
        <v>Personal</v>
      </c>
      <c r="Q427">
        <f t="shared" si="40"/>
        <v>2</v>
      </c>
      <c r="R427">
        <f t="shared" ca="1" si="41"/>
        <v>30</v>
      </c>
    </row>
    <row r="428" spans="1:18" x14ac:dyDescent="0.35">
      <c r="A428" t="s">
        <v>467</v>
      </c>
      <c r="B428" t="s">
        <v>5</v>
      </c>
      <c r="C428" t="s">
        <v>21</v>
      </c>
      <c r="D428" t="s">
        <v>2</v>
      </c>
      <c r="E428" s="5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 s="4">
        <v>347.07594799999998</v>
      </c>
      <c r="L428" s="2">
        <v>35347.075947999998</v>
      </c>
      <c r="M428" t="str">
        <f t="shared" si="36"/>
        <v>Arizona</v>
      </c>
      <c r="N428" t="str">
        <f t="shared" si="37"/>
        <v>F</v>
      </c>
      <c r="O428" t="str">
        <f t="shared" si="38"/>
        <v>Master</v>
      </c>
      <c r="P428" t="str">
        <f t="shared" si="39"/>
        <v>Personal</v>
      </c>
      <c r="Q428">
        <f t="shared" si="40"/>
        <v>4</v>
      </c>
      <c r="R428">
        <f t="shared" ca="1" si="41"/>
        <v>29</v>
      </c>
    </row>
    <row r="429" spans="1:18" x14ac:dyDescent="0.35">
      <c r="A429" t="s">
        <v>468</v>
      </c>
      <c r="B429" t="s">
        <v>33</v>
      </c>
      <c r="C429" t="s">
        <v>271</v>
      </c>
      <c r="D429" t="s">
        <v>2</v>
      </c>
      <c r="E429" s="5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 s="4">
        <v>271.69752899999997</v>
      </c>
      <c r="L429" s="2">
        <v>35271.697528999997</v>
      </c>
      <c r="M429" t="str">
        <f t="shared" si="36"/>
        <v>Oregon</v>
      </c>
      <c r="N429" t="str">
        <f t="shared" si="37"/>
        <v>M</v>
      </c>
      <c r="O429" t="str">
        <f t="shared" si="38"/>
        <v>Master</v>
      </c>
      <c r="P429" t="str">
        <f t="shared" si="39"/>
        <v>Personal</v>
      </c>
      <c r="Q429">
        <f t="shared" si="40"/>
        <v>2</v>
      </c>
      <c r="R429">
        <f t="shared" ca="1" si="41"/>
        <v>30</v>
      </c>
    </row>
    <row r="430" spans="1:18" x14ac:dyDescent="0.35">
      <c r="A430" t="s">
        <v>469</v>
      </c>
      <c r="B430" t="s">
        <v>33</v>
      </c>
      <c r="C430" t="s">
        <v>271</v>
      </c>
      <c r="D430" t="s">
        <v>31</v>
      </c>
      <c r="E430" s="5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 s="4">
        <v>638.4</v>
      </c>
      <c r="L430" s="2">
        <v>35638.400000000001</v>
      </c>
      <c r="M430" t="str">
        <f t="shared" si="36"/>
        <v>Oregon</v>
      </c>
      <c r="N430" t="str">
        <f t="shared" si="37"/>
        <v>M</v>
      </c>
      <c r="O430" t="str">
        <f t="shared" si="38"/>
        <v>High School or Below</v>
      </c>
      <c r="P430" t="str">
        <f t="shared" si="39"/>
        <v>Corporate</v>
      </c>
      <c r="Q430">
        <f t="shared" si="40"/>
        <v>4</v>
      </c>
      <c r="R430">
        <f t="shared" ca="1" si="41"/>
        <v>29</v>
      </c>
    </row>
    <row r="431" spans="1:18" x14ac:dyDescent="0.35">
      <c r="A431" t="s">
        <v>470</v>
      </c>
      <c r="B431" t="s">
        <v>33</v>
      </c>
      <c r="C431" t="s">
        <v>271</v>
      </c>
      <c r="D431" t="s">
        <v>31</v>
      </c>
      <c r="E431" s="5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 s="4">
        <v>849.6</v>
      </c>
      <c r="L431" s="2">
        <v>35849.599999999999</v>
      </c>
      <c r="M431" t="str">
        <f t="shared" si="36"/>
        <v>Oregon</v>
      </c>
      <c r="N431" t="str">
        <f t="shared" si="37"/>
        <v>M</v>
      </c>
      <c r="O431" t="str">
        <f t="shared" si="38"/>
        <v>High School or Below</v>
      </c>
      <c r="P431" t="str">
        <f t="shared" si="39"/>
        <v>Corporate</v>
      </c>
      <c r="Q431">
        <f t="shared" si="40"/>
        <v>4</v>
      </c>
      <c r="R431">
        <f t="shared" ca="1" si="41"/>
        <v>28</v>
      </c>
    </row>
    <row r="432" spans="1:18" x14ac:dyDescent="0.35">
      <c r="A432" t="s">
        <v>471</v>
      </c>
      <c r="B432" t="s">
        <v>3</v>
      </c>
      <c r="C432" t="s">
        <v>27</v>
      </c>
      <c r="D432" t="s">
        <v>53</v>
      </c>
      <c r="E432" s="5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 s="4">
        <v>110.484661</v>
      </c>
      <c r="L432" s="2">
        <v>35110.484661000002</v>
      </c>
      <c r="M432" t="str">
        <f t="shared" si="36"/>
        <v>Washington</v>
      </c>
      <c r="N432" t="str">
        <f t="shared" si="37"/>
        <v>M</v>
      </c>
      <c r="O432" t="str">
        <f t="shared" si="38"/>
        <v>Bachelor</v>
      </c>
      <c r="P432" t="str">
        <f t="shared" si="39"/>
        <v>Personal</v>
      </c>
      <c r="Q432">
        <f t="shared" si="40"/>
        <v>2</v>
      </c>
      <c r="R432">
        <f t="shared" ca="1" si="41"/>
        <v>30</v>
      </c>
    </row>
    <row r="433" spans="1:18" x14ac:dyDescent="0.35">
      <c r="A433" t="s">
        <v>472</v>
      </c>
      <c r="B433" t="s">
        <v>3</v>
      </c>
      <c r="C433" t="s">
        <v>21</v>
      </c>
      <c r="D433" t="s">
        <v>4</v>
      </c>
      <c r="E433" s="5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 s="4">
        <v>113.534474</v>
      </c>
      <c r="L433" s="2">
        <v>35113.534474</v>
      </c>
      <c r="M433" t="str">
        <f t="shared" si="36"/>
        <v>Washington</v>
      </c>
      <c r="N433" t="str">
        <f t="shared" si="37"/>
        <v>F</v>
      </c>
      <c r="O433" t="str">
        <f t="shared" si="38"/>
        <v>Bachelor</v>
      </c>
      <c r="P433" t="str">
        <f t="shared" si="39"/>
        <v>Personal</v>
      </c>
      <c r="Q433">
        <f t="shared" si="40"/>
        <v>4</v>
      </c>
      <c r="R433">
        <f t="shared" ca="1" si="41"/>
        <v>30</v>
      </c>
    </row>
    <row r="434" spans="1:18" x14ac:dyDescent="0.35">
      <c r="A434" t="s">
        <v>473</v>
      </c>
      <c r="B434" t="s">
        <v>26</v>
      </c>
      <c r="C434" t="s">
        <v>271</v>
      </c>
      <c r="D434" t="s">
        <v>35</v>
      </c>
      <c r="E434" s="5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 s="4">
        <v>528</v>
      </c>
      <c r="L434" s="2">
        <v>35528</v>
      </c>
      <c r="M434" t="str">
        <f t="shared" si="36"/>
        <v>California</v>
      </c>
      <c r="N434" t="str">
        <f t="shared" si="37"/>
        <v>M</v>
      </c>
      <c r="O434" t="str">
        <f t="shared" si="38"/>
        <v>College</v>
      </c>
      <c r="P434" t="str">
        <f t="shared" si="39"/>
        <v>Personal</v>
      </c>
      <c r="Q434">
        <f t="shared" si="40"/>
        <v>4</v>
      </c>
      <c r="R434">
        <f t="shared" ca="1" si="41"/>
        <v>29</v>
      </c>
    </row>
    <row r="435" spans="1:18" x14ac:dyDescent="0.35">
      <c r="A435" t="s">
        <v>474</v>
      </c>
      <c r="B435" t="s">
        <v>33</v>
      </c>
      <c r="C435" t="s">
        <v>21</v>
      </c>
      <c r="D435" t="s">
        <v>2</v>
      </c>
      <c r="E435" s="5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 s="4">
        <v>595.20000000000005</v>
      </c>
      <c r="L435" s="2">
        <v>35595.199999999997</v>
      </c>
      <c r="M435" t="str">
        <f t="shared" si="36"/>
        <v>Oregon</v>
      </c>
      <c r="N435" t="str">
        <f t="shared" si="37"/>
        <v>F</v>
      </c>
      <c r="O435" t="str">
        <f t="shared" si="38"/>
        <v>Master</v>
      </c>
      <c r="P435" t="str">
        <f t="shared" si="39"/>
        <v>Corporate</v>
      </c>
      <c r="Q435">
        <f t="shared" si="40"/>
        <v>2</v>
      </c>
      <c r="R435">
        <f t="shared" ca="1" si="41"/>
        <v>29</v>
      </c>
    </row>
    <row r="436" spans="1:18" x14ac:dyDescent="0.35">
      <c r="A436" t="s">
        <v>475</v>
      </c>
      <c r="B436" t="s">
        <v>3</v>
      </c>
      <c r="C436" t="s">
        <v>21</v>
      </c>
      <c r="D436" t="s">
        <v>35</v>
      </c>
      <c r="E436" s="5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 s="4">
        <v>113.60950800000001</v>
      </c>
      <c r="L436" s="2">
        <v>35113.609508000001</v>
      </c>
      <c r="M436" t="str">
        <f t="shared" si="36"/>
        <v>Washington</v>
      </c>
      <c r="N436" t="str">
        <f t="shared" si="37"/>
        <v>F</v>
      </c>
      <c r="O436" t="str">
        <f t="shared" si="38"/>
        <v>College</v>
      </c>
      <c r="P436" t="str">
        <f t="shared" si="39"/>
        <v>Personal</v>
      </c>
      <c r="Q436">
        <f t="shared" si="40"/>
        <v>4</v>
      </c>
      <c r="R436">
        <f t="shared" ca="1" si="41"/>
        <v>30</v>
      </c>
    </row>
    <row r="437" spans="1:18" x14ac:dyDescent="0.35">
      <c r="A437" t="s">
        <v>476</v>
      </c>
      <c r="B437" t="s">
        <v>26</v>
      </c>
      <c r="C437" t="s">
        <v>271</v>
      </c>
      <c r="D437" t="s">
        <v>80</v>
      </c>
      <c r="E437" s="5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 s="4">
        <v>1337.0634869999999</v>
      </c>
      <c r="L437" s="2">
        <v>36337.063486999999</v>
      </c>
      <c r="M437" t="str">
        <f t="shared" si="36"/>
        <v>California</v>
      </c>
      <c r="N437" t="str">
        <f t="shared" si="37"/>
        <v>M</v>
      </c>
      <c r="O437" t="str">
        <f t="shared" si="38"/>
        <v>Doctor</v>
      </c>
      <c r="P437" t="str">
        <f t="shared" si="39"/>
        <v>Personal</v>
      </c>
      <c r="Q437">
        <f t="shared" si="40"/>
        <v>4</v>
      </c>
      <c r="R437">
        <f t="shared" ca="1" si="41"/>
        <v>27</v>
      </c>
    </row>
    <row r="438" spans="1:18" x14ac:dyDescent="0.35">
      <c r="A438" t="s">
        <v>477</v>
      </c>
      <c r="B438" t="s">
        <v>3</v>
      </c>
      <c r="C438" t="s">
        <v>27</v>
      </c>
      <c r="D438" t="s">
        <v>31</v>
      </c>
      <c r="E438" s="5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 s="4">
        <v>114.273025</v>
      </c>
      <c r="L438" s="2">
        <v>35114.273025000002</v>
      </c>
      <c r="M438" t="str">
        <f t="shared" si="36"/>
        <v>Washington</v>
      </c>
      <c r="N438" t="str">
        <f t="shared" si="37"/>
        <v>M</v>
      </c>
      <c r="O438" t="str">
        <f t="shared" si="38"/>
        <v>High School or Below</v>
      </c>
      <c r="P438" t="str">
        <f t="shared" si="39"/>
        <v>Personal</v>
      </c>
      <c r="Q438">
        <f t="shared" si="40"/>
        <v>2</v>
      </c>
      <c r="R438">
        <f t="shared" ca="1" si="41"/>
        <v>30</v>
      </c>
    </row>
    <row r="439" spans="1:18" x14ac:dyDescent="0.35">
      <c r="A439" t="s">
        <v>478</v>
      </c>
      <c r="B439" t="s">
        <v>33</v>
      </c>
      <c r="C439" t="s">
        <v>21</v>
      </c>
      <c r="D439" t="s">
        <v>4</v>
      </c>
      <c r="E439" s="5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 s="4">
        <v>125.194389</v>
      </c>
      <c r="L439" s="2">
        <v>35125.194388999997</v>
      </c>
      <c r="M439" t="str">
        <f t="shared" si="36"/>
        <v>Oregon</v>
      </c>
      <c r="N439" t="str">
        <f t="shared" si="37"/>
        <v>F</v>
      </c>
      <c r="O439" t="str">
        <f t="shared" si="38"/>
        <v>Bachelor</v>
      </c>
      <c r="P439" t="str">
        <f t="shared" si="39"/>
        <v>Personal</v>
      </c>
      <c r="Q439">
        <f t="shared" si="40"/>
        <v>4</v>
      </c>
      <c r="R439">
        <f t="shared" ca="1" si="41"/>
        <v>30</v>
      </c>
    </row>
    <row r="440" spans="1:18" x14ac:dyDescent="0.35">
      <c r="A440" t="s">
        <v>479</v>
      </c>
      <c r="B440" t="s">
        <v>23</v>
      </c>
      <c r="C440" t="s">
        <v>271</v>
      </c>
      <c r="D440" t="s">
        <v>31</v>
      </c>
      <c r="E440" s="5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 s="4">
        <v>235.22097099999999</v>
      </c>
      <c r="L440" s="2">
        <v>35235.220971000002</v>
      </c>
      <c r="M440" t="str">
        <f t="shared" si="36"/>
        <v>Nevada</v>
      </c>
      <c r="N440" t="str">
        <f t="shared" si="37"/>
        <v>M</v>
      </c>
      <c r="O440" t="str">
        <f t="shared" si="38"/>
        <v>High School or Below</v>
      </c>
      <c r="P440" t="str">
        <f t="shared" si="39"/>
        <v>Personal</v>
      </c>
      <c r="Q440">
        <f t="shared" si="40"/>
        <v>2</v>
      </c>
      <c r="R440">
        <f t="shared" ca="1" si="41"/>
        <v>30</v>
      </c>
    </row>
    <row r="441" spans="1:18" x14ac:dyDescent="0.35">
      <c r="A441" t="s">
        <v>480</v>
      </c>
      <c r="B441" t="s">
        <v>33</v>
      </c>
      <c r="C441" t="s">
        <v>21</v>
      </c>
      <c r="D441" t="s">
        <v>35</v>
      </c>
      <c r="E441" s="5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 s="4">
        <v>395.34111000000001</v>
      </c>
      <c r="L441" s="2">
        <v>35395.341110000001</v>
      </c>
      <c r="M441" t="str">
        <f t="shared" si="36"/>
        <v>Oregon</v>
      </c>
      <c r="N441" t="str">
        <f t="shared" si="37"/>
        <v>F</v>
      </c>
      <c r="O441" t="str">
        <f t="shared" si="38"/>
        <v>College</v>
      </c>
      <c r="P441" t="str">
        <f t="shared" si="39"/>
        <v>Personal</v>
      </c>
      <c r="Q441">
        <f t="shared" si="40"/>
        <v>4</v>
      </c>
      <c r="R441">
        <f t="shared" ca="1" si="41"/>
        <v>29</v>
      </c>
    </row>
    <row r="442" spans="1:18" x14ac:dyDescent="0.35">
      <c r="A442" t="s">
        <v>481</v>
      </c>
      <c r="B442" t="s">
        <v>3</v>
      </c>
      <c r="C442" t="s">
        <v>27</v>
      </c>
      <c r="D442" t="s">
        <v>31</v>
      </c>
      <c r="E442" s="5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 s="4">
        <v>114.798771</v>
      </c>
      <c r="L442" s="2">
        <v>35114.798771000002</v>
      </c>
      <c r="M442" t="str">
        <f t="shared" si="36"/>
        <v>Washington</v>
      </c>
      <c r="N442" t="str">
        <f t="shared" si="37"/>
        <v>M</v>
      </c>
      <c r="O442" t="str">
        <f t="shared" si="38"/>
        <v>High School or Below</v>
      </c>
      <c r="P442" t="str">
        <f t="shared" si="39"/>
        <v>Corporate</v>
      </c>
      <c r="Q442">
        <f t="shared" si="40"/>
        <v>4</v>
      </c>
      <c r="R442">
        <f t="shared" ca="1" si="41"/>
        <v>30</v>
      </c>
    </row>
    <row r="443" spans="1:18" x14ac:dyDescent="0.35">
      <c r="A443" t="s">
        <v>482</v>
      </c>
      <c r="B443" t="s">
        <v>23</v>
      </c>
      <c r="C443" t="s">
        <v>271</v>
      </c>
      <c r="D443" t="s">
        <v>31</v>
      </c>
      <c r="E443" s="5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 s="4">
        <v>772.79851099999996</v>
      </c>
      <c r="L443" s="2">
        <v>35772.798511000001</v>
      </c>
      <c r="M443" t="str">
        <f t="shared" si="36"/>
        <v>Nevada</v>
      </c>
      <c r="N443" t="str">
        <f t="shared" si="37"/>
        <v>M</v>
      </c>
      <c r="O443" t="str">
        <f t="shared" si="38"/>
        <v>High School or Below</v>
      </c>
      <c r="P443" t="str">
        <f t="shared" si="39"/>
        <v>Personal</v>
      </c>
      <c r="Q443">
        <f t="shared" si="40"/>
        <v>2</v>
      </c>
      <c r="R443">
        <f t="shared" ca="1" si="41"/>
        <v>28</v>
      </c>
    </row>
    <row r="444" spans="1:18" x14ac:dyDescent="0.35">
      <c r="A444" t="s">
        <v>483</v>
      </c>
      <c r="B444" t="s">
        <v>33</v>
      </c>
      <c r="C444" t="s">
        <v>271</v>
      </c>
      <c r="D444" t="s">
        <v>35</v>
      </c>
      <c r="E444" s="5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 s="4">
        <v>633.6</v>
      </c>
      <c r="L444" s="2">
        <v>35633.599999999999</v>
      </c>
      <c r="M444" t="str">
        <f t="shared" si="36"/>
        <v>Oregon</v>
      </c>
      <c r="N444" t="str">
        <f t="shared" si="37"/>
        <v>M</v>
      </c>
      <c r="O444" t="str">
        <f t="shared" si="38"/>
        <v>College</v>
      </c>
      <c r="P444" t="str">
        <f t="shared" si="39"/>
        <v>Personal</v>
      </c>
      <c r="Q444">
        <f t="shared" si="40"/>
        <v>4</v>
      </c>
      <c r="R444">
        <f t="shared" ca="1" si="41"/>
        <v>29</v>
      </c>
    </row>
    <row r="445" spans="1:18" x14ac:dyDescent="0.35">
      <c r="A445" t="s">
        <v>484</v>
      </c>
      <c r="B445" t="s">
        <v>33</v>
      </c>
      <c r="C445" t="s">
        <v>21</v>
      </c>
      <c r="D445" t="s">
        <v>31</v>
      </c>
      <c r="E445" s="5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 s="4">
        <v>350.4</v>
      </c>
      <c r="L445" s="2">
        <v>35350.400000000001</v>
      </c>
      <c r="M445" t="str">
        <f t="shared" si="36"/>
        <v>Oregon</v>
      </c>
      <c r="N445" t="str">
        <f t="shared" si="37"/>
        <v>F</v>
      </c>
      <c r="O445" t="str">
        <f t="shared" si="38"/>
        <v>High School or Below</v>
      </c>
      <c r="P445" t="str">
        <f t="shared" si="39"/>
        <v>Personal</v>
      </c>
      <c r="Q445">
        <f t="shared" si="40"/>
        <v>4</v>
      </c>
      <c r="R445">
        <f t="shared" ca="1" si="41"/>
        <v>29</v>
      </c>
    </row>
    <row r="446" spans="1:18" x14ac:dyDescent="0.35">
      <c r="A446" t="s">
        <v>485</v>
      </c>
      <c r="B446" t="s">
        <v>5</v>
      </c>
      <c r="C446" t="s">
        <v>21</v>
      </c>
      <c r="D446" t="s">
        <v>35</v>
      </c>
      <c r="E446" s="5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 s="4">
        <v>168.51714899999999</v>
      </c>
      <c r="L446" s="2">
        <v>35168.517148999999</v>
      </c>
      <c r="M446" t="str">
        <f t="shared" si="36"/>
        <v>Arizona</v>
      </c>
      <c r="N446" t="str">
        <f t="shared" si="37"/>
        <v>F</v>
      </c>
      <c r="O446" t="str">
        <f t="shared" si="38"/>
        <v>College</v>
      </c>
      <c r="P446" t="str">
        <f t="shared" si="39"/>
        <v>Personal</v>
      </c>
      <c r="Q446">
        <f t="shared" si="40"/>
        <v>2</v>
      </c>
      <c r="R446">
        <f t="shared" ca="1" si="41"/>
        <v>30</v>
      </c>
    </row>
    <row r="447" spans="1:18" x14ac:dyDescent="0.35">
      <c r="A447" t="s">
        <v>486</v>
      </c>
      <c r="B447" t="s">
        <v>26</v>
      </c>
      <c r="C447" t="s">
        <v>21</v>
      </c>
      <c r="D447" t="s">
        <v>4</v>
      </c>
      <c r="E447" s="5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 s="4">
        <v>307.2</v>
      </c>
      <c r="L447" s="2">
        <v>35307.199999999997</v>
      </c>
      <c r="M447" t="str">
        <f t="shared" si="36"/>
        <v>California</v>
      </c>
      <c r="N447" t="str">
        <f t="shared" si="37"/>
        <v>F</v>
      </c>
      <c r="O447" t="str">
        <f t="shared" si="38"/>
        <v>Bachelor</v>
      </c>
      <c r="P447" t="str">
        <f t="shared" si="39"/>
        <v>Corporate</v>
      </c>
      <c r="Q447">
        <f t="shared" si="40"/>
        <v>4</v>
      </c>
      <c r="R447">
        <f t="shared" ca="1" si="41"/>
        <v>30</v>
      </c>
    </row>
    <row r="448" spans="1:18" x14ac:dyDescent="0.35">
      <c r="A448" t="s">
        <v>487</v>
      </c>
      <c r="B448" t="s">
        <v>26</v>
      </c>
      <c r="C448" t="s">
        <v>271</v>
      </c>
      <c r="D448" t="s">
        <v>31</v>
      </c>
      <c r="E448" s="5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 s="4">
        <v>633.6</v>
      </c>
      <c r="L448" s="2">
        <v>35633.599999999999</v>
      </c>
      <c r="M448" t="str">
        <f t="shared" si="36"/>
        <v>California</v>
      </c>
      <c r="N448" t="str">
        <f t="shared" si="37"/>
        <v>M</v>
      </c>
      <c r="O448" t="str">
        <f t="shared" si="38"/>
        <v>High School or Below</v>
      </c>
      <c r="P448" t="str">
        <f t="shared" si="39"/>
        <v>Personal</v>
      </c>
      <c r="Q448">
        <f t="shared" si="40"/>
        <v>4</v>
      </c>
      <c r="R448">
        <f t="shared" ca="1" si="41"/>
        <v>29</v>
      </c>
    </row>
    <row r="449" spans="1:18" x14ac:dyDescent="0.3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 s="4">
        <v>504</v>
      </c>
      <c r="L449" s="2">
        <v>35504</v>
      </c>
      <c r="M449" t="str">
        <f t="shared" si="36"/>
        <v>California</v>
      </c>
      <c r="N449" t="str">
        <f t="shared" si="37"/>
        <v>M</v>
      </c>
      <c r="O449" t="str">
        <f t="shared" si="38"/>
        <v>High School or Below</v>
      </c>
      <c r="P449" t="str">
        <f t="shared" si="39"/>
        <v>Special</v>
      </c>
      <c r="Q449">
        <f t="shared" si="40"/>
        <v>4</v>
      </c>
      <c r="R449">
        <f t="shared" ca="1" si="41"/>
        <v>29</v>
      </c>
    </row>
    <row r="450" spans="1:18" x14ac:dyDescent="0.35">
      <c r="A450" t="s">
        <v>489</v>
      </c>
      <c r="B450" t="s">
        <v>23</v>
      </c>
      <c r="C450" t="s">
        <v>27</v>
      </c>
      <c r="D450" t="s">
        <v>4</v>
      </c>
      <c r="E450" s="5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 s="4">
        <v>845.654042</v>
      </c>
      <c r="L450" s="2">
        <v>35845.654042000002</v>
      </c>
      <c r="M450" t="str">
        <f t="shared" si="36"/>
        <v>Nevada</v>
      </c>
      <c r="N450" t="str">
        <f t="shared" si="37"/>
        <v>M</v>
      </c>
      <c r="O450" t="str">
        <f t="shared" si="38"/>
        <v>Bachelor</v>
      </c>
      <c r="P450" t="str">
        <f t="shared" si="39"/>
        <v>Corporate</v>
      </c>
      <c r="Q450">
        <f t="shared" si="40"/>
        <v>4</v>
      </c>
      <c r="R450">
        <f t="shared" ca="1" si="41"/>
        <v>28</v>
      </c>
    </row>
    <row r="451" spans="1:18" x14ac:dyDescent="0.35">
      <c r="A451" t="s">
        <v>490</v>
      </c>
      <c r="B451" t="s">
        <v>3</v>
      </c>
      <c r="C451" t="s">
        <v>17</v>
      </c>
      <c r="D451" t="s">
        <v>35</v>
      </c>
      <c r="E451" s="5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 s="4">
        <v>115.728852</v>
      </c>
      <c r="L451" s="2">
        <v>35115.728852</v>
      </c>
      <c r="M451" t="str">
        <f t="shared" ref="M451:M514" si="42">IF(OR(B451="California",B451="Cali"),"California",IF(OR(B451="Arizona",B451="AZ"),"Arizona",IF(OR(B451="Washington",B451="WA"),"Washington",B451)))</f>
        <v>Washington</v>
      </c>
      <c r="N451" t="str">
        <f t="shared" ref="N451:N514" si="43">IF(OR(C451="F",C451="Femal",C451="female"),"F",IF(OR(C451="M",C451="Male"),"M","NA"))</f>
        <v>NA</v>
      </c>
      <c r="O451" t="str">
        <f t="shared" ref="O451:O514" si="44">IF(OR(D451="Bachelor",D451="Bachelors"),"Bachelor",D451)</f>
        <v>College</v>
      </c>
      <c r="P451" t="str">
        <f t="shared" ref="P451:P514" si="45">LEFT(I451,FIND(" ",I451)-1)</f>
        <v>Personal</v>
      </c>
      <c r="Q451">
        <f t="shared" ref="Q451:Q514" si="46">IF(OR(J451="Luxury Car",J451="Two-Door Car",J451="Sports Car"),2,IF(OR(J451="Luxury SUV",J451="SUV",J451="Four-Door Car"),4,"NA"))</f>
        <v>4</v>
      </c>
      <c r="R451">
        <f t="shared" ref="R451:R514" ca="1" si="47">DATEDIF(L451,TODAY(),"Y")</f>
        <v>30</v>
      </c>
    </row>
    <row r="452" spans="1:18" x14ac:dyDescent="0.35">
      <c r="A452" t="s">
        <v>491</v>
      </c>
      <c r="B452" t="s">
        <v>33</v>
      </c>
      <c r="C452" t="s">
        <v>21</v>
      </c>
      <c r="D452" t="s">
        <v>4</v>
      </c>
      <c r="E452" s="5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 s="4">
        <v>668.29396999999994</v>
      </c>
      <c r="L452" s="2">
        <v>35668.293969999999</v>
      </c>
      <c r="M452" t="str">
        <f t="shared" si="42"/>
        <v>Oregon</v>
      </c>
      <c r="N452" t="str">
        <f t="shared" si="43"/>
        <v>F</v>
      </c>
      <c r="O452" t="str">
        <f t="shared" si="44"/>
        <v>Bachelor</v>
      </c>
      <c r="P452" t="str">
        <f t="shared" si="45"/>
        <v>Personal</v>
      </c>
      <c r="Q452">
        <f t="shared" si="46"/>
        <v>2</v>
      </c>
      <c r="R452">
        <f t="shared" ca="1" si="47"/>
        <v>29</v>
      </c>
    </row>
    <row r="453" spans="1:18" x14ac:dyDescent="0.35">
      <c r="A453" t="s">
        <v>492</v>
      </c>
      <c r="B453" t="s">
        <v>33</v>
      </c>
      <c r="C453" t="s">
        <v>27</v>
      </c>
      <c r="D453" t="s">
        <v>4</v>
      </c>
      <c r="E453" s="5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 s="4">
        <v>700.90163199999995</v>
      </c>
      <c r="L453" s="2">
        <v>35700.901632000001</v>
      </c>
      <c r="M453" t="str">
        <f t="shared" si="42"/>
        <v>Oregon</v>
      </c>
      <c r="N453" t="str">
        <f t="shared" si="43"/>
        <v>M</v>
      </c>
      <c r="O453" t="str">
        <f t="shared" si="44"/>
        <v>Bachelor</v>
      </c>
      <c r="P453" t="str">
        <f t="shared" si="45"/>
        <v>Personal</v>
      </c>
      <c r="Q453">
        <f t="shared" si="46"/>
        <v>4</v>
      </c>
      <c r="R453">
        <f t="shared" ca="1" si="47"/>
        <v>28</v>
      </c>
    </row>
    <row r="454" spans="1:18" x14ac:dyDescent="0.35">
      <c r="A454" t="s">
        <v>493</v>
      </c>
      <c r="B454" t="s">
        <v>33</v>
      </c>
      <c r="C454" t="s">
        <v>21</v>
      </c>
      <c r="D454" t="s">
        <v>31</v>
      </c>
      <c r="E454" s="5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 s="4">
        <v>525.6</v>
      </c>
      <c r="L454" s="2">
        <v>35525.599999999999</v>
      </c>
      <c r="M454" t="str">
        <f t="shared" si="42"/>
        <v>Oregon</v>
      </c>
      <c r="N454" t="str">
        <f t="shared" si="43"/>
        <v>F</v>
      </c>
      <c r="O454" t="str">
        <f t="shared" si="44"/>
        <v>High School or Below</v>
      </c>
      <c r="P454" t="str">
        <f t="shared" si="45"/>
        <v>Personal</v>
      </c>
      <c r="Q454">
        <f t="shared" si="46"/>
        <v>4</v>
      </c>
      <c r="R454">
        <f t="shared" ca="1" si="47"/>
        <v>29</v>
      </c>
    </row>
    <row r="455" spans="1:18" x14ac:dyDescent="0.35">
      <c r="A455" t="s">
        <v>494</v>
      </c>
      <c r="B455" t="s">
        <v>23</v>
      </c>
      <c r="C455" t="s">
        <v>27</v>
      </c>
      <c r="D455" t="s">
        <v>2</v>
      </c>
      <c r="E455" s="5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 s="4">
        <v>25.298999999999999</v>
      </c>
      <c r="L455" s="2">
        <v>35025.298999999999</v>
      </c>
      <c r="M455" t="str">
        <f t="shared" si="42"/>
        <v>Nevada</v>
      </c>
      <c r="N455" t="str">
        <f t="shared" si="43"/>
        <v>M</v>
      </c>
      <c r="O455" t="str">
        <f t="shared" si="44"/>
        <v>Master</v>
      </c>
      <c r="P455" t="str">
        <f t="shared" si="45"/>
        <v>Corporate</v>
      </c>
      <c r="Q455">
        <f t="shared" si="46"/>
        <v>4</v>
      </c>
      <c r="R455">
        <f t="shared" ca="1" si="47"/>
        <v>30</v>
      </c>
    </row>
    <row r="456" spans="1:18" x14ac:dyDescent="0.3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 s="4">
        <v>375.33009700000002</v>
      </c>
      <c r="L456" s="2">
        <v>35375.330096999998</v>
      </c>
      <c r="M456" t="str">
        <f t="shared" si="42"/>
        <v>Nevada</v>
      </c>
      <c r="N456" t="str">
        <f t="shared" si="43"/>
        <v>M</v>
      </c>
      <c r="O456" t="str">
        <f t="shared" si="44"/>
        <v>College</v>
      </c>
      <c r="P456" t="str">
        <f t="shared" si="45"/>
        <v>Personal</v>
      </c>
      <c r="Q456">
        <f t="shared" si="46"/>
        <v>4</v>
      </c>
      <c r="R456">
        <f t="shared" ca="1" si="47"/>
        <v>29</v>
      </c>
    </row>
    <row r="457" spans="1:18" x14ac:dyDescent="0.35">
      <c r="A457" t="s">
        <v>496</v>
      </c>
      <c r="B457" t="s">
        <v>33</v>
      </c>
      <c r="C457" t="s">
        <v>27</v>
      </c>
      <c r="D457" t="s">
        <v>4</v>
      </c>
      <c r="E457" s="5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 s="4">
        <v>418.23366700000003</v>
      </c>
      <c r="L457" s="2">
        <v>35418.233667</v>
      </c>
      <c r="M457" t="str">
        <f t="shared" si="42"/>
        <v>Oregon</v>
      </c>
      <c r="N457" t="str">
        <f t="shared" si="43"/>
        <v>M</v>
      </c>
      <c r="O457" t="str">
        <f t="shared" si="44"/>
        <v>Bachelor</v>
      </c>
      <c r="P457" t="str">
        <f t="shared" si="45"/>
        <v>Corporate</v>
      </c>
      <c r="Q457">
        <f t="shared" si="46"/>
        <v>4</v>
      </c>
      <c r="R457">
        <f t="shared" ca="1" si="47"/>
        <v>29</v>
      </c>
    </row>
    <row r="458" spans="1:18" x14ac:dyDescent="0.3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 s="4">
        <v>398.240791</v>
      </c>
      <c r="L458" s="2">
        <v>35398.240790999997</v>
      </c>
      <c r="M458" t="str">
        <f t="shared" si="42"/>
        <v>Nevada</v>
      </c>
      <c r="N458" t="str">
        <f t="shared" si="43"/>
        <v>M</v>
      </c>
      <c r="O458" t="str">
        <f t="shared" si="44"/>
        <v>Doctor</v>
      </c>
      <c r="P458" t="str">
        <f t="shared" si="45"/>
        <v>Corporate</v>
      </c>
      <c r="Q458">
        <f t="shared" si="46"/>
        <v>2</v>
      </c>
      <c r="R458">
        <f t="shared" ca="1" si="47"/>
        <v>29</v>
      </c>
    </row>
    <row r="459" spans="1:18" x14ac:dyDescent="0.35">
      <c r="A459" t="s">
        <v>498</v>
      </c>
      <c r="B459" t="s">
        <v>26</v>
      </c>
      <c r="C459" t="s">
        <v>21</v>
      </c>
      <c r="D459" t="s">
        <v>4</v>
      </c>
      <c r="E459" s="5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 s="4">
        <v>938.51342499999998</v>
      </c>
      <c r="L459" s="2">
        <v>35938.513424999997</v>
      </c>
      <c r="M459" t="str">
        <f t="shared" si="42"/>
        <v>California</v>
      </c>
      <c r="N459" t="str">
        <f t="shared" si="43"/>
        <v>F</v>
      </c>
      <c r="O459" t="str">
        <f t="shared" si="44"/>
        <v>Bachelor</v>
      </c>
      <c r="P459" t="str">
        <f t="shared" si="45"/>
        <v>Personal</v>
      </c>
      <c r="Q459">
        <f t="shared" si="46"/>
        <v>2</v>
      </c>
      <c r="R459">
        <f t="shared" ca="1" si="47"/>
        <v>28</v>
      </c>
    </row>
    <row r="460" spans="1:18" x14ac:dyDescent="0.3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 s="4">
        <v>338.61986899999999</v>
      </c>
      <c r="L460" s="2">
        <v>35338.619869000002</v>
      </c>
      <c r="M460" t="str">
        <f t="shared" si="42"/>
        <v>California</v>
      </c>
      <c r="N460" t="str">
        <f t="shared" si="43"/>
        <v>M</v>
      </c>
      <c r="O460" t="str">
        <f t="shared" si="44"/>
        <v>High School or Below</v>
      </c>
      <c r="P460" t="str">
        <f t="shared" si="45"/>
        <v>Corporate</v>
      </c>
      <c r="Q460">
        <f t="shared" si="46"/>
        <v>4</v>
      </c>
      <c r="R460">
        <f t="shared" ca="1" si="47"/>
        <v>29</v>
      </c>
    </row>
    <row r="461" spans="1:18" x14ac:dyDescent="0.35">
      <c r="A461" t="s">
        <v>500</v>
      </c>
      <c r="B461" t="s">
        <v>26</v>
      </c>
      <c r="C461" t="s">
        <v>21</v>
      </c>
      <c r="D461" t="s">
        <v>4</v>
      </c>
      <c r="E461" s="5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 s="4">
        <v>339.34453100000002</v>
      </c>
      <c r="L461" s="2">
        <v>35339.344531000002</v>
      </c>
      <c r="M461" t="str">
        <f t="shared" si="42"/>
        <v>California</v>
      </c>
      <c r="N461" t="str">
        <f t="shared" si="43"/>
        <v>F</v>
      </c>
      <c r="O461" t="str">
        <f t="shared" si="44"/>
        <v>Bachelor</v>
      </c>
      <c r="P461" t="str">
        <f t="shared" si="45"/>
        <v>Corporate</v>
      </c>
      <c r="Q461">
        <f t="shared" si="46"/>
        <v>2</v>
      </c>
      <c r="R461">
        <f t="shared" ca="1" si="47"/>
        <v>29</v>
      </c>
    </row>
    <row r="462" spans="1:18" x14ac:dyDescent="0.35">
      <c r="A462" t="s">
        <v>501</v>
      </c>
      <c r="B462" t="s">
        <v>33</v>
      </c>
      <c r="C462" t="s">
        <v>21</v>
      </c>
      <c r="D462" t="s">
        <v>31</v>
      </c>
      <c r="E462" s="5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 s="4">
        <v>302.81883299999998</v>
      </c>
      <c r="L462" s="2">
        <v>35302.818832999998</v>
      </c>
      <c r="M462" t="str">
        <f t="shared" si="42"/>
        <v>Oregon</v>
      </c>
      <c r="N462" t="str">
        <f t="shared" si="43"/>
        <v>F</v>
      </c>
      <c r="O462" t="str">
        <f t="shared" si="44"/>
        <v>High School or Below</v>
      </c>
      <c r="P462" t="str">
        <f t="shared" si="45"/>
        <v>Personal</v>
      </c>
      <c r="Q462">
        <f t="shared" si="46"/>
        <v>4</v>
      </c>
      <c r="R462">
        <f t="shared" ca="1" si="47"/>
        <v>30</v>
      </c>
    </row>
    <row r="463" spans="1:18" x14ac:dyDescent="0.35">
      <c r="A463" t="s">
        <v>502</v>
      </c>
      <c r="B463" t="s">
        <v>26</v>
      </c>
      <c r="C463" t="s">
        <v>21</v>
      </c>
      <c r="D463" t="s">
        <v>35</v>
      </c>
      <c r="E463" s="5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 s="4">
        <v>619.165344</v>
      </c>
      <c r="L463" s="2">
        <v>35619.165344000001</v>
      </c>
      <c r="M463" t="str">
        <f t="shared" si="42"/>
        <v>California</v>
      </c>
      <c r="N463" t="str">
        <f t="shared" si="43"/>
        <v>F</v>
      </c>
      <c r="O463" t="str">
        <f t="shared" si="44"/>
        <v>College</v>
      </c>
      <c r="P463" t="str">
        <f t="shared" si="45"/>
        <v>Personal</v>
      </c>
      <c r="Q463">
        <f t="shared" si="46"/>
        <v>4</v>
      </c>
      <c r="R463">
        <f t="shared" ca="1" si="47"/>
        <v>29</v>
      </c>
    </row>
    <row r="464" spans="1:18" x14ac:dyDescent="0.3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 s="4">
        <v>326.39999999999998</v>
      </c>
      <c r="L464" s="2">
        <v>35326.400000000001</v>
      </c>
      <c r="M464" t="str">
        <f t="shared" si="42"/>
        <v>Nevada</v>
      </c>
      <c r="N464" t="str">
        <f t="shared" si="43"/>
        <v>M</v>
      </c>
      <c r="O464" t="str">
        <f t="shared" si="44"/>
        <v>College</v>
      </c>
      <c r="P464" t="str">
        <f t="shared" si="45"/>
        <v>Personal</v>
      </c>
      <c r="Q464">
        <f t="shared" si="46"/>
        <v>4</v>
      </c>
      <c r="R464">
        <f t="shared" ca="1" si="47"/>
        <v>29</v>
      </c>
    </row>
    <row r="465" spans="1:18" x14ac:dyDescent="0.35">
      <c r="A465" t="s">
        <v>504</v>
      </c>
      <c r="B465" t="s">
        <v>5</v>
      </c>
      <c r="C465" t="s">
        <v>27</v>
      </c>
      <c r="D465" t="s">
        <v>80</v>
      </c>
      <c r="E465" s="5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 s="4">
        <v>259.561195</v>
      </c>
      <c r="L465" s="2">
        <v>35259.561195000002</v>
      </c>
      <c r="M465" t="str">
        <f t="shared" si="42"/>
        <v>Arizona</v>
      </c>
      <c r="N465" t="str">
        <f t="shared" si="43"/>
        <v>M</v>
      </c>
      <c r="O465" t="str">
        <f t="shared" si="44"/>
        <v>Doctor</v>
      </c>
      <c r="P465" t="str">
        <f t="shared" si="45"/>
        <v>Personal</v>
      </c>
      <c r="Q465">
        <f t="shared" si="46"/>
        <v>2</v>
      </c>
      <c r="R465">
        <f t="shared" ca="1" si="47"/>
        <v>30</v>
      </c>
    </row>
    <row r="466" spans="1:18" x14ac:dyDescent="0.3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 s="4">
        <v>336</v>
      </c>
      <c r="L466" s="2">
        <v>35336</v>
      </c>
      <c r="M466" t="str">
        <f t="shared" si="42"/>
        <v>Oregon</v>
      </c>
      <c r="N466" t="str">
        <f t="shared" si="43"/>
        <v>M</v>
      </c>
      <c r="O466" t="str">
        <f t="shared" si="44"/>
        <v>College</v>
      </c>
      <c r="P466" t="str">
        <f t="shared" si="45"/>
        <v>Personal</v>
      </c>
      <c r="Q466">
        <f t="shared" si="46"/>
        <v>4</v>
      </c>
      <c r="R466">
        <f t="shared" ca="1" si="47"/>
        <v>29</v>
      </c>
    </row>
    <row r="467" spans="1:18" x14ac:dyDescent="0.35">
      <c r="A467" t="s">
        <v>506</v>
      </c>
      <c r="B467" t="s">
        <v>33</v>
      </c>
      <c r="C467" t="s">
        <v>27</v>
      </c>
      <c r="D467" t="s">
        <v>4</v>
      </c>
      <c r="E467" s="5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 s="4">
        <v>364.8</v>
      </c>
      <c r="L467" s="2">
        <v>35364.800000000003</v>
      </c>
      <c r="M467" t="str">
        <f t="shared" si="42"/>
        <v>Oregon</v>
      </c>
      <c r="N467" t="str">
        <f t="shared" si="43"/>
        <v>M</v>
      </c>
      <c r="O467" t="str">
        <f t="shared" si="44"/>
        <v>Bachelor</v>
      </c>
      <c r="P467" t="str">
        <f t="shared" si="45"/>
        <v>Personal</v>
      </c>
      <c r="Q467">
        <f t="shared" si="46"/>
        <v>2</v>
      </c>
      <c r="R467">
        <f t="shared" ca="1" si="47"/>
        <v>29</v>
      </c>
    </row>
    <row r="468" spans="1:18" x14ac:dyDescent="0.35">
      <c r="A468" t="s">
        <v>507</v>
      </c>
      <c r="B468" t="s">
        <v>26</v>
      </c>
      <c r="C468" t="s">
        <v>27</v>
      </c>
      <c r="D468" t="s">
        <v>4</v>
      </c>
      <c r="E468" s="5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 s="4">
        <v>179.161843</v>
      </c>
      <c r="L468" s="2">
        <v>35179.161843000002</v>
      </c>
      <c r="M468" t="str">
        <f t="shared" si="42"/>
        <v>California</v>
      </c>
      <c r="N468" t="str">
        <f t="shared" si="43"/>
        <v>M</v>
      </c>
      <c r="O468" t="str">
        <f t="shared" si="44"/>
        <v>Bachelor</v>
      </c>
      <c r="P468" t="str">
        <f t="shared" si="45"/>
        <v>Corporate</v>
      </c>
      <c r="Q468">
        <f t="shared" si="46"/>
        <v>4</v>
      </c>
      <c r="R468">
        <f t="shared" ca="1" si="47"/>
        <v>30</v>
      </c>
    </row>
    <row r="469" spans="1:18" x14ac:dyDescent="0.35">
      <c r="A469" t="s">
        <v>508</v>
      </c>
      <c r="B469" t="s">
        <v>33</v>
      </c>
      <c r="C469" t="s">
        <v>21</v>
      </c>
      <c r="D469" t="s">
        <v>4</v>
      </c>
      <c r="E469" s="5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 s="4">
        <v>662.4</v>
      </c>
      <c r="L469" s="2">
        <v>35662.400000000001</v>
      </c>
      <c r="M469" t="str">
        <f t="shared" si="42"/>
        <v>Oregon</v>
      </c>
      <c r="N469" t="str">
        <f t="shared" si="43"/>
        <v>F</v>
      </c>
      <c r="O469" t="str">
        <f t="shared" si="44"/>
        <v>Bachelor</v>
      </c>
      <c r="P469" t="str">
        <f t="shared" si="45"/>
        <v>Corporate</v>
      </c>
      <c r="Q469">
        <f t="shared" si="46"/>
        <v>4</v>
      </c>
      <c r="R469">
        <f t="shared" ca="1" si="47"/>
        <v>29</v>
      </c>
    </row>
    <row r="470" spans="1:18" x14ac:dyDescent="0.35">
      <c r="A470" t="s">
        <v>509</v>
      </c>
      <c r="B470" t="s">
        <v>5</v>
      </c>
      <c r="C470" t="s">
        <v>21</v>
      </c>
      <c r="D470" t="s">
        <v>4</v>
      </c>
      <c r="E470" s="5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 s="4">
        <v>75.501852</v>
      </c>
      <c r="L470" s="2">
        <v>35075.501852000001</v>
      </c>
      <c r="M470" t="str">
        <f t="shared" si="42"/>
        <v>Arizona</v>
      </c>
      <c r="N470" t="str">
        <f t="shared" si="43"/>
        <v>F</v>
      </c>
      <c r="O470" t="str">
        <f t="shared" si="44"/>
        <v>Bachelor</v>
      </c>
      <c r="P470" t="str">
        <f t="shared" si="45"/>
        <v>Corporate</v>
      </c>
      <c r="Q470">
        <f t="shared" si="46"/>
        <v>4</v>
      </c>
      <c r="R470">
        <f t="shared" ca="1" si="47"/>
        <v>30</v>
      </c>
    </row>
    <row r="471" spans="1:18" x14ac:dyDescent="0.3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 s="4">
        <v>306.98359599999998</v>
      </c>
      <c r="L471" s="2">
        <v>35306.983595999998</v>
      </c>
      <c r="M471" t="str">
        <f t="shared" si="42"/>
        <v>California</v>
      </c>
      <c r="N471" t="str">
        <f t="shared" si="43"/>
        <v>M</v>
      </c>
      <c r="O471" t="str">
        <f t="shared" si="44"/>
        <v>College</v>
      </c>
      <c r="P471" t="str">
        <f t="shared" si="45"/>
        <v>Corporate</v>
      </c>
      <c r="Q471">
        <f t="shared" si="46"/>
        <v>4</v>
      </c>
      <c r="R471">
        <f t="shared" ca="1" si="47"/>
        <v>30</v>
      </c>
    </row>
    <row r="472" spans="1:18" x14ac:dyDescent="0.3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 s="4">
        <v>84.026848000000001</v>
      </c>
      <c r="L472" s="2">
        <v>35084.026848000001</v>
      </c>
      <c r="M472" t="str">
        <f t="shared" si="42"/>
        <v>California</v>
      </c>
      <c r="N472" t="str">
        <f t="shared" si="43"/>
        <v>M</v>
      </c>
      <c r="O472" t="str">
        <f t="shared" si="44"/>
        <v>High School or Below</v>
      </c>
      <c r="P472" t="str">
        <f t="shared" si="45"/>
        <v>Personal</v>
      </c>
      <c r="Q472">
        <f t="shared" si="46"/>
        <v>4</v>
      </c>
      <c r="R472">
        <f t="shared" ca="1" si="47"/>
        <v>30</v>
      </c>
    </row>
    <row r="473" spans="1:18" x14ac:dyDescent="0.35">
      <c r="A473" t="s">
        <v>512</v>
      </c>
      <c r="B473" t="s">
        <v>5</v>
      </c>
      <c r="C473" t="s">
        <v>21</v>
      </c>
      <c r="D473" t="s">
        <v>35</v>
      </c>
      <c r="E473" s="5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 s="4">
        <v>139.489926</v>
      </c>
      <c r="L473" s="2">
        <v>35139.489926000002</v>
      </c>
      <c r="M473" t="str">
        <f t="shared" si="42"/>
        <v>Arizona</v>
      </c>
      <c r="N473" t="str">
        <f t="shared" si="43"/>
        <v>F</v>
      </c>
      <c r="O473" t="str">
        <f t="shared" si="44"/>
        <v>College</v>
      </c>
      <c r="P473" t="str">
        <f t="shared" si="45"/>
        <v>Special</v>
      </c>
      <c r="Q473">
        <f t="shared" si="46"/>
        <v>4</v>
      </c>
      <c r="R473">
        <f t="shared" ca="1" si="47"/>
        <v>30</v>
      </c>
    </row>
    <row r="474" spans="1:18" x14ac:dyDescent="0.35">
      <c r="A474" t="s">
        <v>513</v>
      </c>
      <c r="B474" t="s">
        <v>61</v>
      </c>
      <c r="C474" t="s">
        <v>27</v>
      </c>
      <c r="D474" t="s">
        <v>4</v>
      </c>
      <c r="E474" s="5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 s="4">
        <v>607.44590000000005</v>
      </c>
      <c r="L474" s="2">
        <v>35607.445899999999</v>
      </c>
      <c r="M474" t="str">
        <f t="shared" si="42"/>
        <v>Arizona</v>
      </c>
      <c r="N474" t="str">
        <f t="shared" si="43"/>
        <v>M</v>
      </c>
      <c r="O474" t="str">
        <f t="shared" si="44"/>
        <v>Bachelor</v>
      </c>
      <c r="P474" t="str">
        <f t="shared" si="45"/>
        <v>Corporate</v>
      </c>
      <c r="Q474">
        <f t="shared" si="46"/>
        <v>2</v>
      </c>
      <c r="R474">
        <f t="shared" ca="1" si="47"/>
        <v>29</v>
      </c>
    </row>
    <row r="475" spans="1:18" x14ac:dyDescent="0.35">
      <c r="A475" t="s">
        <v>514</v>
      </c>
      <c r="B475" t="s">
        <v>61</v>
      </c>
      <c r="C475" t="s">
        <v>27</v>
      </c>
      <c r="D475" t="s">
        <v>31</v>
      </c>
      <c r="E475" s="5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 s="4">
        <v>631.12437199999999</v>
      </c>
      <c r="L475" s="2">
        <v>35631.124371999998</v>
      </c>
      <c r="M475" t="str">
        <f t="shared" si="42"/>
        <v>Arizona</v>
      </c>
      <c r="N475" t="str">
        <f t="shared" si="43"/>
        <v>M</v>
      </c>
      <c r="O475" t="str">
        <f t="shared" si="44"/>
        <v>High School or Below</v>
      </c>
      <c r="P475" t="str">
        <f t="shared" si="45"/>
        <v>Corporate</v>
      </c>
      <c r="Q475">
        <f t="shared" si="46"/>
        <v>2</v>
      </c>
      <c r="R475">
        <f t="shared" ca="1" si="47"/>
        <v>29</v>
      </c>
    </row>
    <row r="476" spans="1:18" x14ac:dyDescent="0.35">
      <c r="A476" t="s">
        <v>515</v>
      </c>
      <c r="B476" t="s">
        <v>61</v>
      </c>
      <c r="C476" t="s">
        <v>21</v>
      </c>
      <c r="D476" t="s">
        <v>35</v>
      </c>
      <c r="E476" s="5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 s="4">
        <v>628.02349400000003</v>
      </c>
      <c r="L476" s="2">
        <v>35628.023494000001</v>
      </c>
      <c r="M476" t="str">
        <f t="shared" si="42"/>
        <v>Arizona</v>
      </c>
      <c r="N476" t="str">
        <f t="shared" si="43"/>
        <v>F</v>
      </c>
      <c r="O476" t="str">
        <f t="shared" si="44"/>
        <v>College</v>
      </c>
      <c r="P476" t="str">
        <f t="shared" si="45"/>
        <v>Personal</v>
      </c>
      <c r="Q476">
        <f t="shared" si="46"/>
        <v>4</v>
      </c>
      <c r="R476">
        <f t="shared" ca="1" si="47"/>
        <v>29</v>
      </c>
    </row>
    <row r="477" spans="1:18" x14ac:dyDescent="0.35">
      <c r="A477" t="s">
        <v>516</v>
      </c>
      <c r="B477" t="s">
        <v>33</v>
      </c>
      <c r="C477" t="s">
        <v>21</v>
      </c>
      <c r="D477" t="s">
        <v>4</v>
      </c>
      <c r="E477" s="5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 s="4">
        <v>336</v>
      </c>
      <c r="L477" s="2">
        <v>35336</v>
      </c>
      <c r="M477" t="str">
        <f t="shared" si="42"/>
        <v>Oregon</v>
      </c>
      <c r="N477" t="str">
        <f t="shared" si="43"/>
        <v>F</v>
      </c>
      <c r="O477" t="str">
        <f t="shared" si="44"/>
        <v>Bachelor</v>
      </c>
      <c r="P477" t="str">
        <f t="shared" si="45"/>
        <v>Personal</v>
      </c>
      <c r="Q477">
        <f t="shared" si="46"/>
        <v>2</v>
      </c>
      <c r="R477">
        <f t="shared" ca="1" si="47"/>
        <v>29</v>
      </c>
    </row>
    <row r="478" spans="1:18" x14ac:dyDescent="0.3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 s="4">
        <v>426.655599</v>
      </c>
      <c r="L478" s="2">
        <v>35426.655598999998</v>
      </c>
      <c r="M478" t="str">
        <f t="shared" si="42"/>
        <v>Nevada</v>
      </c>
      <c r="N478" t="str">
        <f t="shared" si="43"/>
        <v>M</v>
      </c>
      <c r="O478" t="str">
        <f t="shared" si="44"/>
        <v>College</v>
      </c>
      <c r="P478" t="str">
        <f t="shared" si="45"/>
        <v>Personal</v>
      </c>
      <c r="Q478">
        <f t="shared" si="46"/>
        <v>2</v>
      </c>
      <c r="R478">
        <f t="shared" ca="1" si="47"/>
        <v>29</v>
      </c>
    </row>
    <row r="479" spans="1:18" x14ac:dyDescent="0.35">
      <c r="A479" t="s">
        <v>518</v>
      </c>
      <c r="B479" t="s">
        <v>61</v>
      </c>
      <c r="C479" t="s">
        <v>27</v>
      </c>
      <c r="D479" t="s">
        <v>35</v>
      </c>
      <c r="E479" s="5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 s="4">
        <v>91.417923000000002</v>
      </c>
      <c r="L479" s="2">
        <v>35091.417923000001</v>
      </c>
      <c r="M479" t="str">
        <f t="shared" si="42"/>
        <v>Arizona</v>
      </c>
      <c r="N479" t="str">
        <f t="shared" si="43"/>
        <v>M</v>
      </c>
      <c r="O479" t="str">
        <f t="shared" si="44"/>
        <v>College</v>
      </c>
      <c r="P479" t="str">
        <f t="shared" si="45"/>
        <v>Personal</v>
      </c>
      <c r="Q479">
        <f t="shared" si="46"/>
        <v>4</v>
      </c>
      <c r="R479">
        <f t="shared" ca="1" si="47"/>
        <v>30</v>
      </c>
    </row>
    <row r="480" spans="1:18" x14ac:dyDescent="0.35">
      <c r="A480" t="s">
        <v>519</v>
      </c>
      <c r="B480" t="s">
        <v>33</v>
      </c>
      <c r="C480" t="s">
        <v>21</v>
      </c>
      <c r="D480" t="s">
        <v>31</v>
      </c>
      <c r="E480" s="5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 s="4">
        <v>317.84481199999999</v>
      </c>
      <c r="L480" s="2">
        <v>35317.844812000003</v>
      </c>
      <c r="M480" t="str">
        <f t="shared" si="42"/>
        <v>Oregon</v>
      </c>
      <c r="N480" t="str">
        <f t="shared" si="43"/>
        <v>F</v>
      </c>
      <c r="O480" t="str">
        <f t="shared" si="44"/>
        <v>High School or Below</v>
      </c>
      <c r="P480" t="str">
        <f t="shared" si="45"/>
        <v>Personal</v>
      </c>
      <c r="Q480">
        <f t="shared" si="46"/>
        <v>2</v>
      </c>
      <c r="R480">
        <f t="shared" ca="1" si="47"/>
        <v>30</v>
      </c>
    </row>
    <row r="481" spans="1:18" x14ac:dyDescent="0.35">
      <c r="A481" t="s">
        <v>520</v>
      </c>
      <c r="B481" t="s">
        <v>3</v>
      </c>
      <c r="C481" t="s">
        <v>21</v>
      </c>
      <c r="D481" t="s">
        <v>35</v>
      </c>
      <c r="E481" s="5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 s="4">
        <v>118.446235</v>
      </c>
      <c r="L481" s="2">
        <v>35118.446235000003</v>
      </c>
      <c r="M481" t="str">
        <f t="shared" si="42"/>
        <v>Washington</v>
      </c>
      <c r="N481" t="str">
        <f t="shared" si="43"/>
        <v>F</v>
      </c>
      <c r="O481" t="str">
        <f t="shared" si="44"/>
        <v>College</v>
      </c>
      <c r="P481" t="str">
        <f t="shared" si="45"/>
        <v>Personal</v>
      </c>
      <c r="Q481">
        <f t="shared" si="46"/>
        <v>2</v>
      </c>
      <c r="R481">
        <f t="shared" ca="1" si="47"/>
        <v>30</v>
      </c>
    </row>
    <row r="482" spans="1:18" x14ac:dyDescent="0.35">
      <c r="A482" t="s">
        <v>521</v>
      </c>
      <c r="B482" t="s">
        <v>33</v>
      </c>
      <c r="C482" t="s">
        <v>27</v>
      </c>
      <c r="D482" t="s">
        <v>4</v>
      </c>
      <c r="E482" s="5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 s="4">
        <v>86.461582000000007</v>
      </c>
      <c r="L482" s="2">
        <v>35086.461582000004</v>
      </c>
      <c r="M482" t="str">
        <f t="shared" si="42"/>
        <v>Oregon</v>
      </c>
      <c r="N482" t="str">
        <f t="shared" si="43"/>
        <v>M</v>
      </c>
      <c r="O482" t="str">
        <f t="shared" si="44"/>
        <v>Bachelor</v>
      </c>
      <c r="P482" t="str">
        <f t="shared" si="45"/>
        <v>Personal</v>
      </c>
      <c r="Q482">
        <f t="shared" si="46"/>
        <v>4</v>
      </c>
      <c r="R482">
        <f t="shared" ca="1" si="47"/>
        <v>30</v>
      </c>
    </row>
    <row r="483" spans="1:18" x14ac:dyDescent="0.35">
      <c r="A483" t="s">
        <v>522</v>
      </c>
      <c r="B483" t="s">
        <v>3</v>
      </c>
      <c r="C483" t="s">
        <v>27</v>
      </c>
      <c r="D483" t="s">
        <v>2</v>
      </c>
      <c r="E483" s="5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 s="4">
        <v>118.45497400000001</v>
      </c>
      <c r="L483" s="2">
        <v>35118.454974</v>
      </c>
      <c r="M483" t="str">
        <f t="shared" si="42"/>
        <v>Washington</v>
      </c>
      <c r="N483" t="str">
        <f t="shared" si="43"/>
        <v>M</v>
      </c>
      <c r="O483" t="str">
        <f t="shared" si="44"/>
        <v>Master</v>
      </c>
      <c r="P483" t="str">
        <f t="shared" si="45"/>
        <v>Personal</v>
      </c>
      <c r="Q483">
        <f t="shared" si="46"/>
        <v>4</v>
      </c>
      <c r="R483">
        <f t="shared" ca="1" si="47"/>
        <v>30</v>
      </c>
    </row>
    <row r="484" spans="1:18" x14ac:dyDescent="0.35">
      <c r="A484" t="s">
        <v>523</v>
      </c>
      <c r="B484" t="s">
        <v>61</v>
      </c>
      <c r="C484" t="s">
        <v>21</v>
      </c>
      <c r="D484" t="s">
        <v>35</v>
      </c>
      <c r="E484" s="5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 s="4">
        <v>321.60000000000002</v>
      </c>
      <c r="L484" s="2">
        <v>35321.599999999999</v>
      </c>
      <c r="M484" t="str">
        <f t="shared" si="42"/>
        <v>Arizona</v>
      </c>
      <c r="N484" t="str">
        <f t="shared" si="43"/>
        <v>F</v>
      </c>
      <c r="O484" t="str">
        <f t="shared" si="44"/>
        <v>College</v>
      </c>
      <c r="P484" t="str">
        <f t="shared" si="45"/>
        <v>Personal</v>
      </c>
      <c r="Q484">
        <f t="shared" si="46"/>
        <v>4</v>
      </c>
      <c r="R484">
        <f t="shared" ca="1" si="47"/>
        <v>29</v>
      </c>
    </row>
    <row r="485" spans="1:18" x14ac:dyDescent="0.35">
      <c r="A485" t="s">
        <v>524</v>
      </c>
      <c r="B485" t="s">
        <v>26</v>
      </c>
      <c r="C485" t="s">
        <v>21</v>
      </c>
      <c r="D485" t="s">
        <v>35</v>
      </c>
      <c r="E485" s="5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 s="4">
        <v>362.77454499999999</v>
      </c>
      <c r="L485" s="2">
        <v>35362.774545</v>
      </c>
      <c r="M485" t="str">
        <f t="shared" si="42"/>
        <v>California</v>
      </c>
      <c r="N485" t="str">
        <f t="shared" si="43"/>
        <v>F</v>
      </c>
      <c r="O485" t="str">
        <f t="shared" si="44"/>
        <v>College</v>
      </c>
      <c r="P485" t="str">
        <f t="shared" si="45"/>
        <v>Personal</v>
      </c>
      <c r="Q485">
        <f t="shared" si="46"/>
        <v>2</v>
      </c>
      <c r="R485">
        <f t="shared" ca="1" si="47"/>
        <v>29</v>
      </c>
    </row>
    <row r="486" spans="1:18" x14ac:dyDescent="0.35">
      <c r="A486" t="s">
        <v>525</v>
      </c>
      <c r="B486" t="s">
        <v>61</v>
      </c>
      <c r="C486" t="s">
        <v>21</v>
      </c>
      <c r="D486" t="s">
        <v>2</v>
      </c>
      <c r="E486" s="5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 s="4">
        <v>221.85618400000001</v>
      </c>
      <c r="L486" s="2">
        <v>35221.856183999997</v>
      </c>
      <c r="M486" t="str">
        <f t="shared" si="42"/>
        <v>Arizona</v>
      </c>
      <c r="N486" t="str">
        <f t="shared" si="43"/>
        <v>F</v>
      </c>
      <c r="O486" t="str">
        <f t="shared" si="44"/>
        <v>Master</v>
      </c>
      <c r="P486" t="str">
        <f t="shared" si="45"/>
        <v>Personal</v>
      </c>
      <c r="Q486">
        <f t="shared" si="46"/>
        <v>4</v>
      </c>
      <c r="R486">
        <f t="shared" ca="1" si="47"/>
        <v>30</v>
      </c>
    </row>
    <row r="487" spans="1:18" x14ac:dyDescent="0.35">
      <c r="A487" t="s">
        <v>526</v>
      </c>
      <c r="B487" t="s">
        <v>61</v>
      </c>
      <c r="C487" t="s">
        <v>21</v>
      </c>
      <c r="D487" t="s">
        <v>35</v>
      </c>
      <c r="E487" s="5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 s="4">
        <v>980.16908100000001</v>
      </c>
      <c r="L487" s="2">
        <v>35980.169081</v>
      </c>
      <c r="M487" t="str">
        <f t="shared" si="42"/>
        <v>Arizona</v>
      </c>
      <c r="N487" t="str">
        <f t="shared" si="43"/>
        <v>F</v>
      </c>
      <c r="O487" t="str">
        <f t="shared" si="44"/>
        <v>College</v>
      </c>
      <c r="P487" t="str">
        <f t="shared" si="45"/>
        <v>Personal</v>
      </c>
      <c r="Q487">
        <f t="shared" si="46"/>
        <v>4</v>
      </c>
      <c r="R487">
        <f t="shared" ca="1" si="47"/>
        <v>28</v>
      </c>
    </row>
    <row r="488" spans="1:18" x14ac:dyDescent="0.35">
      <c r="A488" t="s">
        <v>527</v>
      </c>
      <c r="B488" t="s">
        <v>61</v>
      </c>
      <c r="C488" t="s">
        <v>21</v>
      </c>
      <c r="D488" t="s">
        <v>4</v>
      </c>
      <c r="E488" s="5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 s="4">
        <v>614.67590600000005</v>
      </c>
      <c r="L488" s="2">
        <v>35614.675905999997</v>
      </c>
      <c r="M488" t="str">
        <f t="shared" si="42"/>
        <v>Arizona</v>
      </c>
      <c r="N488" t="str">
        <f t="shared" si="43"/>
        <v>F</v>
      </c>
      <c r="O488" t="str">
        <f t="shared" si="44"/>
        <v>Bachelor</v>
      </c>
      <c r="P488" t="str">
        <f t="shared" si="45"/>
        <v>Personal</v>
      </c>
      <c r="Q488">
        <f t="shared" si="46"/>
        <v>4</v>
      </c>
      <c r="R488">
        <f t="shared" ca="1" si="47"/>
        <v>29</v>
      </c>
    </row>
    <row r="489" spans="1:18" x14ac:dyDescent="0.3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 s="4">
        <v>662.4</v>
      </c>
      <c r="L489" s="2">
        <v>35662.400000000001</v>
      </c>
      <c r="M489" t="str">
        <f t="shared" si="42"/>
        <v>California</v>
      </c>
      <c r="N489" t="str">
        <f t="shared" si="43"/>
        <v>M</v>
      </c>
      <c r="O489" t="str">
        <f t="shared" si="44"/>
        <v>College</v>
      </c>
      <c r="P489" t="str">
        <f t="shared" si="45"/>
        <v>Personal</v>
      </c>
      <c r="Q489">
        <f t="shared" si="46"/>
        <v>4</v>
      </c>
      <c r="R489">
        <f t="shared" ca="1" si="47"/>
        <v>29</v>
      </c>
    </row>
    <row r="490" spans="1:18" x14ac:dyDescent="0.3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 s="4">
        <v>331.2</v>
      </c>
      <c r="L490" s="2">
        <v>35331.199999999997</v>
      </c>
      <c r="M490" t="str">
        <f t="shared" si="42"/>
        <v>Oregon</v>
      </c>
      <c r="N490" t="str">
        <f t="shared" si="43"/>
        <v>M</v>
      </c>
      <c r="O490" t="str">
        <f t="shared" si="44"/>
        <v>High School or Below</v>
      </c>
      <c r="P490" t="str">
        <f t="shared" si="45"/>
        <v>Personal</v>
      </c>
      <c r="Q490">
        <f t="shared" si="46"/>
        <v>2</v>
      </c>
      <c r="R490">
        <f t="shared" ca="1" si="47"/>
        <v>29</v>
      </c>
    </row>
    <row r="491" spans="1:18" x14ac:dyDescent="0.35">
      <c r="A491" t="s">
        <v>530</v>
      </c>
      <c r="B491" t="s">
        <v>33</v>
      </c>
      <c r="C491" t="s">
        <v>21</v>
      </c>
      <c r="D491" t="s">
        <v>2</v>
      </c>
      <c r="E491" s="5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 s="4">
        <v>145.25216800000001</v>
      </c>
      <c r="L491" s="2">
        <v>35145.252167999999</v>
      </c>
      <c r="M491" t="str">
        <f t="shared" si="42"/>
        <v>Oregon</v>
      </c>
      <c r="N491" t="str">
        <f t="shared" si="43"/>
        <v>F</v>
      </c>
      <c r="O491" t="str">
        <f t="shared" si="44"/>
        <v>Master</v>
      </c>
      <c r="P491" t="str">
        <f t="shared" si="45"/>
        <v>Personal</v>
      </c>
      <c r="Q491">
        <f t="shared" si="46"/>
        <v>4</v>
      </c>
      <c r="R491">
        <f t="shared" ca="1" si="47"/>
        <v>30</v>
      </c>
    </row>
    <row r="492" spans="1:18" x14ac:dyDescent="0.35">
      <c r="A492" t="s">
        <v>531</v>
      </c>
      <c r="B492" t="s">
        <v>26</v>
      </c>
      <c r="C492" t="s">
        <v>21</v>
      </c>
      <c r="D492" t="s">
        <v>31</v>
      </c>
      <c r="E492" s="5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 s="4">
        <v>374.24078300000002</v>
      </c>
      <c r="L492" s="2">
        <v>35374.240783000001</v>
      </c>
      <c r="M492" t="str">
        <f t="shared" si="42"/>
        <v>California</v>
      </c>
      <c r="N492" t="str">
        <f t="shared" si="43"/>
        <v>F</v>
      </c>
      <c r="O492" t="str">
        <f t="shared" si="44"/>
        <v>High School or Below</v>
      </c>
      <c r="P492" t="str">
        <f t="shared" si="45"/>
        <v>Corporate</v>
      </c>
      <c r="Q492">
        <f t="shared" si="46"/>
        <v>4</v>
      </c>
      <c r="R492">
        <f t="shared" ca="1" si="47"/>
        <v>29</v>
      </c>
    </row>
    <row r="493" spans="1:18" x14ac:dyDescent="0.35">
      <c r="A493" t="s">
        <v>532</v>
      </c>
      <c r="B493" t="s">
        <v>33</v>
      </c>
      <c r="C493" t="s">
        <v>21</v>
      </c>
      <c r="D493" t="s">
        <v>35</v>
      </c>
      <c r="E493" s="5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 s="4">
        <v>355.2</v>
      </c>
      <c r="L493" s="2">
        <v>35355.199999999997</v>
      </c>
      <c r="M493" t="str">
        <f t="shared" si="42"/>
        <v>Oregon</v>
      </c>
      <c r="N493" t="str">
        <f t="shared" si="43"/>
        <v>F</v>
      </c>
      <c r="O493" t="str">
        <f t="shared" si="44"/>
        <v>College</v>
      </c>
      <c r="P493" t="str">
        <f t="shared" si="45"/>
        <v>Personal</v>
      </c>
      <c r="Q493">
        <f t="shared" si="46"/>
        <v>4</v>
      </c>
      <c r="R493">
        <f t="shared" ca="1" si="47"/>
        <v>29</v>
      </c>
    </row>
    <row r="494" spans="1:18" x14ac:dyDescent="0.3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 s="4">
        <v>528</v>
      </c>
      <c r="L494" s="2">
        <v>35528</v>
      </c>
      <c r="M494" t="str">
        <f t="shared" si="42"/>
        <v>Nevada</v>
      </c>
      <c r="N494" t="str">
        <f t="shared" si="43"/>
        <v>M</v>
      </c>
      <c r="O494" t="str">
        <f t="shared" si="44"/>
        <v>High School or Below</v>
      </c>
      <c r="P494" t="str">
        <f t="shared" si="45"/>
        <v>Personal</v>
      </c>
      <c r="Q494">
        <f t="shared" si="46"/>
        <v>2</v>
      </c>
      <c r="R494">
        <f t="shared" ca="1" si="47"/>
        <v>29</v>
      </c>
    </row>
    <row r="495" spans="1:18" x14ac:dyDescent="0.35">
      <c r="A495" t="s">
        <v>534</v>
      </c>
      <c r="B495" t="s">
        <v>61</v>
      </c>
      <c r="C495" t="s">
        <v>27</v>
      </c>
      <c r="D495" t="s">
        <v>31</v>
      </c>
      <c r="E495" s="5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 s="4">
        <v>619.20000000000005</v>
      </c>
      <c r="L495" s="2">
        <v>35619.199999999997</v>
      </c>
      <c r="M495" t="str">
        <f t="shared" si="42"/>
        <v>Arizona</v>
      </c>
      <c r="N495" t="str">
        <f t="shared" si="43"/>
        <v>M</v>
      </c>
      <c r="O495" t="str">
        <f t="shared" si="44"/>
        <v>High School or Below</v>
      </c>
      <c r="P495" t="str">
        <f t="shared" si="45"/>
        <v>Corporate</v>
      </c>
      <c r="Q495">
        <f t="shared" si="46"/>
        <v>2</v>
      </c>
      <c r="R495">
        <f t="shared" ca="1" si="47"/>
        <v>29</v>
      </c>
    </row>
    <row r="496" spans="1:18" x14ac:dyDescent="0.35">
      <c r="A496" t="s">
        <v>535</v>
      </c>
      <c r="B496" t="s">
        <v>26</v>
      </c>
      <c r="C496" t="s">
        <v>21</v>
      </c>
      <c r="D496" t="s">
        <v>2</v>
      </c>
      <c r="E496" s="5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 s="4">
        <v>80.669257000000002</v>
      </c>
      <c r="L496" s="2">
        <v>35080.669257000001</v>
      </c>
      <c r="M496" t="str">
        <f t="shared" si="42"/>
        <v>California</v>
      </c>
      <c r="N496" t="str">
        <f t="shared" si="43"/>
        <v>F</v>
      </c>
      <c r="O496" t="str">
        <f t="shared" si="44"/>
        <v>Master</v>
      </c>
      <c r="P496" t="str">
        <f t="shared" si="45"/>
        <v>Personal</v>
      </c>
      <c r="Q496">
        <f t="shared" si="46"/>
        <v>4</v>
      </c>
      <c r="R496">
        <f t="shared" ca="1" si="47"/>
        <v>30</v>
      </c>
    </row>
    <row r="497" spans="1:18" x14ac:dyDescent="0.35">
      <c r="A497" t="s">
        <v>536</v>
      </c>
      <c r="B497" t="s">
        <v>26</v>
      </c>
      <c r="C497" t="s">
        <v>21</v>
      </c>
      <c r="D497" t="s">
        <v>35</v>
      </c>
      <c r="E497" s="5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 s="4">
        <v>561.6</v>
      </c>
      <c r="L497" s="2">
        <v>35561.599999999999</v>
      </c>
      <c r="M497" t="str">
        <f t="shared" si="42"/>
        <v>California</v>
      </c>
      <c r="N497" t="str">
        <f t="shared" si="43"/>
        <v>F</v>
      </c>
      <c r="O497" t="str">
        <f t="shared" si="44"/>
        <v>College</v>
      </c>
      <c r="P497" t="str">
        <f t="shared" si="45"/>
        <v>Personal</v>
      </c>
      <c r="Q497">
        <f t="shared" si="46"/>
        <v>4</v>
      </c>
      <c r="R497">
        <f t="shared" ca="1" si="47"/>
        <v>29</v>
      </c>
    </row>
    <row r="498" spans="1:18" x14ac:dyDescent="0.3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 s="4">
        <v>1324.8</v>
      </c>
      <c r="L498" s="2">
        <v>36324.800000000003</v>
      </c>
      <c r="M498" t="str">
        <f t="shared" si="42"/>
        <v>Oregon</v>
      </c>
      <c r="N498" t="str">
        <f t="shared" si="43"/>
        <v>M</v>
      </c>
      <c r="O498" t="str">
        <f t="shared" si="44"/>
        <v>High School or Below</v>
      </c>
      <c r="P498" t="str">
        <f t="shared" si="45"/>
        <v>Personal</v>
      </c>
      <c r="Q498">
        <f t="shared" si="46"/>
        <v>4</v>
      </c>
      <c r="R498">
        <f t="shared" ca="1" si="47"/>
        <v>27</v>
      </c>
    </row>
    <row r="499" spans="1:18" x14ac:dyDescent="0.35">
      <c r="A499" t="s">
        <v>538</v>
      </c>
      <c r="B499" t="s">
        <v>61</v>
      </c>
      <c r="C499" t="s">
        <v>21</v>
      </c>
      <c r="D499" t="s">
        <v>31</v>
      </c>
      <c r="E499" s="5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 s="4">
        <v>504</v>
      </c>
      <c r="L499" s="2">
        <v>35504</v>
      </c>
      <c r="M499" t="str">
        <f t="shared" si="42"/>
        <v>Arizona</v>
      </c>
      <c r="N499" t="str">
        <f t="shared" si="43"/>
        <v>F</v>
      </c>
      <c r="O499" t="str">
        <f t="shared" si="44"/>
        <v>High School or Below</v>
      </c>
      <c r="P499" t="str">
        <f t="shared" si="45"/>
        <v>Personal</v>
      </c>
      <c r="Q499">
        <f t="shared" si="46"/>
        <v>4</v>
      </c>
      <c r="R499">
        <f t="shared" ca="1" si="47"/>
        <v>29</v>
      </c>
    </row>
    <row r="500" spans="1:18" x14ac:dyDescent="0.3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 s="4">
        <v>460.8</v>
      </c>
      <c r="L500" s="2">
        <v>35460.800000000003</v>
      </c>
      <c r="M500" t="str">
        <f t="shared" si="42"/>
        <v>Nevada</v>
      </c>
      <c r="N500" t="str">
        <f t="shared" si="43"/>
        <v>M</v>
      </c>
      <c r="O500" t="str">
        <f t="shared" si="44"/>
        <v>Doctor</v>
      </c>
      <c r="P500" t="str">
        <f t="shared" si="45"/>
        <v>Personal</v>
      </c>
      <c r="Q500">
        <f t="shared" si="46"/>
        <v>4</v>
      </c>
      <c r="R500">
        <f t="shared" ca="1" si="47"/>
        <v>29</v>
      </c>
    </row>
    <row r="501" spans="1:18" x14ac:dyDescent="0.3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 s="4">
        <v>468.56613299999998</v>
      </c>
      <c r="L501" s="2">
        <v>35468.566133</v>
      </c>
      <c r="M501" t="str">
        <f t="shared" si="42"/>
        <v>Oregon</v>
      </c>
      <c r="N501" t="str">
        <f t="shared" si="43"/>
        <v>M</v>
      </c>
      <c r="O501" t="str">
        <f t="shared" si="44"/>
        <v>High School or Below</v>
      </c>
      <c r="P501" t="str">
        <f t="shared" si="45"/>
        <v>Personal</v>
      </c>
      <c r="Q501">
        <f t="shared" si="46"/>
        <v>4</v>
      </c>
      <c r="R501">
        <f t="shared" ca="1" si="47"/>
        <v>29</v>
      </c>
    </row>
    <row r="502" spans="1:18" x14ac:dyDescent="0.35">
      <c r="A502" t="s">
        <v>541</v>
      </c>
      <c r="B502" t="s">
        <v>23</v>
      </c>
      <c r="C502" t="s">
        <v>21</v>
      </c>
      <c r="D502" t="s">
        <v>4</v>
      </c>
      <c r="E502" s="5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 s="4">
        <v>842.43785000000003</v>
      </c>
      <c r="L502" s="2">
        <v>35842.437850000002</v>
      </c>
      <c r="M502" t="str">
        <f t="shared" si="42"/>
        <v>Nevada</v>
      </c>
      <c r="N502" t="str">
        <f t="shared" si="43"/>
        <v>F</v>
      </c>
      <c r="O502" t="str">
        <f t="shared" si="44"/>
        <v>Bachelor</v>
      </c>
      <c r="P502" t="str">
        <f t="shared" si="45"/>
        <v>Corporate</v>
      </c>
      <c r="Q502">
        <f t="shared" si="46"/>
        <v>2</v>
      </c>
      <c r="R502">
        <f t="shared" ca="1" si="47"/>
        <v>28</v>
      </c>
    </row>
    <row r="503" spans="1:18" x14ac:dyDescent="0.3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 s="4">
        <v>475.2</v>
      </c>
      <c r="L503" s="2">
        <v>35475.199999999997</v>
      </c>
      <c r="M503" t="str">
        <f t="shared" si="42"/>
        <v>California</v>
      </c>
      <c r="N503" t="str">
        <f t="shared" si="43"/>
        <v>M</v>
      </c>
      <c r="O503" t="str">
        <f t="shared" si="44"/>
        <v>High School or Below</v>
      </c>
      <c r="P503" t="str">
        <f t="shared" si="45"/>
        <v>Personal</v>
      </c>
      <c r="Q503">
        <f t="shared" si="46"/>
        <v>4</v>
      </c>
      <c r="R503">
        <f t="shared" ca="1" si="47"/>
        <v>29</v>
      </c>
    </row>
    <row r="504" spans="1:18" x14ac:dyDescent="0.3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 s="4">
        <v>1171.9311700000001</v>
      </c>
      <c r="L504" s="2">
        <v>36171.931170000003</v>
      </c>
      <c r="M504" t="str">
        <f t="shared" si="42"/>
        <v>Nevada</v>
      </c>
      <c r="N504" t="str">
        <f t="shared" si="43"/>
        <v>M</v>
      </c>
      <c r="O504" t="str">
        <f t="shared" si="44"/>
        <v>College</v>
      </c>
      <c r="P504" t="str">
        <f t="shared" si="45"/>
        <v>Corporate</v>
      </c>
      <c r="Q504">
        <f t="shared" si="46"/>
        <v>4</v>
      </c>
      <c r="R504">
        <f t="shared" ca="1" si="47"/>
        <v>27</v>
      </c>
    </row>
    <row r="505" spans="1:18" x14ac:dyDescent="0.35">
      <c r="A505" t="s">
        <v>544</v>
      </c>
      <c r="B505" t="s">
        <v>61</v>
      </c>
      <c r="C505" t="s">
        <v>27</v>
      </c>
      <c r="D505" t="s">
        <v>35</v>
      </c>
      <c r="E505" s="5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 s="4">
        <v>268.47180200000003</v>
      </c>
      <c r="L505" s="2">
        <v>35268.471802</v>
      </c>
      <c r="M505" t="str">
        <f t="shared" si="42"/>
        <v>Arizona</v>
      </c>
      <c r="N505" t="str">
        <f t="shared" si="43"/>
        <v>M</v>
      </c>
      <c r="O505" t="str">
        <f t="shared" si="44"/>
        <v>College</v>
      </c>
      <c r="P505" t="str">
        <f t="shared" si="45"/>
        <v>Personal</v>
      </c>
      <c r="Q505">
        <f t="shared" si="46"/>
        <v>4</v>
      </c>
      <c r="R505">
        <f t="shared" ca="1" si="47"/>
        <v>30</v>
      </c>
    </row>
    <row r="506" spans="1:18" x14ac:dyDescent="0.35">
      <c r="A506" t="s">
        <v>545</v>
      </c>
      <c r="B506" t="s">
        <v>33</v>
      </c>
      <c r="C506" t="s">
        <v>21</v>
      </c>
      <c r="D506" t="s">
        <v>35</v>
      </c>
      <c r="E506" s="5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 s="4">
        <v>494.4</v>
      </c>
      <c r="L506" s="2">
        <v>35494.400000000001</v>
      </c>
      <c r="M506" t="str">
        <f t="shared" si="42"/>
        <v>Oregon</v>
      </c>
      <c r="N506" t="str">
        <f t="shared" si="43"/>
        <v>F</v>
      </c>
      <c r="O506" t="str">
        <f t="shared" si="44"/>
        <v>College</v>
      </c>
      <c r="P506" t="str">
        <f t="shared" si="45"/>
        <v>Corporate</v>
      </c>
      <c r="Q506">
        <f t="shared" si="46"/>
        <v>2</v>
      </c>
      <c r="R506">
        <f t="shared" ca="1" si="47"/>
        <v>29</v>
      </c>
    </row>
    <row r="507" spans="1:18" x14ac:dyDescent="0.3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 s="4">
        <v>475.2</v>
      </c>
      <c r="L507" s="2">
        <v>35475.199999999997</v>
      </c>
      <c r="M507" t="str">
        <f t="shared" si="42"/>
        <v>California</v>
      </c>
      <c r="N507" t="str">
        <f t="shared" si="43"/>
        <v>M</v>
      </c>
      <c r="O507" t="str">
        <f t="shared" si="44"/>
        <v>High School or Below</v>
      </c>
      <c r="P507" t="str">
        <f t="shared" si="45"/>
        <v>Personal</v>
      </c>
      <c r="Q507">
        <f t="shared" si="46"/>
        <v>4</v>
      </c>
      <c r="R507">
        <f t="shared" ca="1" si="47"/>
        <v>29</v>
      </c>
    </row>
    <row r="508" spans="1:18" x14ac:dyDescent="0.35">
      <c r="A508" t="s">
        <v>547</v>
      </c>
      <c r="B508" t="s">
        <v>33</v>
      </c>
      <c r="C508" t="s">
        <v>21</v>
      </c>
      <c r="D508" t="s">
        <v>35</v>
      </c>
      <c r="E508" s="5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 s="4">
        <v>138.722385</v>
      </c>
      <c r="L508" s="2">
        <v>35138.722385000001</v>
      </c>
      <c r="M508" t="str">
        <f t="shared" si="42"/>
        <v>Oregon</v>
      </c>
      <c r="N508" t="str">
        <f t="shared" si="43"/>
        <v>F</v>
      </c>
      <c r="O508" t="str">
        <f t="shared" si="44"/>
        <v>College</v>
      </c>
      <c r="P508" t="str">
        <f t="shared" si="45"/>
        <v>Corporate</v>
      </c>
      <c r="Q508">
        <f t="shared" si="46"/>
        <v>4</v>
      </c>
      <c r="R508">
        <f t="shared" ca="1" si="47"/>
        <v>30</v>
      </c>
    </row>
    <row r="509" spans="1:18" x14ac:dyDescent="0.35">
      <c r="A509" t="s">
        <v>548</v>
      </c>
      <c r="B509" t="s">
        <v>33</v>
      </c>
      <c r="C509" t="s">
        <v>21</v>
      </c>
      <c r="D509" t="s">
        <v>80</v>
      </c>
      <c r="E509" s="5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 s="4">
        <v>345.6</v>
      </c>
      <c r="L509" s="2">
        <v>35345.599999999999</v>
      </c>
      <c r="M509" t="str">
        <f t="shared" si="42"/>
        <v>Oregon</v>
      </c>
      <c r="N509" t="str">
        <f t="shared" si="43"/>
        <v>F</v>
      </c>
      <c r="O509" t="str">
        <f t="shared" si="44"/>
        <v>Doctor</v>
      </c>
      <c r="P509" t="str">
        <f t="shared" si="45"/>
        <v>Corporate</v>
      </c>
      <c r="Q509">
        <f t="shared" si="46"/>
        <v>4</v>
      </c>
      <c r="R509">
        <f t="shared" ca="1" si="47"/>
        <v>29</v>
      </c>
    </row>
    <row r="510" spans="1:18" x14ac:dyDescent="0.35">
      <c r="A510" t="s">
        <v>549</v>
      </c>
      <c r="B510" t="s">
        <v>23</v>
      </c>
      <c r="C510" t="s">
        <v>21</v>
      </c>
      <c r="D510" t="s">
        <v>4</v>
      </c>
      <c r="E510" s="5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 s="4">
        <v>467.24802</v>
      </c>
      <c r="L510" s="2">
        <v>35467.248019999999</v>
      </c>
      <c r="M510" t="str">
        <f t="shared" si="42"/>
        <v>Nevada</v>
      </c>
      <c r="N510" t="str">
        <f t="shared" si="43"/>
        <v>F</v>
      </c>
      <c r="O510" t="str">
        <f t="shared" si="44"/>
        <v>Bachelor</v>
      </c>
      <c r="P510" t="str">
        <f t="shared" si="45"/>
        <v>Personal</v>
      </c>
      <c r="Q510">
        <f t="shared" si="46"/>
        <v>4</v>
      </c>
      <c r="R510">
        <f t="shared" ca="1" si="47"/>
        <v>29</v>
      </c>
    </row>
    <row r="511" spans="1:18" x14ac:dyDescent="0.3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 s="4">
        <v>467.50323600000002</v>
      </c>
      <c r="L511" s="2">
        <v>35467.503235999997</v>
      </c>
      <c r="M511" t="str">
        <f t="shared" si="42"/>
        <v>Oregon</v>
      </c>
      <c r="N511" t="str">
        <f t="shared" si="43"/>
        <v>M</v>
      </c>
      <c r="O511" t="str">
        <f t="shared" si="44"/>
        <v>High School or Below</v>
      </c>
      <c r="P511" t="str">
        <f t="shared" si="45"/>
        <v>Corporate</v>
      </c>
      <c r="Q511">
        <f t="shared" si="46"/>
        <v>2</v>
      </c>
      <c r="R511">
        <f t="shared" ca="1" si="47"/>
        <v>29</v>
      </c>
    </row>
    <row r="512" spans="1:18" x14ac:dyDescent="0.35">
      <c r="A512" t="s">
        <v>551</v>
      </c>
      <c r="B512" t="s">
        <v>33</v>
      </c>
      <c r="C512" t="s">
        <v>21</v>
      </c>
      <c r="D512" t="s">
        <v>35</v>
      </c>
      <c r="E512" s="5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 s="4">
        <v>1214.4000000000001</v>
      </c>
      <c r="L512" s="2">
        <v>36214.400000000001</v>
      </c>
      <c r="M512" t="str">
        <f t="shared" si="42"/>
        <v>Oregon</v>
      </c>
      <c r="N512" t="str">
        <f t="shared" si="43"/>
        <v>F</v>
      </c>
      <c r="O512" t="str">
        <f t="shared" si="44"/>
        <v>College</v>
      </c>
      <c r="P512" t="str">
        <f t="shared" si="45"/>
        <v>Personal</v>
      </c>
      <c r="Q512">
        <f t="shared" si="46"/>
        <v>4</v>
      </c>
      <c r="R512">
        <f t="shared" ca="1" si="47"/>
        <v>27</v>
      </c>
    </row>
    <row r="513" spans="1:18" x14ac:dyDescent="0.35">
      <c r="A513" t="s">
        <v>552</v>
      </c>
      <c r="B513" t="s">
        <v>33</v>
      </c>
      <c r="C513" t="s">
        <v>27</v>
      </c>
      <c r="D513" t="s">
        <v>4</v>
      </c>
      <c r="E513" s="5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 s="4">
        <v>667.2</v>
      </c>
      <c r="L513" s="2">
        <v>35667.199999999997</v>
      </c>
      <c r="M513" t="str">
        <f t="shared" si="42"/>
        <v>Oregon</v>
      </c>
      <c r="N513" t="str">
        <f t="shared" si="43"/>
        <v>M</v>
      </c>
      <c r="O513" t="str">
        <f t="shared" si="44"/>
        <v>Bachelor</v>
      </c>
      <c r="P513" t="str">
        <f t="shared" si="45"/>
        <v>Personal</v>
      </c>
      <c r="Q513">
        <f t="shared" si="46"/>
        <v>4</v>
      </c>
      <c r="R513">
        <f t="shared" ca="1" si="47"/>
        <v>29</v>
      </c>
    </row>
    <row r="514" spans="1:18" x14ac:dyDescent="0.3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 s="4">
        <v>192.08529899999999</v>
      </c>
      <c r="L514" s="2">
        <v>35192.085298999998</v>
      </c>
      <c r="M514" t="str">
        <f t="shared" si="42"/>
        <v>Oregon</v>
      </c>
      <c r="N514" t="str">
        <f t="shared" si="43"/>
        <v>M</v>
      </c>
      <c r="O514" t="str">
        <f t="shared" si="44"/>
        <v>College</v>
      </c>
      <c r="P514" t="str">
        <f t="shared" si="45"/>
        <v>Corporate</v>
      </c>
      <c r="Q514">
        <f t="shared" si="46"/>
        <v>2</v>
      </c>
      <c r="R514">
        <f t="shared" ca="1" si="47"/>
        <v>30</v>
      </c>
    </row>
    <row r="515" spans="1:18" x14ac:dyDescent="0.35">
      <c r="A515" t="s">
        <v>554</v>
      </c>
      <c r="B515" t="s">
        <v>26</v>
      </c>
      <c r="C515" t="s">
        <v>21</v>
      </c>
      <c r="D515" t="s">
        <v>31</v>
      </c>
      <c r="E515" s="5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 s="4">
        <v>619.97388899999999</v>
      </c>
      <c r="L515" s="2">
        <v>35619.973889000001</v>
      </c>
      <c r="M515" t="str">
        <f t="shared" ref="M515:M578" si="48">IF(OR(B515="California",B515="Cali"),"California",IF(OR(B515="Arizona",B515="AZ"),"Arizona",IF(OR(B515="Washington",B515="WA"),"Washington",B515)))</f>
        <v>California</v>
      </c>
      <c r="N515" t="str">
        <f t="shared" ref="N515:N578" si="49">IF(OR(C515="F",C515="Femal",C515="female"),"F",IF(OR(C515="M",C515="Male"),"M","NA"))</f>
        <v>F</v>
      </c>
      <c r="O515" t="str">
        <f t="shared" ref="O515:O578" si="50">IF(OR(D515="Bachelor",D515="Bachelors"),"Bachelor",D515)</f>
        <v>High School or Below</v>
      </c>
      <c r="P515" t="str">
        <f t="shared" ref="P515:P578" si="51">LEFT(I515,FIND(" ",I515)-1)</f>
        <v>Corporate</v>
      </c>
      <c r="Q515">
        <f t="shared" ref="Q515:Q578" si="52">IF(OR(J515="Luxury Car",J515="Two-Door Car",J515="Sports Car"),2,IF(OR(J515="Luxury SUV",J515="SUV",J515="Four-Door Car"),4,"NA"))</f>
        <v>4</v>
      </c>
      <c r="R515">
        <f t="shared" ref="R515:R578" ca="1" si="53">DATEDIF(L515,TODAY(),"Y")</f>
        <v>29</v>
      </c>
    </row>
    <row r="516" spans="1:18" x14ac:dyDescent="0.35">
      <c r="A516" t="s">
        <v>555</v>
      </c>
      <c r="B516" t="s">
        <v>26</v>
      </c>
      <c r="C516" t="s">
        <v>21</v>
      </c>
      <c r="D516" t="s">
        <v>31</v>
      </c>
      <c r="E516" s="5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 s="4">
        <v>1002.782553</v>
      </c>
      <c r="L516" s="2">
        <v>36002.782552999997</v>
      </c>
      <c r="M516" t="str">
        <f t="shared" si="48"/>
        <v>California</v>
      </c>
      <c r="N516" t="str">
        <f t="shared" si="49"/>
        <v>F</v>
      </c>
      <c r="O516" t="str">
        <f t="shared" si="50"/>
        <v>High School or Below</v>
      </c>
      <c r="P516" t="str">
        <f t="shared" si="51"/>
        <v>Personal</v>
      </c>
      <c r="Q516">
        <f t="shared" si="52"/>
        <v>4</v>
      </c>
      <c r="R516">
        <f t="shared" ca="1" si="53"/>
        <v>28</v>
      </c>
    </row>
    <row r="517" spans="1:18" x14ac:dyDescent="0.35">
      <c r="A517" t="s">
        <v>556</v>
      </c>
      <c r="B517" t="s">
        <v>26</v>
      </c>
      <c r="C517" t="s">
        <v>21</v>
      </c>
      <c r="D517" t="s">
        <v>31</v>
      </c>
      <c r="E517" s="5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 s="4">
        <v>321.60000000000002</v>
      </c>
      <c r="L517" s="2">
        <v>35321.599999999999</v>
      </c>
      <c r="M517" t="str">
        <f t="shared" si="48"/>
        <v>California</v>
      </c>
      <c r="N517" t="str">
        <f t="shared" si="49"/>
        <v>F</v>
      </c>
      <c r="O517" t="str">
        <f t="shared" si="50"/>
        <v>High School or Below</v>
      </c>
      <c r="P517" t="str">
        <f t="shared" si="51"/>
        <v>Personal</v>
      </c>
      <c r="Q517">
        <f t="shared" si="52"/>
        <v>2</v>
      </c>
      <c r="R517">
        <f t="shared" ca="1" si="53"/>
        <v>29</v>
      </c>
    </row>
    <row r="518" spans="1:18" x14ac:dyDescent="0.35">
      <c r="A518" t="s">
        <v>557</v>
      </c>
      <c r="B518" t="s">
        <v>61</v>
      </c>
      <c r="C518" t="s">
        <v>21</v>
      </c>
      <c r="D518" t="s">
        <v>4</v>
      </c>
      <c r="E518" s="5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 s="4">
        <v>384</v>
      </c>
      <c r="L518" s="2">
        <v>35384</v>
      </c>
      <c r="M518" t="str">
        <f t="shared" si="48"/>
        <v>Arizona</v>
      </c>
      <c r="N518" t="str">
        <f t="shared" si="49"/>
        <v>F</v>
      </c>
      <c r="O518" t="str">
        <f t="shared" si="50"/>
        <v>Bachelor</v>
      </c>
      <c r="P518" t="str">
        <f t="shared" si="51"/>
        <v>Special</v>
      </c>
      <c r="Q518">
        <f t="shared" si="52"/>
        <v>4</v>
      </c>
      <c r="R518">
        <f t="shared" ca="1" si="53"/>
        <v>29</v>
      </c>
    </row>
    <row r="519" spans="1:18" x14ac:dyDescent="0.35">
      <c r="A519" t="s">
        <v>558</v>
      </c>
      <c r="B519" t="s">
        <v>5</v>
      </c>
      <c r="C519" t="s">
        <v>27</v>
      </c>
      <c r="D519" t="s">
        <v>4</v>
      </c>
      <c r="E519" s="5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 s="4">
        <v>251.774574</v>
      </c>
      <c r="L519" s="2">
        <v>35251.774574000003</v>
      </c>
      <c r="M519" t="str">
        <f t="shared" si="48"/>
        <v>Arizona</v>
      </c>
      <c r="N519" t="str">
        <f t="shared" si="49"/>
        <v>M</v>
      </c>
      <c r="O519" t="str">
        <f t="shared" si="50"/>
        <v>Bachelor</v>
      </c>
      <c r="P519" t="str">
        <f t="shared" si="51"/>
        <v>Corporate</v>
      </c>
      <c r="Q519">
        <f t="shared" si="52"/>
        <v>4</v>
      </c>
      <c r="R519">
        <f t="shared" ca="1" si="53"/>
        <v>30</v>
      </c>
    </row>
    <row r="520" spans="1:18" x14ac:dyDescent="0.35">
      <c r="A520" t="s">
        <v>559</v>
      </c>
      <c r="B520" t="s">
        <v>33</v>
      </c>
      <c r="C520" t="s">
        <v>21</v>
      </c>
      <c r="D520" t="s">
        <v>31</v>
      </c>
      <c r="E520" s="5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 s="4">
        <v>866.20832099999996</v>
      </c>
      <c r="L520" s="2">
        <v>35866.208320999998</v>
      </c>
      <c r="M520" t="str">
        <f t="shared" si="48"/>
        <v>Oregon</v>
      </c>
      <c r="N520" t="str">
        <f t="shared" si="49"/>
        <v>F</v>
      </c>
      <c r="O520" t="str">
        <f t="shared" si="50"/>
        <v>High School or Below</v>
      </c>
      <c r="P520" t="str">
        <f t="shared" si="51"/>
        <v>Personal</v>
      </c>
      <c r="Q520">
        <f t="shared" si="52"/>
        <v>2</v>
      </c>
      <c r="R520">
        <f t="shared" ca="1" si="53"/>
        <v>28</v>
      </c>
    </row>
    <row r="521" spans="1:18" x14ac:dyDescent="0.35">
      <c r="A521" t="s">
        <v>560</v>
      </c>
      <c r="B521" t="s">
        <v>33</v>
      </c>
      <c r="C521" t="s">
        <v>21</v>
      </c>
      <c r="D521" t="s">
        <v>35</v>
      </c>
      <c r="E521" s="5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 s="4">
        <v>1210.9209490000001</v>
      </c>
      <c r="L521" s="2">
        <v>36210.920948999999</v>
      </c>
      <c r="M521" t="str">
        <f t="shared" si="48"/>
        <v>Oregon</v>
      </c>
      <c r="N521" t="str">
        <f t="shared" si="49"/>
        <v>F</v>
      </c>
      <c r="O521" t="str">
        <f t="shared" si="50"/>
        <v>College</v>
      </c>
      <c r="P521" t="str">
        <f t="shared" si="51"/>
        <v>Personal</v>
      </c>
      <c r="Q521">
        <f t="shared" si="52"/>
        <v>4</v>
      </c>
      <c r="R521">
        <f t="shared" ca="1" si="53"/>
        <v>27</v>
      </c>
    </row>
    <row r="522" spans="1:18" x14ac:dyDescent="0.35">
      <c r="A522" t="s">
        <v>561</v>
      </c>
      <c r="B522" t="s">
        <v>26</v>
      </c>
      <c r="C522" t="s">
        <v>21</v>
      </c>
      <c r="D522" t="s">
        <v>4</v>
      </c>
      <c r="E522" s="5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 s="4">
        <v>599.64846599999998</v>
      </c>
      <c r="L522" s="2">
        <v>35599.648465999999</v>
      </c>
      <c r="M522" t="str">
        <f t="shared" si="48"/>
        <v>California</v>
      </c>
      <c r="N522" t="str">
        <f t="shared" si="49"/>
        <v>F</v>
      </c>
      <c r="O522" t="str">
        <f t="shared" si="50"/>
        <v>Bachelor</v>
      </c>
      <c r="P522" t="str">
        <f t="shared" si="51"/>
        <v>Corporate</v>
      </c>
      <c r="Q522">
        <f t="shared" si="52"/>
        <v>4</v>
      </c>
      <c r="R522">
        <f t="shared" ca="1" si="53"/>
        <v>29</v>
      </c>
    </row>
    <row r="523" spans="1:18" x14ac:dyDescent="0.3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 s="4">
        <v>787.99331299999994</v>
      </c>
      <c r="L523" s="2">
        <v>35787.993312999999</v>
      </c>
      <c r="M523" t="str">
        <f t="shared" si="48"/>
        <v>Oregon</v>
      </c>
      <c r="N523" t="str">
        <f t="shared" si="49"/>
        <v>M</v>
      </c>
      <c r="O523" t="str">
        <f t="shared" si="50"/>
        <v>High School or Below</v>
      </c>
      <c r="P523" t="str">
        <f t="shared" si="51"/>
        <v>Corporate</v>
      </c>
      <c r="Q523">
        <f t="shared" si="52"/>
        <v>4</v>
      </c>
      <c r="R523">
        <f t="shared" ca="1" si="53"/>
        <v>28</v>
      </c>
    </row>
    <row r="524" spans="1:18" x14ac:dyDescent="0.3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 s="4">
        <v>2027.724442</v>
      </c>
      <c r="L524" s="2">
        <v>37027.724441999999</v>
      </c>
      <c r="M524" t="str">
        <f t="shared" si="48"/>
        <v>California</v>
      </c>
      <c r="N524" t="str">
        <f t="shared" si="49"/>
        <v>M</v>
      </c>
      <c r="O524" t="str">
        <f t="shared" si="50"/>
        <v>College</v>
      </c>
      <c r="P524" t="str">
        <f t="shared" si="51"/>
        <v>Corporate</v>
      </c>
      <c r="Q524">
        <f t="shared" si="52"/>
        <v>2</v>
      </c>
      <c r="R524">
        <f t="shared" ca="1" si="53"/>
        <v>25</v>
      </c>
    </row>
    <row r="525" spans="1:18" x14ac:dyDescent="0.35">
      <c r="A525" t="s">
        <v>564</v>
      </c>
      <c r="B525" t="s">
        <v>23</v>
      </c>
      <c r="C525" t="s">
        <v>21</v>
      </c>
      <c r="D525" t="s">
        <v>4</v>
      </c>
      <c r="E525" s="5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 s="4">
        <v>619.20000000000005</v>
      </c>
      <c r="L525" s="2">
        <v>35619.199999999997</v>
      </c>
      <c r="M525" t="str">
        <f t="shared" si="48"/>
        <v>Nevada</v>
      </c>
      <c r="N525" t="str">
        <f t="shared" si="49"/>
        <v>F</v>
      </c>
      <c r="O525" t="str">
        <f t="shared" si="50"/>
        <v>Bachelor</v>
      </c>
      <c r="P525" t="str">
        <f t="shared" si="51"/>
        <v>Personal</v>
      </c>
      <c r="Q525">
        <f t="shared" si="52"/>
        <v>4</v>
      </c>
      <c r="R525">
        <f t="shared" ca="1" si="53"/>
        <v>29</v>
      </c>
    </row>
    <row r="526" spans="1:18" x14ac:dyDescent="0.35">
      <c r="A526" t="s">
        <v>565</v>
      </c>
      <c r="B526" t="s">
        <v>5</v>
      </c>
      <c r="C526" t="s">
        <v>27</v>
      </c>
      <c r="D526" t="s">
        <v>35</v>
      </c>
      <c r="E526" s="5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 s="4">
        <v>72.852046999999999</v>
      </c>
      <c r="L526" s="2">
        <v>35072.852047</v>
      </c>
      <c r="M526" t="str">
        <f t="shared" si="48"/>
        <v>Arizona</v>
      </c>
      <c r="N526" t="str">
        <f t="shared" si="49"/>
        <v>M</v>
      </c>
      <c r="O526" t="str">
        <f t="shared" si="50"/>
        <v>College</v>
      </c>
      <c r="P526" t="str">
        <f t="shared" si="51"/>
        <v>Personal</v>
      </c>
      <c r="Q526">
        <f t="shared" si="52"/>
        <v>2</v>
      </c>
      <c r="R526">
        <f t="shared" ca="1" si="53"/>
        <v>30</v>
      </c>
    </row>
    <row r="527" spans="1:18" x14ac:dyDescent="0.35">
      <c r="A527" t="s">
        <v>566</v>
      </c>
      <c r="B527" t="s">
        <v>5</v>
      </c>
      <c r="C527" t="s">
        <v>21</v>
      </c>
      <c r="D527" t="s">
        <v>31</v>
      </c>
      <c r="E527" s="5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 s="4">
        <v>449.81967100000003</v>
      </c>
      <c r="L527" s="2">
        <v>35449.819670999997</v>
      </c>
      <c r="M527" t="str">
        <f t="shared" si="48"/>
        <v>Arizona</v>
      </c>
      <c r="N527" t="str">
        <f t="shared" si="49"/>
        <v>F</v>
      </c>
      <c r="O527" t="str">
        <f t="shared" si="50"/>
        <v>High School or Below</v>
      </c>
      <c r="P527" t="str">
        <f t="shared" si="51"/>
        <v>Corporate</v>
      </c>
      <c r="Q527">
        <f t="shared" si="52"/>
        <v>4</v>
      </c>
      <c r="R527">
        <f t="shared" ca="1" si="53"/>
        <v>29</v>
      </c>
    </row>
    <row r="528" spans="1:18" x14ac:dyDescent="0.35">
      <c r="A528" t="s">
        <v>567</v>
      </c>
      <c r="B528" t="s">
        <v>33</v>
      </c>
      <c r="C528" t="s">
        <v>27</v>
      </c>
      <c r="D528" t="s">
        <v>4</v>
      </c>
      <c r="E528" s="5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 s="4">
        <v>302.39999999999998</v>
      </c>
      <c r="L528" s="2">
        <v>35302.400000000001</v>
      </c>
      <c r="M528" t="str">
        <f t="shared" si="48"/>
        <v>Oregon</v>
      </c>
      <c r="N528" t="str">
        <f t="shared" si="49"/>
        <v>M</v>
      </c>
      <c r="O528" t="str">
        <f t="shared" si="50"/>
        <v>Bachelor</v>
      </c>
      <c r="P528" t="str">
        <f t="shared" si="51"/>
        <v>Personal</v>
      </c>
      <c r="Q528">
        <f t="shared" si="52"/>
        <v>2</v>
      </c>
      <c r="R528">
        <f t="shared" ca="1" si="53"/>
        <v>30</v>
      </c>
    </row>
    <row r="529" spans="1:18" x14ac:dyDescent="0.35">
      <c r="A529" t="s">
        <v>568</v>
      </c>
      <c r="B529" t="s">
        <v>33</v>
      </c>
      <c r="C529" t="s">
        <v>271</v>
      </c>
      <c r="D529" t="s">
        <v>35</v>
      </c>
      <c r="E529" s="5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 s="4">
        <v>316.8</v>
      </c>
      <c r="L529" s="2">
        <v>35316.800000000003</v>
      </c>
      <c r="M529" t="str">
        <f t="shared" si="48"/>
        <v>Oregon</v>
      </c>
      <c r="N529" t="str">
        <f t="shared" si="49"/>
        <v>M</v>
      </c>
      <c r="O529" t="str">
        <f t="shared" si="50"/>
        <v>College</v>
      </c>
      <c r="P529" t="str">
        <f t="shared" si="51"/>
        <v>Personal</v>
      </c>
      <c r="Q529">
        <f t="shared" si="52"/>
        <v>2</v>
      </c>
      <c r="R529">
        <f t="shared" ca="1" si="53"/>
        <v>30</v>
      </c>
    </row>
    <row r="530" spans="1:18" x14ac:dyDescent="0.35">
      <c r="A530" t="s">
        <v>569</v>
      </c>
      <c r="B530" t="s">
        <v>33</v>
      </c>
      <c r="C530" t="s">
        <v>271</v>
      </c>
      <c r="D530" t="s">
        <v>31</v>
      </c>
      <c r="E530" s="5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 s="4">
        <v>489.6</v>
      </c>
      <c r="L530" s="2">
        <v>35489.599999999999</v>
      </c>
      <c r="M530" t="str">
        <f t="shared" si="48"/>
        <v>Oregon</v>
      </c>
      <c r="N530" t="str">
        <f t="shared" si="49"/>
        <v>M</v>
      </c>
      <c r="O530" t="str">
        <f t="shared" si="50"/>
        <v>High School or Below</v>
      </c>
      <c r="P530" t="str">
        <f t="shared" si="51"/>
        <v>Personal</v>
      </c>
      <c r="Q530">
        <f t="shared" si="52"/>
        <v>4</v>
      </c>
      <c r="R530">
        <f t="shared" ca="1" si="53"/>
        <v>29</v>
      </c>
    </row>
    <row r="531" spans="1:18" x14ac:dyDescent="0.35">
      <c r="A531" t="s">
        <v>570</v>
      </c>
      <c r="B531" t="s">
        <v>26</v>
      </c>
      <c r="C531" t="s">
        <v>21</v>
      </c>
      <c r="D531" t="s">
        <v>2</v>
      </c>
      <c r="E531" s="5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 s="4">
        <v>56.60333</v>
      </c>
      <c r="L531" s="2">
        <v>35056.603329999998</v>
      </c>
      <c r="M531" t="str">
        <f t="shared" si="48"/>
        <v>California</v>
      </c>
      <c r="N531" t="str">
        <f t="shared" si="49"/>
        <v>F</v>
      </c>
      <c r="O531" t="str">
        <f t="shared" si="50"/>
        <v>Master</v>
      </c>
      <c r="P531" t="str">
        <f t="shared" si="51"/>
        <v>Special</v>
      </c>
      <c r="Q531">
        <f t="shared" si="52"/>
        <v>4</v>
      </c>
      <c r="R531">
        <f t="shared" ca="1" si="53"/>
        <v>30</v>
      </c>
    </row>
    <row r="532" spans="1:18" x14ac:dyDescent="0.35">
      <c r="A532" t="s">
        <v>571</v>
      </c>
      <c r="B532" t="s">
        <v>5</v>
      </c>
      <c r="C532" t="s">
        <v>271</v>
      </c>
      <c r="D532" t="s">
        <v>35</v>
      </c>
      <c r="E532" s="5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 s="4">
        <v>259.06086199999999</v>
      </c>
      <c r="L532" s="2">
        <v>35259.060861999998</v>
      </c>
      <c r="M532" t="str">
        <f t="shared" si="48"/>
        <v>Arizona</v>
      </c>
      <c r="N532" t="str">
        <f t="shared" si="49"/>
        <v>M</v>
      </c>
      <c r="O532" t="str">
        <f t="shared" si="50"/>
        <v>College</v>
      </c>
      <c r="P532" t="str">
        <f t="shared" si="51"/>
        <v>Corporate</v>
      </c>
      <c r="Q532">
        <f t="shared" si="52"/>
        <v>4</v>
      </c>
      <c r="R532">
        <f t="shared" ca="1" si="53"/>
        <v>30</v>
      </c>
    </row>
    <row r="533" spans="1:18" x14ac:dyDescent="0.35">
      <c r="A533" t="s">
        <v>572</v>
      </c>
      <c r="B533" t="s">
        <v>5</v>
      </c>
      <c r="C533" t="s">
        <v>21</v>
      </c>
      <c r="D533" t="s">
        <v>4</v>
      </c>
      <c r="E533" s="5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 s="4">
        <v>456</v>
      </c>
      <c r="L533" s="2">
        <v>35456</v>
      </c>
      <c r="M533" t="str">
        <f t="shared" si="48"/>
        <v>Arizona</v>
      </c>
      <c r="N533" t="str">
        <f t="shared" si="49"/>
        <v>F</v>
      </c>
      <c r="O533" t="str">
        <f t="shared" si="50"/>
        <v>Bachelor</v>
      </c>
      <c r="P533" t="str">
        <f t="shared" si="51"/>
        <v>Personal</v>
      </c>
      <c r="Q533">
        <f t="shared" si="52"/>
        <v>2</v>
      </c>
      <c r="R533">
        <f t="shared" ca="1" si="53"/>
        <v>29</v>
      </c>
    </row>
    <row r="534" spans="1:18" x14ac:dyDescent="0.35">
      <c r="A534" t="s">
        <v>573</v>
      </c>
      <c r="B534" t="s">
        <v>33</v>
      </c>
      <c r="C534" t="s">
        <v>271</v>
      </c>
      <c r="D534" t="s">
        <v>2</v>
      </c>
      <c r="E534" s="5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 s="4">
        <v>364.8</v>
      </c>
      <c r="L534" s="2">
        <v>35364.800000000003</v>
      </c>
      <c r="M534" t="str">
        <f t="shared" si="48"/>
        <v>Oregon</v>
      </c>
      <c r="N534" t="str">
        <f t="shared" si="49"/>
        <v>M</v>
      </c>
      <c r="O534" t="str">
        <f t="shared" si="50"/>
        <v>Master</v>
      </c>
      <c r="P534" t="str">
        <f t="shared" si="51"/>
        <v>Corporate</v>
      </c>
      <c r="Q534">
        <f t="shared" si="52"/>
        <v>4</v>
      </c>
      <c r="R534">
        <f t="shared" ca="1" si="53"/>
        <v>29</v>
      </c>
    </row>
    <row r="535" spans="1:18" x14ac:dyDescent="0.35">
      <c r="A535" t="s">
        <v>574</v>
      </c>
      <c r="B535" t="s">
        <v>5</v>
      </c>
      <c r="C535" t="s">
        <v>21</v>
      </c>
      <c r="D535" t="s">
        <v>4</v>
      </c>
      <c r="E535" s="5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 s="4">
        <v>470.4</v>
      </c>
      <c r="L535" s="2">
        <v>35470.400000000001</v>
      </c>
      <c r="M535" t="str">
        <f t="shared" si="48"/>
        <v>Arizona</v>
      </c>
      <c r="N535" t="str">
        <f t="shared" si="49"/>
        <v>F</v>
      </c>
      <c r="O535" t="str">
        <f t="shared" si="50"/>
        <v>Bachelor</v>
      </c>
      <c r="P535" t="str">
        <f t="shared" si="51"/>
        <v>Personal</v>
      </c>
      <c r="Q535">
        <f t="shared" si="52"/>
        <v>4</v>
      </c>
      <c r="R535">
        <f t="shared" ca="1" si="53"/>
        <v>29</v>
      </c>
    </row>
    <row r="536" spans="1:18" x14ac:dyDescent="0.35">
      <c r="A536" t="s">
        <v>575</v>
      </c>
      <c r="B536" t="s">
        <v>23</v>
      </c>
      <c r="C536" t="s">
        <v>21</v>
      </c>
      <c r="D536" t="s">
        <v>4</v>
      </c>
      <c r="E536" s="5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 s="4">
        <v>299.35608300000001</v>
      </c>
      <c r="L536" s="2">
        <v>35299.356082999999</v>
      </c>
      <c r="M536" t="str">
        <f t="shared" si="48"/>
        <v>Nevada</v>
      </c>
      <c r="N536" t="str">
        <f t="shared" si="49"/>
        <v>F</v>
      </c>
      <c r="O536" t="str">
        <f t="shared" si="50"/>
        <v>Bachelor</v>
      </c>
      <c r="P536" t="str">
        <f t="shared" si="51"/>
        <v>Personal</v>
      </c>
      <c r="Q536">
        <f t="shared" si="52"/>
        <v>4</v>
      </c>
      <c r="R536">
        <f t="shared" ca="1" si="53"/>
        <v>30</v>
      </c>
    </row>
    <row r="537" spans="1:18" x14ac:dyDescent="0.35">
      <c r="A537" t="s">
        <v>576</v>
      </c>
      <c r="B537" t="s">
        <v>5</v>
      </c>
      <c r="C537" t="s">
        <v>21</v>
      </c>
      <c r="D537" t="s">
        <v>31</v>
      </c>
      <c r="E537" s="5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 s="4">
        <v>699.16790000000003</v>
      </c>
      <c r="L537" s="2">
        <v>35699.1679</v>
      </c>
      <c r="M537" t="str">
        <f t="shared" si="48"/>
        <v>Arizona</v>
      </c>
      <c r="N537" t="str">
        <f t="shared" si="49"/>
        <v>F</v>
      </c>
      <c r="O537" t="str">
        <f t="shared" si="50"/>
        <v>High School or Below</v>
      </c>
      <c r="P537" t="str">
        <f t="shared" si="51"/>
        <v>Personal</v>
      </c>
      <c r="Q537">
        <f t="shared" si="52"/>
        <v>4</v>
      </c>
      <c r="R537">
        <f t="shared" ca="1" si="53"/>
        <v>28</v>
      </c>
    </row>
    <row r="538" spans="1:18" x14ac:dyDescent="0.35">
      <c r="A538" t="s">
        <v>577</v>
      </c>
      <c r="B538" t="s">
        <v>33</v>
      </c>
      <c r="C538" t="s">
        <v>21</v>
      </c>
      <c r="D538" t="s">
        <v>31</v>
      </c>
      <c r="E538" s="5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 s="4">
        <v>117.959654</v>
      </c>
      <c r="L538" s="2">
        <v>35117.959653999998</v>
      </c>
      <c r="M538" t="str">
        <f t="shared" si="48"/>
        <v>Oregon</v>
      </c>
      <c r="N538" t="str">
        <f t="shared" si="49"/>
        <v>F</v>
      </c>
      <c r="O538" t="str">
        <f t="shared" si="50"/>
        <v>High School or Below</v>
      </c>
      <c r="P538" t="str">
        <f t="shared" si="51"/>
        <v>Personal</v>
      </c>
      <c r="Q538">
        <f t="shared" si="52"/>
        <v>4</v>
      </c>
      <c r="R538">
        <f t="shared" ca="1" si="53"/>
        <v>30</v>
      </c>
    </row>
    <row r="539" spans="1:18" x14ac:dyDescent="0.35">
      <c r="A539" t="s">
        <v>578</v>
      </c>
      <c r="B539" t="s">
        <v>33</v>
      </c>
      <c r="C539" t="s">
        <v>21</v>
      </c>
      <c r="D539" t="s">
        <v>31</v>
      </c>
      <c r="E539" s="5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 s="4">
        <v>545.24034099999994</v>
      </c>
      <c r="L539" s="2">
        <v>35545.240340999997</v>
      </c>
      <c r="M539" t="str">
        <f t="shared" si="48"/>
        <v>Oregon</v>
      </c>
      <c r="N539" t="str">
        <f t="shared" si="49"/>
        <v>F</v>
      </c>
      <c r="O539" t="str">
        <f t="shared" si="50"/>
        <v>High School or Below</v>
      </c>
      <c r="P539" t="str">
        <f t="shared" si="51"/>
        <v>Personal</v>
      </c>
      <c r="Q539">
        <f t="shared" si="52"/>
        <v>4</v>
      </c>
      <c r="R539">
        <f t="shared" ca="1" si="53"/>
        <v>29</v>
      </c>
    </row>
    <row r="540" spans="1:18" x14ac:dyDescent="0.35">
      <c r="A540" t="s">
        <v>579</v>
      </c>
      <c r="B540" t="s">
        <v>26</v>
      </c>
      <c r="C540" t="s">
        <v>271</v>
      </c>
      <c r="D540" t="s">
        <v>35</v>
      </c>
      <c r="E540" s="5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 s="4">
        <v>350.4</v>
      </c>
      <c r="L540" s="2">
        <v>35350.400000000001</v>
      </c>
      <c r="M540" t="str">
        <f t="shared" si="48"/>
        <v>California</v>
      </c>
      <c r="N540" t="str">
        <f t="shared" si="49"/>
        <v>M</v>
      </c>
      <c r="O540" t="str">
        <f t="shared" si="50"/>
        <v>College</v>
      </c>
      <c r="P540" t="str">
        <f t="shared" si="51"/>
        <v>Personal</v>
      </c>
      <c r="Q540">
        <f t="shared" si="52"/>
        <v>2</v>
      </c>
      <c r="R540">
        <f t="shared" ca="1" si="53"/>
        <v>29</v>
      </c>
    </row>
    <row r="541" spans="1:18" x14ac:dyDescent="0.35">
      <c r="A541" t="s">
        <v>580</v>
      </c>
      <c r="B541" t="s">
        <v>33</v>
      </c>
      <c r="C541" t="s">
        <v>271</v>
      </c>
      <c r="D541" t="s">
        <v>80</v>
      </c>
      <c r="E541" s="5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 s="4">
        <v>328.23143199999998</v>
      </c>
      <c r="L541" s="2">
        <v>35328.231432</v>
      </c>
      <c r="M541" t="str">
        <f t="shared" si="48"/>
        <v>Oregon</v>
      </c>
      <c r="N541" t="str">
        <f t="shared" si="49"/>
        <v>M</v>
      </c>
      <c r="O541" t="str">
        <f t="shared" si="50"/>
        <v>Doctor</v>
      </c>
      <c r="P541" t="str">
        <f t="shared" si="51"/>
        <v>Personal</v>
      </c>
      <c r="Q541">
        <f t="shared" si="52"/>
        <v>4</v>
      </c>
      <c r="R541">
        <f t="shared" ca="1" si="53"/>
        <v>29</v>
      </c>
    </row>
    <row r="542" spans="1:18" x14ac:dyDescent="0.35">
      <c r="A542" t="s">
        <v>581</v>
      </c>
      <c r="B542" t="s">
        <v>33</v>
      </c>
      <c r="C542" t="s">
        <v>21</v>
      </c>
      <c r="D542" t="s">
        <v>2</v>
      </c>
      <c r="E542" s="5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 s="4">
        <v>66.568641999999997</v>
      </c>
      <c r="L542" s="2">
        <v>35066.568641999998</v>
      </c>
      <c r="M542" t="str">
        <f t="shared" si="48"/>
        <v>Oregon</v>
      </c>
      <c r="N542" t="str">
        <f t="shared" si="49"/>
        <v>F</v>
      </c>
      <c r="O542" t="str">
        <f t="shared" si="50"/>
        <v>Master</v>
      </c>
      <c r="P542" t="str">
        <f t="shared" si="51"/>
        <v>Personal</v>
      </c>
      <c r="Q542">
        <f t="shared" si="52"/>
        <v>2</v>
      </c>
      <c r="R542">
        <f t="shared" ca="1" si="53"/>
        <v>30</v>
      </c>
    </row>
    <row r="543" spans="1:18" x14ac:dyDescent="0.35">
      <c r="A543" t="s">
        <v>582</v>
      </c>
      <c r="B543" t="s">
        <v>33</v>
      </c>
      <c r="C543" t="s">
        <v>271</v>
      </c>
      <c r="D543" t="s">
        <v>31</v>
      </c>
      <c r="E543" s="5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 s="4">
        <v>1382.4</v>
      </c>
      <c r="L543" s="2">
        <v>36382.400000000001</v>
      </c>
      <c r="M543" t="str">
        <f t="shared" si="48"/>
        <v>Oregon</v>
      </c>
      <c r="N543" t="str">
        <f t="shared" si="49"/>
        <v>M</v>
      </c>
      <c r="O543" t="str">
        <f t="shared" si="50"/>
        <v>High School or Below</v>
      </c>
      <c r="P543" t="str">
        <f t="shared" si="51"/>
        <v>Personal</v>
      </c>
      <c r="Q543">
        <f t="shared" si="52"/>
        <v>2</v>
      </c>
      <c r="R543">
        <f t="shared" ca="1" si="53"/>
        <v>27</v>
      </c>
    </row>
    <row r="544" spans="1:18" x14ac:dyDescent="0.35">
      <c r="A544" t="s">
        <v>583</v>
      </c>
      <c r="B544" t="s">
        <v>3</v>
      </c>
      <c r="C544" t="s">
        <v>21</v>
      </c>
      <c r="D544" t="s">
        <v>4</v>
      </c>
      <c r="E544" s="5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 s="4">
        <v>121.306839</v>
      </c>
      <c r="L544" s="2">
        <v>35121.306838999997</v>
      </c>
      <c r="M544" t="str">
        <f t="shared" si="48"/>
        <v>Washington</v>
      </c>
      <c r="N544" t="str">
        <f t="shared" si="49"/>
        <v>F</v>
      </c>
      <c r="O544" t="str">
        <f t="shared" si="50"/>
        <v>Bachelor</v>
      </c>
      <c r="P544" t="str">
        <f t="shared" si="51"/>
        <v>Corporate</v>
      </c>
      <c r="Q544">
        <f t="shared" si="52"/>
        <v>4</v>
      </c>
      <c r="R544">
        <f t="shared" ca="1" si="53"/>
        <v>30</v>
      </c>
    </row>
    <row r="545" spans="1:18" x14ac:dyDescent="0.35">
      <c r="A545" t="s">
        <v>584</v>
      </c>
      <c r="B545" t="s">
        <v>5</v>
      </c>
      <c r="C545" t="s">
        <v>271</v>
      </c>
      <c r="D545" t="s">
        <v>35</v>
      </c>
      <c r="E545" s="5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 s="4">
        <v>609.6</v>
      </c>
      <c r="L545" s="2">
        <v>35609.599999999999</v>
      </c>
      <c r="M545" t="str">
        <f t="shared" si="48"/>
        <v>Arizona</v>
      </c>
      <c r="N545" t="str">
        <f t="shared" si="49"/>
        <v>M</v>
      </c>
      <c r="O545" t="str">
        <f t="shared" si="50"/>
        <v>College</v>
      </c>
      <c r="P545" t="str">
        <f t="shared" si="51"/>
        <v>Personal</v>
      </c>
      <c r="Q545">
        <f t="shared" si="52"/>
        <v>4</v>
      </c>
      <c r="R545">
        <f t="shared" ca="1" si="53"/>
        <v>29</v>
      </c>
    </row>
    <row r="546" spans="1:18" x14ac:dyDescent="0.3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 s="4">
        <v>542.4</v>
      </c>
      <c r="L546" s="2">
        <v>35542.400000000001</v>
      </c>
      <c r="M546" t="str">
        <f t="shared" si="48"/>
        <v>California</v>
      </c>
      <c r="N546" t="str">
        <f t="shared" si="49"/>
        <v>M</v>
      </c>
      <c r="O546" t="str">
        <f t="shared" si="50"/>
        <v>High School or Below</v>
      </c>
      <c r="P546" t="str">
        <f t="shared" si="51"/>
        <v>Special</v>
      </c>
      <c r="Q546">
        <f t="shared" si="52"/>
        <v>4</v>
      </c>
      <c r="R546">
        <f t="shared" ca="1" si="53"/>
        <v>29</v>
      </c>
    </row>
    <row r="547" spans="1:18" x14ac:dyDescent="0.35">
      <c r="A547" t="s">
        <v>586</v>
      </c>
      <c r="B547" t="s">
        <v>33</v>
      </c>
      <c r="C547" t="s">
        <v>21</v>
      </c>
      <c r="D547" t="s">
        <v>31</v>
      </c>
      <c r="E547" s="5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 s="4">
        <v>532.79999999999995</v>
      </c>
      <c r="L547" s="2">
        <v>35532.800000000003</v>
      </c>
      <c r="M547" t="str">
        <f t="shared" si="48"/>
        <v>Oregon</v>
      </c>
      <c r="N547" t="str">
        <f t="shared" si="49"/>
        <v>F</v>
      </c>
      <c r="O547" t="str">
        <f t="shared" si="50"/>
        <v>High School or Below</v>
      </c>
      <c r="P547" t="str">
        <f t="shared" si="51"/>
        <v>Personal</v>
      </c>
      <c r="Q547">
        <f t="shared" si="52"/>
        <v>4</v>
      </c>
      <c r="R547">
        <f t="shared" ca="1" si="53"/>
        <v>29</v>
      </c>
    </row>
    <row r="548" spans="1:18" x14ac:dyDescent="0.35">
      <c r="A548" t="s">
        <v>587</v>
      </c>
      <c r="B548" t="s">
        <v>3</v>
      </c>
      <c r="C548" t="s">
        <v>27</v>
      </c>
      <c r="D548" t="s">
        <v>31</v>
      </c>
      <c r="E548" s="5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 s="4">
        <v>125.93300499999999</v>
      </c>
      <c r="L548" s="2">
        <v>35125.933004999999</v>
      </c>
      <c r="M548" t="str">
        <f t="shared" si="48"/>
        <v>Washington</v>
      </c>
      <c r="N548" t="str">
        <f t="shared" si="49"/>
        <v>M</v>
      </c>
      <c r="O548" t="str">
        <f t="shared" si="50"/>
        <v>High School or Below</v>
      </c>
      <c r="P548" t="str">
        <f t="shared" si="51"/>
        <v>Personal</v>
      </c>
      <c r="Q548">
        <f t="shared" si="52"/>
        <v>4</v>
      </c>
      <c r="R548">
        <f t="shared" ca="1" si="53"/>
        <v>30</v>
      </c>
    </row>
    <row r="549" spans="1:18" x14ac:dyDescent="0.35">
      <c r="A549" t="s">
        <v>588</v>
      </c>
      <c r="B549" t="s">
        <v>5</v>
      </c>
      <c r="C549" t="s">
        <v>27</v>
      </c>
      <c r="D549" t="s">
        <v>35</v>
      </c>
      <c r="E549" s="5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 s="4">
        <v>655.41332999999997</v>
      </c>
      <c r="L549" s="2">
        <v>35655.413330000003</v>
      </c>
      <c r="M549" t="str">
        <f t="shared" si="48"/>
        <v>Arizona</v>
      </c>
      <c r="N549" t="str">
        <f t="shared" si="49"/>
        <v>M</v>
      </c>
      <c r="O549" t="str">
        <f t="shared" si="50"/>
        <v>College</v>
      </c>
      <c r="P549" t="str">
        <f t="shared" si="51"/>
        <v>Personal</v>
      </c>
      <c r="Q549">
        <f t="shared" si="52"/>
        <v>4</v>
      </c>
      <c r="R549">
        <f t="shared" ca="1" si="53"/>
        <v>29</v>
      </c>
    </row>
    <row r="550" spans="1:18" x14ac:dyDescent="0.35">
      <c r="A550" t="s">
        <v>589</v>
      </c>
      <c r="B550" t="s">
        <v>5</v>
      </c>
      <c r="C550" t="s">
        <v>27</v>
      </c>
      <c r="D550" t="s">
        <v>4</v>
      </c>
      <c r="E550" s="5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 s="4">
        <v>312</v>
      </c>
      <c r="L550" s="2">
        <v>35312</v>
      </c>
      <c r="M550" t="str">
        <f t="shared" si="48"/>
        <v>Arizona</v>
      </c>
      <c r="N550" t="str">
        <f t="shared" si="49"/>
        <v>M</v>
      </c>
      <c r="O550" t="str">
        <f t="shared" si="50"/>
        <v>Bachelor</v>
      </c>
      <c r="P550" t="str">
        <f t="shared" si="51"/>
        <v>Personal</v>
      </c>
      <c r="Q550">
        <f t="shared" si="52"/>
        <v>4</v>
      </c>
      <c r="R550">
        <f t="shared" ca="1" si="53"/>
        <v>30</v>
      </c>
    </row>
    <row r="551" spans="1:18" x14ac:dyDescent="0.35">
      <c r="A551" t="s">
        <v>590</v>
      </c>
      <c r="B551" t="s">
        <v>26</v>
      </c>
      <c r="C551" t="s">
        <v>21</v>
      </c>
      <c r="D551" t="s">
        <v>4</v>
      </c>
      <c r="E551" s="5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 s="4">
        <v>345.6</v>
      </c>
      <c r="L551" s="2">
        <v>35345.599999999999</v>
      </c>
      <c r="M551" t="str">
        <f t="shared" si="48"/>
        <v>California</v>
      </c>
      <c r="N551" t="str">
        <f t="shared" si="49"/>
        <v>F</v>
      </c>
      <c r="O551" t="str">
        <f t="shared" si="50"/>
        <v>Bachelor</v>
      </c>
      <c r="P551" t="str">
        <f t="shared" si="51"/>
        <v>Corporate</v>
      </c>
      <c r="Q551">
        <f t="shared" si="52"/>
        <v>4</v>
      </c>
      <c r="R551">
        <f t="shared" ca="1" si="53"/>
        <v>29</v>
      </c>
    </row>
    <row r="552" spans="1:18" x14ac:dyDescent="0.35">
      <c r="A552" t="s">
        <v>591</v>
      </c>
      <c r="B552" t="s">
        <v>33</v>
      </c>
      <c r="C552" t="s">
        <v>21</v>
      </c>
      <c r="D552" t="s">
        <v>35</v>
      </c>
      <c r="E552" s="5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 s="4">
        <v>673.34265000000005</v>
      </c>
      <c r="L552" s="2">
        <v>35673.342649999999</v>
      </c>
      <c r="M552" t="str">
        <f t="shared" si="48"/>
        <v>Oregon</v>
      </c>
      <c r="N552" t="str">
        <f t="shared" si="49"/>
        <v>F</v>
      </c>
      <c r="O552" t="str">
        <f t="shared" si="50"/>
        <v>College</v>
      </c>
      <c r="P552" t="str">
        <f t="shared" si="51"/>
        <v>Personal</v>
      </c>
      <c r="Q552">
        <f t="shared" si="52"/>
        <v>4</v>
      </c>
      <c r="R552">
        <f t="shared" ca="1" si="53"/>
        <v>29</v>
      </c>
    </row>
    <row r="553" spans="1:18" x14ac:dyDescent="0.35">
      <c r="A553" t="s">
        <v>592</v>
      </c>
      <c r="B553" t="s">
        <v>33</v>
      </c>
      <c r="C553" t="s">
        <v>21</v>
      </c>
      <c r="D553" t="s">
        <v>35</v>
      </c>
      <c r="E553" s="5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 s="4">
        <v>619.20000000000005</v>
      </c>
      <c r="L553" s="2">
        <v>35619.199999999997</v>
      </c>
      <c r="M553" t="str">
        <f t="shared" si="48"/>
        <v>Oregon</v>
      </c>
      <c r="N553" t="str">
        <f t="shared" si="49"/>
        <v>F</v>
      </c>
      <c r="O553" t="str">
        <f t="shared" si="50"/>
        <v>College</v>
      </c>
      <c r="P553" t="str">
        <f t="shared" si="51"/>
        <v>Corporate</v>
      </c>
      <c r="Q553">
        <f t="shared" si="52"/>
        <v>4</v>
      </c>
      <c r="R553">
        <f t="shared" ca="1" si="53"/>
        <v>29</v>
      </c>
    </row>
    <row r="554" spans="1:18" x14ac:dyDescent="0.35">
      <c r="A554" t="s">
        <v>593</v>
      </c>
      <c r="B554" t="s">
        <v>33</v>
      </c>
      <c r="C554" t="s">
        <v>21</v>
      </c>
      <c r="D554" t="s">
        <v>2</v>
      </c>
      <c r="E554" s="5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 s="4">
        <v>513.6</v>
      </c>
      <c r="L554" s="2">
        <v>35513.599999999999</v>
      </c>
      <c r="M554" t="str">
        <f t="shared" si="48"/>
        <v>Oregon</v>
      </c>
      <c r="N554" t="str">
        <f t="shared" si="49"/>
        <v>F</v>
      </c>
      <c r="O554" t="str">
        <f t="shared" si="50"/>
        <v>Master</v>
      </c>
      <c r="P554" t="str">
        <f t="shared" si="51"/>
        <v>Personal</v>
      </c>
      <c r="Q554">
        <f t="shared" si="52"/>
        <v>4</v>
      </c>
      <c r="R554">
        <f t="shared" ca="1" si="53"/>
        <v>29</v>
      </c>
    </row>
    <row r="555" spans="1:18" x14ac:dyDescent="0.35">
      <c r="A555" t="s">
        <v>594</v>
      </c>
      <c r="B555" t="s">
        <v>33</v>
      </c>
      <c r="C555" t="s">
        <v>21</v>
      </c>
      <c r="D555" t="s">
        <v>35</v>
      </c>
      <c r="E555" s="5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 s="4">
        <v>23.810490999999999</v>
      </c>
      <c r="L555" s="2">
        <v>35023.810490999997</v>
      </c>
      <c r="M555" t="str">
        <f t="shared" si="48"/>
        <v>Oregon</v>
      </c>
      <c r="N555" t="str">
        <f t="shared" si="49"/>
        <v>F</v>
      </c>
      <c r="O555" t="str">
        <f t="shared" si="50"/>
        <v>College</v>
      </c>
      <c r="P555" t="str">
        <f t="shared" si="51"/>
        <v>Personal</v>
      </c>
      <c r="Q555">
        <f t="shared" si="52"/>
        <v>4</v>
      </c>
      <c r="R555">
        <f t="shared" ca="1" si="53"/>
        <v>30</v>
      </c>
    </row>
    <row r="556" spans="1:18" x14ac:dyDescent="0.3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 s="4">
        <v>451.2</v>
      </c>
      <c r="L556" s="2">
        <v>35451.199999999997</v>
      </c>
      <c r="M556" t="str">
        <f t="shared" si="48"/>
        <v>California</v>
      </c>
      <c r="N556" t="str">
        <f t="shared" si="49"/>
        <v>M</v>
      </c>
      <c r="O556" t="str">
        <f t="shared" si="50"/>
        <v>High School or Below</v>
      </c>
      <c r="P556" t="str">
        <f t="shared" si="51"/>
        <v>Personal</v>
      </c>
      <c r="Q556">
        <f t="shared" si="52"/>
        <v>2</v>
      </c>
      <c r="R556">
        <f t="shared" ca="1" si="53"/>
        <v>29</v>
      </c>
    </row>
    <row r="557" spans="1:18" x14ac:dyDescent="0.35">
      <c r="A557" t="s">
        <v>596</v>
      </c>
      <c r="B557" t="s">
        <v>5</v>
      </c>
      <c r="C557" t="s">
        <v>27</v>
      </c>
      <c r="D557" t="s">
        <v>31</v>
      </c>
      <c r="E557" s="5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 s="4">
        <v>350.4</v>
      </c>
      <c r="L557" s="2">
        <v>35350.400000000001</v>
      </c>
      <c r="M557" t="str">
        <f t="shared" si="48"/>
        <v>Arizona</v>
      </c>
      <c r="N557" t="str">
        <f t="shared" si="49"/>
        <v>M</v>
      </c>
      <c r="O557" t="str">
        <f t="shared" si="50"/>
        <v>High School or Below</v>
      </c>
      <c r="P557" t="str">
        <f t="shared" si="51"/>
        <v>Personal</v>
      </c>
      <c r="Q557">
        <f t="shared" si="52"/>
        <v>2</v>
      </c>
      <c r="R557">
        <f t="shared" ca="1" si="53"/>
        <v>29</v>
      </c>
    </row>
    <row r="558" spans="1:18" x14ac:dyDescent="0.3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 s="4">
        <v>307.2</v>
      </c>
      <c r="L558" s="2">
        <v>35307.199999999997</v>
      </c>
      <c r="M558" t="str">
        <f t="shared" si="48"/>
        <v>California</v>
      </c>
      <c r="N558" t="str">
        <f t="shared" si="49"/>
        <v>M</v>
      </c>
      <c r="O558" t="str">
        <f t="shared" si="50"/>
        <v>High School or Below</v>
      </c>
      <c r="P558" t="str">
        <f t="shared" si="51"/>
        <v>Personal</v>
      </c>
      <c r="Q558">
        <f t="shared" si="52"/>
        <v>4</v>
      </c>
      <c r="R558">
        <f t="shared" ca="1" si="53"/>
        <v>30</v>
      </c>
    </row>
    <row r="559" spans="1:18" x14ac:dyDescent="0.3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 s="4">
        <v>408</v>
      </c>
      <c r="L559" s="2">
        <v>35408</v>
      </c>
      <c r="M559" t="str">
        <f t="shared" si="48"/>
        <v>California</v>
      </c>
      <c r="N559" t="str">
        <f t="shared" si="49"/>
        <v>M</v>
      </c>
      <c r="O559" t="str">
        <f t="shared" si="50"/>
        <v>High School or Below</v>
      </c>
      <c r="P559" t="str">
        <f t="shared" si="51"/>
        <v>Corporate</v>
      </c>
      <c r="Q559">
        <f t="shared" si="52"/>
        <v>4</v>
      </c>
      <c r="R559">
        <f t="shared" ca="1" si="53"/>
        <v>29</v>
      </c>
    </row>
    <row r="560" spans="1:18" x14ac:dyDescent="0.35">
      <c r="A560" t="s">
        <v>599</v>
      </c>
      <c r="B560" t="s">
        <v>26</v>
      </c>
      <c r="C560" t="s">
        <v>21</v>
      </c>
      <c r="D560" t="s">
        <v>2</v>
      </c>
      <c r="E560" s="5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 s="4">
        <v>231.92217299999999</v>
      </c>
      <c r="L560" s="2">
        <v>35231.922172999999</v>
      </c>
      <c r="M560" t="str">
        <f t="shared" si="48"/>
        <v>California</v>
      </c>
      <c r="N560" t="str">
        <f t="shared" si="49"/>
        <v>F</v>
      </c>
      <c r="O560" t="str">
        <f t="shared" si="50"/>
        <v>Master</v>
      </c>
      <c r="P560" t="str">
        <f t="shared" si="51"/>
        <v>Corporate</v>
      </c>
      <c r="Q560">
        <f t="shared" si="52"/>
        <v>4</v>
      </c>
      <c r="R560">
        <f t="shared" ca="1" si="53"/>
        <v>30</v>
      </c>
    </row>
    <row r="561" spans="1:18" x14ac:dyDescent="0.35">
      <c r="A561" t="s">
        <v>600</v>
      </c>
      <c r="B561" t="s">
        <v>5</v>
      </c>
      <c r="C561" t="s">
        <v>21</v>
      </c>
      <c r="D561" t="s">
        <v>35</v>
      </c>
      <c r="E561" s="5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 s="4">
        <v>772.8</v>
      </c>
      <c r="L561" s="2">
        <v>35772.800000000003</v>
      </c>
      <c r="M561" t="str">
        <f t="shared" si="48"/>
        <v>Arizona</v>
      </c>
      <c r="N561" t="str">
        <f t="shared" si="49"/>
        <v>F</v>
      </c>
      <c r="O561" t="str">
        <f t="shared" si="50"/>
        <v>College</v>
      </c>
      <c r="P561" t="str">
        <f t="shared" si="51"/>
        <v>Personal</v>
      </c>
      <c r="Q561">
        <f t="shared" si="52"/>
        <v>2</v>
      </c>
      <c r="R561">
        <f t="shared" ca="1" si="53"/>
        <v>28</v>
      </c>
    </row>
    <row r="562" spans="1:18" x14ac:dyDescent="0.35">
      <c r="A562" t="s">
        <v>601</v>
      </c>
      <c r="B562" t="s">
        <v>26</v>
      </c>
      <c r="C562" t="s">
        <v>27</v>
      </c>
      <c r="D562" t="s">
        <v>4</v>
      </c>
      <c r="E562" s="5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 s="4">
        <v>664.98024199999998</v>
      </c>
      <c r="L562" s="2">
        <v>35664.980241999998</v>
      </c>
      <c r="M562" t="str">
        <f t="shared" si="48"/>
        <v>California</v>
      </c>
      <c r="N562" t="str">
        <f t="shared" si="49"/>
        <v>M</v>
      </c>
      <c r="O562" t="str">
        <f t="shared" si="50"/>
        <v>Bachelor</v>
      </c>
      <c r="P562" t="str">
        <f t="shared" si="51"/>
        <v>Corporate</v>
      </c>
      <c r="Q562">
        <f t="shared" si="52"/>
        <v>4</v>
      </c>
      <c r="R562">
        <f t="shared" ca="1" si="53"/>
        <v>29</v>
      </c>
    </row>
    <row r="563" spans="1:18" x14ac:dyDescent="0.35">
      <c r="A563" t="s">
        <v>602</v>
      </c>
      <c r="B563" t="s">
        <v>3</v>
      </c>
      <c r="C563" t="s">
        <v>21</v>
      </c>
      <c r="D563" t="s">
        <v>35</v>
      </c>
      <c r="E563" s="5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 s="4">
        <v>128.64594600000001</v>
      </c>
      <c r="L563" s="2">
        <v>35128.645945999997</v>
      </c>
      <c r="M563" t="str">
        <f t="shared" si="48"/>
        <v>Washington</v>
      </c>
      <c r="N563" t="str">
        <f t="shared" si="49"/>
        <v>F</v>
      </c>
      <c r="O563" t="str">
        <f t="shared" si="50"/>
        <v>College</v>
      </c>
      <c r="P563" t="str">
        <f t="shared" si="51"/>
        <v>Corporate</v>
      </c>
      <c r="Q563">
        <f t="shared" si="52"/>
        <v>4</v>
      </c>
      <c r="R563">
        <f t="shared" ca="1" si="53"/>
        <v>30</v>
      </c>
    </row>
    <row r="564" spans="1:18" x14ac:dyDescent="0.35">
      <c r="A564" t="s">
        <v>603</v>
      </c>
      <c r="B564" t="s">
        <v>33</v>
      </c>
      <c r="C564" t="s">
        <v>21</v>
      </c>
      <c r="D564" t="s">
        <v>4</v>
      </c>
      <c r="E564" s="5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 s="4">
        <v>46.492038999999998</v>
      </c>
      <c r="L564" s="2">
        <v>35046.492038999997</v>
      </c>
      <c r="M564" t="str">
        <f t="shared" si="48"/>
        <v>Oregon</v>
      </c>
      <c r="N564" t="str">
        <f t="shared" si="49"/>
        <v>F</v>
      </c>
      <c r="O564" t="str">
        <f t="shared" si="50"/>
        <v>Bachelor</v>
      </c>
      <c r="P564" t="str">
        <f t="shared" si="51"/>
        <v>Personal</v>
      </c>
      <c r="Q564">
        <f t="shared" si="52"/>
        <v>4</v>
      </c>
      <c r="R564">
        <f t="shared" ca="1" si="53"/>
        <v>30</v>
      </c>
    </row>
    <row r="565" spans="1:18" x14ac:dyDescent="0.3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 s="4">
        <v>432</v>
      </c>
      <c r="L565" s="2">
        <v>35432</v>
      </c>
      <c r="M565" t="str">
        <f t="shared" si="48"/>
        <v>Nevada</v>
      </c>
      <c r="N565" t="str">
        <f t="shared" si="49"/>
        <v>M</v>
      </c>
      <c r="O565" t="str">
        <f t="shared" si="50"/>
        <v>College</v>
      </c>
      <c r="P565" t="str">
        <f t="shared" si="51"/>
        <v>Personal</v>
      </c>
      <c r="Q565">
        <f t="shared" si="52"/>
        <v>4</v>
      </c>
      <c r="R565">
        <f t="shared" ca="1" si="53"/>
        <v>29</v>
      </c>
    </row>
    <row r="566" spans="1:18" x14ac:dyDescent="0.35">
      <c r="A566" t="s">
        <v>605</v>
      </c>
      <c r="B566" t="s">
        <v>26</v>
      </c>
      <c r="C566" t="s">
        <v>27</v>
      </c>
      <c r="D566" t="s">
        <v>2</v>
      </c>
      <c r="E566" s="5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 s="4">
        <v>78.085149000000001</v>
      </c>
      <c r="L566" s="2">
        <v>35078.085148999999</v>
      </c>
      <c r="M566" t="str">
        <f t="shared" si="48"/>
        <v>California</v>
      </c>
      <c r="N566" t="str">
        <f t="shared" si="49"/>
        <v>M</v>
      </c>
      <c r="O566" t="str">
        <f t="shared" si="50"/>
        <v>Master</v>
      </c>
      <c r="P566" t="str">
        <f t="shared" si="51"/>
        <v>Personal</v>
      </c>
      <c r="Q566">
        <f t="shared" si="52"/>
        <v>4</v>
      </c>
      <c r="R566">
        <f t="shared" ca="1" si="53"/>
        <v>30</v>
      </c>
    </row>
    <row r="567" spans="1:18" x14ac:dyDescent="0.35">
      <c r="A567" t="s">
        <v>606</v>
      </c>
      <c r="B567" t="s">
        <v>26</v>
      </c>
      <c r="C567" t="s">
        <v>21</v>
      </c>
      <c r="D567" t="s">
        <v>35</v>
      </c>
      <c r="E567" s="5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 s="4">
        <v>564.46655599999997</v>
      </c>
      <c r="L567" s="2">
        <v>35564.466555999999</v>
      </c>
      <c r="M567" t="str">
        <f t="shared" si="48"/>
        <v>California</v>
      </c>
      <c r="N567" t="str">
        <f t="shared" si="49"/>
        <v>F</v>
      </c>
      <c r="O567" t="str">
        <f t="shared" si="50"/>
        <v>College</v>
      </c>
      <c r="P567" t="str">
        <f t="shared" si="51"/>
        <v>Corporate</v>
      </c>
      <c r="Q567">
        <f t="shared" si="52"/>
        <v>2</v>
      </c>
      <c r="R567">
        <f t="shared" ca="1" si="53"/>
        <v>29</v>
      </c>
    </row>
    <row r="568" spans="1:18" x14ac:dyDescent="0.3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 s="4">
        <v>739.2</v>
      </c>
      <c r="L568" s="2">
        <v>35739.199999999997</v>
      </c>
      <c r="M568" t="str">
        <f t="shared" si="48"/>
        <v>California</v>
      </c>
      <c r="N568" t="str">
        <f t="shared" si="49"/>
        <v>M</v>
      </c>
      <c r="O568" t="str">
        <f t="shared" si="50"/>
        <v>College</v>
      </c>
      <c r="P568" t="str">
        <f t="shared" si="51"/>
        <v>Personal</v>
      </c>
      <c r="Q568">
        <f t="shared" si="52"/>
        <v>2</v>
      </c>
      <c r="R568">
        <f t="shared" ca="1" si="53"/>
        <v>28</v>
      </c>
    </row>
    <row r="569" spans="1:18" x14ac:dyDescent="0.35">
      <c r="A569" t="s">
        <v>608</v>
      </c>
      <c r="B569" t="s">
        <v>26</v>
      </c>
      <c r="C569" t="s">
        <v>21</v>
      </c>
      <c r="D569" t="s">
        <v>31</v>
      </c>
      <c r="E569" s="5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 s="4">
        <v>792</v>
      </c>
      <c r="L569" s="2">
        <v>35792</v>
      </c>
      <c r="M569" t="str">
        <f t="shared" si="48"/>
        <v>California</v>
      </c>
      <c r="N569" t="str">
        <f t="shared" si="49"/>
        <v>F</v>
      </c>
      <c r="O569" t="str">
        <f t="shared" si="50"/>
        <v>High School or Below</v>
      </c>
      <c r="P569" t="str">
        <f t="shared" si="51"/>
        <v>Personal</v>
      </c>
      <c r="Q569">
        <f t="shared" si="52"/>
        <v>4</v>
      </c>
      <c r="R569">
        <f t="shared" ca="1" si="53"/>
        <v>28</v>
      </c>
    </row>
    <row r="570" spans="1:18" x14ac:dyDescent="0.35">
      <c r="A570" t="s">
        <v>609</v>
      </c>
      <c r="B570" t="s">
        <v>33</v>
      </c>
      <c r="C570" t="s">
        <v>21</v>
      </c>
      <c r="D570" t="s">
        <v>4</v>
      </c>
      <c r="E570" s="5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 s="4">
        <v>289.04073399999999</v>
      </c>
      <c r="L570" s="2">
        <v>35289.040734000002</v>
      </c>
      <c r="M570" t="str">
        <f t="shared" si="48"/>
        <v>Oregon</v>
      </c>
      <c r="N570" t="str">
        <f t="shared" si="49"/>
        <v>F</v>
      </c>
      <c r="O570" t="str">
        <f t="shared" si="50"/>
        <v>Bachelor</v>
      </c>
      <c r="P570" t="str">
        <f t="shared" si="51"/>
        <v>Corporate</v>
      </c>
      <c r="Q570">
        <f t="shared" si="52"/>
        <v>4</v>
      </c>
      <c r="R570">
        <f t="shared" ca="1" si="53"/>
        <v>30</v>
      </c>
    </row>
    <row r="571" spans="1:18" x14ac:dyDescent="0.35">
      <c r="A571" t="s">
        <v>610</v>
      </c>
      <c r="B571" t="s">
        <v>33</v>
      </c>
      <c r="C571" t="s">
        <v>27</v>
      </c>
      <c r="D571" t="s">
        <v>4</v>
      </c>
      <c r="E571" s="5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 s="4">
        <v>155.938593</v>
      </c>
      <c r="L571" s="2">
        <v>35155.938592999999</v>
      </c>
      <c r="M571" t="str">
        <f t="shared" si="48"/>
        <v>Oregon</v>
      </c>
      <c r="N571" t="str">
        <f t="shared" si="49"/>
        <v>M</v>
      </c>
      <c r="O571" t="str">
        <f t="shared" si="50"/>
        <v>Bachelor</v>
      </c>
      <c r="P571" t="str">
        <f t="shared" si="51"/>
        <v>Personal</v>
      </c>
      <c r="Q571">
        <f t="shared" si="52"/>
        <v>2</v>
      </c>
      <c r="R571">
        <f t="shared" ca="1" si="53"/>
        <v>30</v>
      </c>
    </row>
    <row r="572" spans="1:18" x14ac:dyDescent="0.3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 s="4">
        <v>302.39999999999998</v>
      </c>
      <c r="L572" s="2">
        <v>35302.400000000001</v>
      </c>
      <c r="M572" t="str">
        <f t="shared" si="48"/>
        <v>California</v>
      </c>
      <c r="N572" t="str">
        <f t="shared" si="49"/>
        <v>M</v>
      </c>
      <c r="O572" t="str">
        <f t="shared" si="50"/>
        <v>College</v>
      </c>
      <c r="P572" t="str">
        <f t="shared" si="51"/>
        <v>Personal</v>
      </c>
      <c r="Q572">
        <f t="shared" si="52"/>
        <v>4</v>
      </c>
      <c r="R572">
        <f t="shared" ca="1" si="53"/>
        <v>30</v>
      </c>
    </row>
    <row r="573" spans="1:18" x14ac:dyDescent="0.35">
      <c r="A573" t="s">
        <v>612</v>
      </c>
      <c r="B573" t="s">
        <v>33</v>
      </c>
      <c r="C573" t="s">
        <v>21</v>
      </c>
      <c r="D573" t="s">
        <v>35</v>
      </c>
      <c r="E573" s="5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 s="4">
        <v>326.54942499999999</v>
      </c>
      <c r="L573" s="2">
        <v>35326.549424999997</v>
      </c>
      <c r="M573" t="str">
        <f t="shared" si="48"/>
        <v>Oregon</v>
      </c>
      <c r="N573" t="str">
        <f t="shared" si="49"/>
        <v>F</v>
      </c>
      <c r="O573" t="str">
        <f t="shared" si="50"/>
        <v>College</v>
      </c>
      <c r="P573" t="str">
        <f t="shared" si="51"/>
        <v>Personal</v>
      </c>
      <c r="Q573">
        <f t="shared" si="52"/>
        <v>2</v>
      </c>
      <c r="R573">
        <f t="shared" ca="1" si="53"/>
        <v>29</v>
      </c>
    </row>
    <row r="574" spans="1:18" x14ac:dyDescent="0.35">
      <c r="A574" t="s">
        <v>613</v>
      </c>
      <c r="B574" t="s">
        <v>33</v>
      </c>
      <c r="C574" t="s">
        <v>21</v>
      </c>
      <c r="D574" t="s">
        <v>4</v>
      </c>
      <c r="E574" s="5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 s="4">
        <v>653.65668000000005</v>
      </c>
      <c r="L574" s="2">
        <v>35653.65668</v>
      </c>
      <c r="M574" t="str">
        <f t="shared" si="48"/>
        <v>Oregon</v>
      </c>
      <c r="N574" t="str">
        <f t="shared" si="49"/>
        <v>F</v>
      </c>
      <c r="O574" t="str">
        <f t="shared" si="50"/>
        <v>Bachelor</v>
      </c>
      <c r="P574" t="str">
        <f t="shared" si="51"/>
        <v>Special</v>
      </c>
      <c r="Q574">
        <f t="shared" si="52"/>
        <v>2</v>
      </c>
      <c r="R574">
        <f t="shared" ca="1" si="53"/>
        <v>29</v>
      </c>
    </row>
    <row r="575" spans="1:18" x14ac:dyDescent="0.35">
      <c r="A575" t="s">
        <v>614</v>
      </c>
      <c r="B575" t="s">
        <v>26</v>
      </c>
      <c r="C575" t="s">
        <v>27</v>
      </c>
      <c r="D575" t="s">
        <v>4</v>
      </c>
      <c r="E575" s="5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 s="4">
        <v>103.93560100000001</v>
      </c>
      <c r="L575" s="2">
        <v>35103.935600999997</v>
      </c>
      <c r="M575" t="str">
        <f t="shared" si="48"/>
        <v>California</v>
      </c>
      <c r="N575" t="str">
        <f t="shared" si="49"/>
        <v>M</v>
      </c>
      <c r="O575" t="str">
        <f t="shared" si="50"/>
        <v>Bachelor</v>
      </c>
      <c r="P575" t="str">
        <f t="shared" si="51"/>
        <v>Personal</v>
      </c>
      <c r="Q575">
        <f t="shared" si="52"/>
        <v>4</v>
      </c>
      <c r="R575">
        <f t="shared" ca="1" si="53"/>
        <v>30</v>
      </c>
    </row>
    <row r="576" spans="1:18" x14ac:dyDescent="0.35">
      <c r="A576" t="s">
        <v>615</v>
      </c>
      <c r="B576" t="s">
        <v>5</v>
      </c>
      <c r="C576" t="s">
        <v>21</v>
      </c>
      <c r="D576" t="s">
        <v>4</v>
      </c>
      <c r="E576" s="5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 s="4">
        <v>809.53234099999997</v>
      </c>
      <c r="L576" s="2">
        <v>35809.532340999998</v>
      </c>
      <c r="M576" t="str">
        <f t="shared" si="48"/>
        <v>Arizona</v>
      </c>
      <c r="N576" t="str">
        <f t="shared" si="49"/>
        <v>F</v>
      </c>
      <c r="O576" t="str">
        <f t="shared" si="50"/>
        <v>Bachelor</v>
      </c>
      <c r="P576" t="str">
        <f t="shared" si="51"/>
        <v>Personal</v>
      </c>
      <c r="Q576">
        <f t="shared" si="52"/>
        <v>4</v>
      </c>
      <c r="R576">
        <f t="shared" ca="1" si="53"/>
        <v>28</v>
      </c>
    </row>
    <row r="577" spans="1:18" x14ac:dyDescent="0.35">
      <c r="A577" t="s">
        <v>616</v>
      </c>
      <c r="B577" t="s">
        <v>33</v>
      </c>
      <c r="C577" t="s">
        <v>21</v>
      </c>
      <c r="D577" t="s">
        <v>31</v>
      </c>
      <c r="E577" s="5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 s="4">
        <v>321.60000000000002</v>
      </c>
      <c r="L577" s="2">
        <v>35321.599999999999</v>
      </c>
      <c r="M577" t="str">
        <f t="shared" si="48"/>
        <v>Oregon</v>
      </c>
      <c r="N577" t="str">
        <f t="shared" si="49"/>
        <v>F</v>
      </c>
      <c r="O577" t="str">
        <f t="shared" si="50"/>
        <v>High School or Below</v>
      </c>
      <c r="P577" t="str">
        <f t="shared" si="51"/>
        <v>Personal</v>
      </c>
      <c r="Q577">
        <f t="shared" si="52"/>
        <v>2</v>
      </c>
      <c r="R577">
        <f t="shared" ca="1" si="53"/>
        <v>29</v>
      </c>
    </row>
    <row r="578" spans="1:18" x14ac:dyDescent="0.35">
      <c r="A578" t="s">
        <v>617</v>
      </c>
      <c r="B578" t="s">
        <v>33</v>
      </c>
      <c r="C578" t="s">
        <v>21</v>
      </c>
      <c r="D578" t="s">
        <v>31</v>
      </c>
      <c r="E578" s="5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 s="4">
        <v>528</v>
      </c>
      <c r="L578" s="2">
        <v>35528</v>
      </c>
      <c r="M578" t="str">
        <f t="shared" si="48"/>
        <v>Oregon</v>
      </c>
      <c r="N578" t="str">
        <f t="shared" si="49"/>
        <v>F</v>
      </c>
      <c r="O578" t="str">
        <f t="shared" si="50"/>
        <v>High School or Below</v>
      </c>
      <c r="P578" t="str">
        <f t="shared" si="51"/>
        <v>Personal</v>
      </c>
      <c r="Q578">
        <f t="shared" si="52"/>
        <v>2</v>
      </c>
      <c r="R578">
        <f t="shared" ca="1" si="53"/>
        <v>29</v>
      </c>
    </row>
    <row r="579" spans="1:18" x14ac:dyDescent="0.35">
      <c r="A579" t="s">
        <v>618</v>
      </c>
      <c r="B579" t="s">
        <v>33</v>
      </c>
      <c r="C579" t="s">
        <v>27</v>
      </c>
      <c r="D579" t="s">
        <v>4</v>
      </c>
      <c r="E579" s="5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 s="4">
        <v>312</v>
      </c>
      <c r="L579" s="2">
        <v>35312</v>
      </c>
      <c r="M579" t="str">
        <f t="shared" ref="M579:M642" si="54">IF(OR(B579="California",B579="Cali"),"California",IF(OR(B579="Arizona",B579="AZ"),"Arizona",IF(OR(B579="Washington",B579="WA"),"Washington",B579)))</f>
        <v>Oregon</v>
      </c>
      <c r="N579" t="str">
        <f t="shared" ref="N579:N642" si="55">IF(OR(C579="F",C579="Femal",C579="female"),"F",IF(OR(C579="M",C579="Male"),"M","NA"))</f>
        <v>M</v>
      </c>
      <c r="O579" t="str">
        <f t="shared" ref="O579:O642" si="56">IF(OR(D579="Bachelor",D579="Bachelors"),"Bachelor",D579)</f>
        <v>Bachelor</v>
      </c>
      <c r="P579" t="str">
        <f t="shared" ref="P579:P642" si="57">LEFT(I579,FIND(" ",I579)-1)</f>
        <v>Personal</v>
      </c>
      <c r="Q579">
        <f t="shared" ref="Q579:Q642" si="58">IF(OR(J579="Luxury Car",J579="Two-Door Car",J579="Sports Car"),2,IF(OR(J579="Luxury SUV",J579="SUV",J579="Four-Door Car"),4,"NA"))</f>
        <v>2</v>
      </c>
      <c r="R579">
        <f t="shared" ref="R579:R642" ca="1" si="59">DATEDIF(L579,TODAY(),"Y")</f>
        <v>30</v>
      </c>
    </row>
    <row r="580" spans="1:18" x14ac:dyDescent="0.35">
      <c r="A580" t="s">
        <v>619</v>
      </c>
      <c r="B580" t="s">
        <v>33</v>
      </c>
      <c r="C580" t="s">
        <v>21</v>
      </c>
      <c r="D580" t="s">
        <v>4</v>
      </c>
      <c r="E580" s="5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 s="4">
        <v>580.72531000000004</v>
      </c>
      <c r="L580" s="2">
        <v>35580.725310000002</v>
      </c>
      <c r="M580" t="str">
        <f t="shared" si="54"/>
        <v>Oregon</v>
      </c>
      <c r="N580" t="str">
        <f t="shared" si="55"/>
        <v>F</v>
      </c>
      <c r="O580" t="str">
        <f t="shared" si="56"/>
        <v>Bachelor</v>
      </c>
      <c r="P580" t="str">
        <f t="shared" si="57"/>
        <v>Personal</v>
      </c>
      <c r="Q580">
        <f t="shared" si="58"/>
        <v>4</v>
      </c>
      <c r="R580">
        <f t="shared" ca="1" si="59"/>
        <v>29</v>
      </c>
    </row>
    <row r="581" spans="1:18" x14ac:dyDescent="0.35">
      <c r="A581" t="s">
        <v>620</v>
      </c>
      <c r="B581" t="s">
        <v>3</v>
      </c>
      <c r="C581" t="s">
        <v>27</v>
      </c>
      <c r="D581" t="s">
        <v>31</v>
      </c>
      <c r="E581" s="5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 s="4">
        <v>133.73539500000001</v>
      </c>
      <c r="L581" s="2">
        <v>35133.735395000003</v>
      </c>
      <c r="M581" t="str">
        <f t="shared" si="54"/>
        <v>Washington</v>
      </c>
      <c r="N581" t="str">
        <f t="shared" si="55"/>
        <v>M</v>
      </c>
      <c r="O581" t="str">
        <f t="shared" si="56"/>
        <v>High School or Below</v>
      </c>
      <c r="P581" t="str">
        <f t="shared" si="57"/>
        <v>Personal</v>
      </c>
      <c r="Q581">
        <f t="shared" si="58"/>
        <v>4</v>
      </c>
      <c r="R581">
        <f t="shared" ca="1" si="59"/>
        <v>30</v>
      </c>
    </row>
    <row r="582" spans="1:18" x14ac:dyDescent="0.35">
      <c r="A582" t="s">
        <v>621</v>
      </c>
      <c r="B582" t="s">
        <v>33</v>
      </c>
      <c r="C582" t="s">
        <v>21</v>
      </c>
      <c r="D582" t="s">
        <v>2</v>
      </c>
      <c r="E582" s="5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 s="4">
        <v>238.00507400000001</v>
      </c>
      <c r="L582" s="2">
        <v>35238.005074000001</v>
      </c>
      <c r="M582" t="str">
        <f t="shared" si="54"/>
        <v>Oregon</v>
      </c>
      <c r="N582" t="str">
        <f t="shared" si="55"/>
        <v>F</v>
      </c>
      <c r="O582" t="str">
        <f t="shared" si="56"/>
        <v>Master</v>
      </c>
      <c r="P582" t="str">
        <f t="shared" si="57"/>
        <v>Personal</v>
      </c>
      <c r="Q582">
        <f t="shared" si="58"/>
        <v>4</v>
      </c>
      <c r="R582">
        <f t="shared" ca="1" si="59"/>
        <v>30</v>
      </c>
    </row>
    <row r="583" spans="1:18" x14ac:dyDescent="0.35">
      <c r="A583" t="s">
        <v>622</v>
      </c>
      <c r="B583" t="s">
        <v>5</v>
      </c>
      <c r="C583" t="s">
        <v>21</v>
      </c>
      <c r="D583" t="s">
        <v>31</v>
      </c>
      <c r="E583" s="5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 s="4">
        <v>1577.6744169999999</v>
      </c>
      <c r="L583" s="2">
        <v>36577.674417000002</v>
      </c>
      <c r="M583" t="str">
        <f t="shared" si="54"/>
        <v>Arizona</v>
      </c>
      <c r="N583" t="str">
        <f t="shared" si="55"/>
        <v>F</v>
      </c>
      <c r="O583" t="str">
        <f t="shared" si="56"/>
        <v>High School or Below</v>
      </c>
      <c r="P583" t="str">
        <f t="shared" si="57"/>
        <v>Personal</v>
      </c>
      <c r="Q583">
        <f t="shared" si="58"/>
        <v>2</v>
      </c>
      <c r="R583">
        <f t="shared" ca="1" si="59"/>
        <v>26</v>
      </c>
    </row>
    <row r="584" spans="1:18" x14ac:dyDescent="0.35">
      <c r="A584" t="s">
        <v>623</v>
      </c>
      <c r="B584" t="s">
        <v>3</v>
      </c>
      <c r="C584" t="s">
        <v>27</v>
      </c>
      <c r="D584" t="s">
        <v>2</v>
      </c>
      <c r="E584" s="5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 s="4">
        <v>135.89244400000001</v>
      </c>
      <c r="L584" s="2">
        <v>35135.892443999997</v>
      </c>
      <c r="M584" t="str">
        <f t="shared" si="54"/>
        <v>Washington</v>
      </c>
      <c r="N584" t="str">
        <f t="shared" si="55"/>
        <v>M</v>
      </c>
      <c r="O584" t="str">
        <f t="shared" si="56"/>
        <v>Master</v>
      </c>
      <c r="P584" t="str">
        <f t="shared" si="57"/>
        <v>Personal</v>
      </c>
      <c r="Q584">
        <f t="shared" si="58"/>
        <v>2</v>
      </c>
      <c r="R584">
        <f t="shared" ca="1" si="59"/>
        <v>30</v>
      </c>
    </row>
    <row r="585" spans="1:18" x14ac:dyDescent="0.35">
      <c r="A585" t="s">
        <v>624</v>
      </c>
      <c r="B585" t="s">
        <v>26</v>
      </c>
      <c r="C585" t="s">
        <v>21</v>
      </c>
      <c r="D585" t="s">
        <v>31</v>
      </c>
      <c r="E585" s="5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 s="4">
        <v>135.26124999999999</v>
      </c>
      <c r="L585" s="2">
        <v>35135.261250000003</v>
      </c>
      <c r="M585" t="str">
        <f t="shared" si="54"/>
        <v>California</v>
      </c>
      <c r="N585" t="str">
        <f t="shared" si="55"/>
        <v>F</v>
      </c>
      <c r="O585" t="str">
        <f t="shared" si="56"/>
        <v>High School or Below</v>
      </c>
      <c r="P585" t="str">
        <f t="shared" si="57"/>
        <v>Personal</v>
      </c>
      <c r="Q585">
        <f t="shared" si="58"/>
        <v>4</v>
      </c>
      <c r="R585">
        <f t="shared" ca="1" si="59"/>
        <v>30</v>
      </c>
    </row>
    <row r="586" spans="1:18" x14ac:dyDescent="0.3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 s="4">
        <v>571.20000000000005</v>
      </c>
      <c r="L586" s="2">
        <v>35571.199999999997</v>
      </c>
      <c r="M586" t="str">
        <f t="shared" si="54"/>
        <v>Nevada</v>
      </c>
      <c r="N586" t="str">
        <f t="shared" si="55"/>
        <v>M</v>
      </c>
      <c r="O586" t="str">
        <f t="shared" si="56"/>
        <v>High School or Below</v>
      </c>
      <c r="P586" t="str">
        <f t="shared" si="57"/>
        <v>Personal</v>
      </c>
      <c r="Q586">
        <f t="shared" si="58"/>
        <v>2</v>
      </c>
      <c r="R586">
        <f t="shared" ca="1" si="59"/>
        <v>29</v>
      </c>
    </row>
    <row r="587" spans="1:18" x14ac:dyDescent="0.35">
      <c r="A587" t="s">
        <v>626</v>
      </c>
      <c r="B587" t="s">
        <v>26</v>
      </c>
      <c r="C587" t="s">
        <v>27</v>
      </c>
      <c r="D587" t="s">
        <v>4</v>
      </c>
      <c r="E587" s="5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 s="4">
        <v>331.2</v>
      </c>
      <c r="L587" s="2">
        <v>35331.199999999997</v>
      </c>
      <c r="M587" t="str">
        <f t="shared" si="54"/>
        <v>California</v>
      </c>
      <c r="N587" t="str">
        <f t="shared" si="55"/>
        <v>M</v>
      </c>
      <c r="O587" t="str">
        <f t="shared" si="56"/>
        <v>Bachelor</v>
      </c>
      <c r="P587" t="str">
        <f t="shared" si="57"/>
        <v>Personal</v>
      </c>
      <c r="Q587">
        <f t="shared" si="58"/>
        <v>4</v>
      </c>
      <c r="R587">
        <f t="shared" ca="1" si="59"/>
        <v>29</v>
      </c>
    </row>
    <row r="588" spans="1:18" x14ac:dyDescent="0.35">
      <c r="A588" t="s">
        <v>627</v>
      </c>
      <c r="B588" t="s">
        <v>33</v>
      </c>
      <c r="C588" t="s">
        <v>27</v>
      </c>
      <c r="D588" t="s">
        <v>4</v>
      </c>
      <c r="E588" s="5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 s="4">
        <v>566.4</v>
      </c>
      <c r="L588" s="2">
        <v>35566.400000000001</v>
      </c>
      <c r="M588" t="str">
        <f t="shared" si="54"/>
        <v>Oregon</v>
      </c>
      <c r="N588" t="str">
        <f t="shared" si="55"/>
        <v>M</v>
      </c>
      <c r="O588" t="str">
        <f t="shared" si="56"/>
        <v>Bachelor</v>
      </c>
      <c r="P588" t="str">
        <f t="shared" si="57"/>
        <v>Personal</v>
      </c>
      <c r="Q588">
        <f t="shared" si="58"/>
        <v>4</v>
      </c>
      <c r="R588">
        <f t="shared" ca="1" si="59"/>
        <v>29</v>
      </c>
    </row>
    <row r="589" spans="1:18" x14ac:dyDescent="0.35">
      <c r="A589" t="s">
        <v>628</v>
      </c>
      <c r="B589" t="s">
        <v>26</v>
      </c>
      <c r="C589" t="s">
        <v>27</v>
      </c>
      <c r="D589" t="s">
        <v>4</v>
      </c>
      <c r="E589" s="5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 s="4">
        <v>297.60000000000002</v>
      </c>
      <c r="L589" s="2">
        <v>35297.599999999999</v>
      </c>
      <c r="M589" t="str">
        <f t="shared" si="54"/>
        <v>California</v>
      </c>
      <c r="N589" t="str">
        <f t="shared" si="55"/>
        <v>M</v>
      </c>
      <c r="O589" t="str">
        <f t="shared" si="56"/>
        <v>Bachelor</v>
      </c>
      <c r="P589" t="str">
        <f t="shared" si="57"/>
        <v>Personal</v>
      </c>
      <c r="Q589">
        <f t="shared" si="58"/>
        <v>4</v>
      </c>
      <c r="R589">
        <f t="shared" ca="1" si="59"/>
        <v>30</v>
      </c>
    </row>
    <row r="590" spans="1:18" x14ac:dyDescent="0.35">
      <c r="A590" t="s">
        <v>629</v>
      </c>
      <c r="B590" t="s">
        <v>26</v>
      </c>
      <c r="C590" t="s">
        <v>27</v>
      </c>
      <c r="D590" t="s">
        <v>4</v>
      </c>
      <c r="E590" s="5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 s="4">
        <v>312</v>
      </c>
      <c r="L590" s="2">
        <v>35312</v>
      </c>
      <c r="M590" t="str">
        <f t="shared" si="54"/>
        <v>California</v>
      </c>
      <c r="N590" t="str">
        <f t="shared" si="55"/>
        <v>M</v>
      </c>
      <c r="O590" t="str">
        <f t="shared" si="56"/>
        <v>Bachelor</v>
      </c>
      <c r="P590" t="str">
        <f t="shared" si="57"/>
        <v>Personal</v>
      </c>
      <c r="Q590">
        <f t="shared" si="58"/>
        <v>4</v>
      </c>
      <c r="R590">
        <f t="shared" ca="1" si="59"/>
        <v>30</v>
      </c>
    </row>
    <row r="591" spans="1:18" x14ac:dyDescent="0.3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 s="4">
        <v>637.06345799999997</v>
      </c>
      <c r="L591" s="2">
        <v>35637.063457999997</v>
      </c>
      <c r="M591" t="str">
        <f t="shared" si="54"/>
        <v>Nevada</v>
      </c>
      <c r="N591" t="str">
        <f t="shared" si="55"/>
        <v>M</v>
      </c>
      <c r="O591" t="str">
        <f t="shared" si="56"/>
        <v>High School or Below</v>
      </c>
      <c r="P591" t="str">
        <f t="shared" si="57"/>
        <v>Personal</v>
      </c>
      <c r="Q591">
        <f t="shared" si="58"/>
        <v>2</v>
      </c>
      <c r="R591">
        <f t="shared" ca="1" si="59"/>
        <v>29</v>
      </c>
    </row>
    <row r="592" spans="1:18" x14ac:dyDescent="0.35">
      <c r="A592" t="s">
        <v>631</v>
      </c>
      <c r="B592" t="s">
        <v>5</v>
      </c>
      <c r="C592" t="s">
        <v>21</v>
      </c>
      <c r="D592" t="s">
        <v>80</v>
      </c>
      <c r="E592" s="5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 s="4">
        <v>537.6</v>
      </c>
      <c r="L592" s="2">
        <v>35537.599999999999</v>
      </c>
      <c r="M592" t="str">
        <f t="shared" si="54"/>
        <v>Arizona</v>
      </c>
      <c r="N592" t="str">
        <f t="shared" si="55"/>
        <v>F</v>
      </c>
      <c r="O592" t="str">
        <f t="shared" si="56"/>
        <v>Doctor</v>
      </c>
      <c r="P592" t="str">
        <f t="shared" si="57"/>
        <v>Personal</v>
      </c>
      <c r="Q592">
        <f t="shared" si="58"/>
        <v>4</v>
      </c>
      <c r="R592">
        <f t="shared" ca="1" si="59"/>
        <v>29</v>
      </c>
    </row>
    <row r="593" spans="1:18" x14ac:dyDescent="0.35">
      <c r="A593" t="s">
        <v>632</v>
      </c>
      <c r="B593" t="s">
        <v>26</v>
      </c>
      <c r="C593" t="s">
        <v>21</v>
      </c>
      <c r="D593" t="s">
        <v>31</v>
      </c>
      <c r="E593" s="5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 s="4">
        <v>460.8</v>
      </c>
      <c r="L593" s="2">
        <v>35460.800000000003</v>
      </c>
      <c r="M593" t="str">
        <f t="shared" si="54"/>
        <v>California</v>
      </c>
      <c r="N593" t="str">
        <f t="shared" si="55"/>
        <v>F</v>
      </c>
      <c r="O593" t="str">
        <f t="shared" si="56"/>
        <v>High School or Below</v>
      </c>
      <c r="P593" t="str">
        <f t="shared" si="57"/>
        <v>Personal</v>
      </c>
      <c r="Q593">
        <f t="shared" si="58"/>
        <v>4</v>
      </c>
      <c r="R593">
        <f t="shared" ca="1" si="59"/>
        <v>29</v>
      </c>
    </row>
    <row r="594" spans="1:18" x14ac:dyDescent="0.35">
      <c r="A594" t="s">
        <v>633</v>
      </c>
      <c r="B594" t="s">
        <v>26</v>
      </c>
      <c r="C594" t="s">
        <v>21</v>
      </c>
      <c r="D594" t="s">
        <v>2</v>
      </c>
      <c r="E594" s="5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 s="4">
        <v>75.936096000000006</v>
      </c>
      <c r="L594" s="2">
        <v>35075.936095999998</v>
      </c>
      <c r="M594" t="str">
        <f t="shared" si="54"/>
        <v>California</v>
      </c>
      <c r="N594" t="str">
        <f t="shared" si="55"/>
        <v>F</v>
      </c>
      <c r="O594" t="str">
        <f t="shared" si="56"/>
        <v>Master</v>
      </c>
      <c r="P594" t="str">
        <f t="shared" si="57"/>
        <v>Special</v>
      </c>
      <c r="Q594">
        <f t="shared" si="58"/>
        <v>2</v>
      </c>
      <c r="R594">
        <f t="shared" ca="1" si="59"/>
        <v>30</v>
      </c>
    </row>
    <row r="595" spans="1:18" x14ac:dyDescent="0.35">
      <c r="A595" t="s">
        <v>634</v>
      </c>
      <c r="B595" t="s">
        <v>33</v>
      </c>
      <c r="C595" t="s">
        <v>21</v>
      </c>
      <c r="D595" t="s">
        <v>31</v>
      </c>
      <c r="E595" s="5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 s="4">
        <v>799.2</v>
      </c>
      <c r="L595" s="2">
        <v>35799.199999999997</v>
      </c>
      <c r="M595" t="str">
        <f t="shared" si="54"/>
        <v>Oregon</v>
      </c>
      <c r="N595" t="str">
        <f t="shared" si="55"/>
        <v>F</v>
      </c>
      <c r="O595" t="str">
        <f t="shared" si="56"/>
        <v>High School or Below</v>
      </c>
      <c r="P595" t="str">
        <f t="shared" si="57"/>
        <v>Personal</v>
      </c>
      <c r="Q595">
        <f t="shared" si="58"/>
        <v>4</v>
      </c>
      <c r="R595">
        <f t="shared" ca="1" si="59"/>
        <v>28</v>
      </c>
    </row>
    <row r="596" spans="1:18" x14ac:dyDescent="0.35">
      <c r="A596" t="s">
        <v>635</v>
      </c>
      <c r="B596" t="s">
        <v>3</v>
      </c>
      <c r="C596" t="s">
        <v>27</v>
      </c>
      <c r="D596" t="s">
        <v>80</v>
      </c>
      <c r="E596" s="5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 s="4">
        <v>136.29108299999999</v>
      </c>
      <c r="L596" s="2">
        <v>35136.291082999996</v>
      </c>
      <c r="M596" t="str">
        <f t="shared" si="54"/>
        <v>Washington</v>
      </c>
      <c r="N596" t="str">
        <f t="shared" si="55"/>
        <v>M</v>
      </c>
      <c r="O596" t="str">
        <f t="shared" si="56"/>
        <v>Doctor</v>
      </c>
      <c r="P596" t="str">
        <f t="shared" si="57"/>
        <v>Corporate</v>
      </c>
      <c r="Q596">
        <f t="shared" si="58"/>
        <v>2</v>
      </c>
      <c r="R596">
        <f t="shared" ca="1" si="59"/>
        <v>30</v>
      </c>
    </row>
    <row r="597" spans="1:18" x14ac:dyDescent="0.3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 s="4">
        <v>67.530904000000007</v>
      </c>
      <c r="L597" s="2">
        <v>35067.530903999999</v>
      </c>
      <c r="M597" t="str">
        <f t="shared" si="54"/>
        <v>Nevada</v>
      </c>
      <c r="N597" t="str">
        <f t="shared" si="55"/>
        <v>M</v>
      </c>
      <c r="O597" t="str">
        <f t="shared" si="56"/>
        <v>Doctor</v>
      </c>
      <c r="P597" t="str">
        <f t="shared" si="57"/>
        <v>Personal</v>
      </c>
      <c r="Q597">
        <f t="shared" si="58"/>
        <v>4</v>
      </c>
      <c r="R597">
        <f t="shared" ca="1" si="59"/>
        <v>30</v>
      </c>
    </row>
    <row r="598" spans="1:18" x14ac:dyDescent="0.35">
      <c r="A598" t="s">
        <v>637</v>
      </c>
      <c r="B598" t="s">
        <v>33</v>
      </c>
      <c r="C598" t="s">
        <v>21</v>
      </c>
      <c r="D598" t="s">
        <v>35</v>
      </c>
      <c r="E598" s="5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 s="4">
        <v>312.92125600000003</v>
      </c>
      <c r="L598" s="2">
        <v>35312.921256000001</v>
      </c>
      <c r="M598" t="str">
        <f t="shared" si="54"/>
        <v>Oregon</v>
      </c>
      <c r="N598" t="str">
        <f t="shared" si="55"/>
        <v>F</v>
      </c>
      <c r="O598" t="str">
        <f t="shared" si="56"/>
        <v>College</v>
      </c>
      <c r="P598" t="str">
        <f t="shared" si="57"/>
        <v>Personal</v>
      </c>
      <c r="Q598">
        <f t="shared" si="58"/>
        <v>4</v>
      </c>
      <c r="R598">
        <f t="shared" ca="1" si="59"/>
        <v>30</v>
      </c>
    </row>
    <row r="599" spans="1:18" x14ac:dyDescent="0.35">
      <c r="A599" t="s">
        <v>638</v>
      </c>
      <c r="B599" t="s">
        <v>5</v>
      </c>
      <c r="C599" t="s">
        <v>21</v>
      </c>
      <c r="D599" t="s">
        <v>35</v>
      </c>
      <c r="E599" s="5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 s="4">
        <v>166.937747</v>
      </c>
      <c r="L599" s="2">
        <v>35166.937747000004</v>
      </c>
      <c r="M599" t="str">
        <f t="shared" si="54"/>
        <v>Arizona</v>
      </c>
      <c r="N599" t="str">
        <f t="shared" si="55"/>
        <v>F</v>
      </c>
      <c r="O599" t="str">
        <f t="shared" si="56"/>
        <v>College</v>
      </c>
      <c r="P599" t="str">
        <f t="shared" si="57"/>
        <v>Personal</v>
      </c>
      <c r="Q599">
        <f t="shared" si="58"/>
        <v>4</v>
      </c>
      <c r="R599">
        <f t="shared" ca="1" si="59"/>
        <v>30</v>
      </c>
    </row>
    <row r="600" spans="1:18" x14ac:dyDescent="0.3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 s="4">
        <v>566.4</v>
      </c>
      <c r="L600" s="2">
        <v>35566.400000000001</v>
      </c>
      <c r="M600" t="str">
        <f t="shared" si="54"/>
        <v>Oregon</v>
      </c>
      <c r="N600" t="str">
        <f t="shared" si="55"/>
        <v>M</v>
      </c>
      <c r="O600" t="str">
        <f t="shared" si="56"/>
        <v>College</v>
      </c>
      <c r="P600" t="str">
        <f t="shared" si="57"/>
        <v>Personal</v>
      </c>
      <c r="Q600">
        <f t="shared" si="58"/>
        <v>4</v>
      </c>
      <c r="R600">
        <f t="shared" ca="1" si="59"/>
        <v>29</v>
      </c>
    </row>
    <row r="601" spans="1:18" x14ac:dyDescent="0.35">
      <c r="A601" t="s">
        <v>640</v>
      </c>
      <c r="B601" t="s">
        <v>5</v>
      </c>
      <c r="C601" t="s">
        <v>21</v>
      </c>
      <c r="D601" t="s">
        <v>2</v>
      </c>
      <c r="E601" s="5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 s="4">
        <v>135.382194</v>
      </c>
      <c r="L601" s="2">
        <v>35135.382193999998</v>
      </c>
      <c r="M601" t="str">
        <f t="shared" si="54"/>
        <v>Arizona</v>
      </c>
      <c r="N601" t="str">
        <f t="shared" si="55"/>
        <v>F</v>
      </c>
      <c r="O601" t="str">
        <f t="shared" si="56"/>
        <v>Master</v>
      </c>
      <c r="P601" t="str">
        <f t="shared" si="57"/>
        <v>Personal</v>
      </c>
      <c r="Q601">
        <f t="shared" si="58"/>
        <v>4</v>
      </c>
      <c r="R601">
        <f t="shared" ca="1" si="59"/>
        <v>30</v>
      </c>
    </row>
    <row r="602" spans="1:18" x14ac:dyDescent="0.35">
      <c r="A602" t="s">
        <v>641</v>
      </c>
      <c r="B602" t="s">
        <v>33</v>
      </c>
      <c r="C602" t="s">
        <v>27</v>
      </c>
      <c r="D602" t="s">
        <v>4</v>
      </c>
      <c r="E602" s="5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 s="4">
        <v>17.742954000000001</v>
      </c>
      <c r="L602" s="2">
        <v>35017.742954000001</v>
      </c>
      <c r="M602" t="str">
        <f t="shared" si="54"/>
        <v>Oregon</v>
      </c>
      <c r="N602" t="str">
        <f t="shared" si="55"/>
        <v>M</v>
      </c>
      <c r="O602" t="str">
        <f t="shared" si="56"/>
        <v>Bachelor</v>
      </c>
      <c r="P602" t="str">
        <f t="shared" si="57"/>
        <v>Corporate</v>
      </c>
      <c r="Q602">
        <f t="shared" si="58"/>
        <v>4</v>
      </c>
      <c r="R602">
        <f t="shared" ca="1" si="59"/>
        <v>30</v>
      </c>
    </row>
    <row r="603" spans="1:18" x14ac:dyDescent="0.35">
      <c r="A603" t="s">
        <v>642</v>
      </c>
      <c r="B603" t="s">
        <v>33</v>
      </c>
      <c r="C603" t="s">
        <v>21</v>
      </c>
      <c r="D603" t="s">
        <v>35</v>
      </c>
      <c r="E603" s="5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 s="4">
        <v>1.8383670000000001</v>
      </c>
      <c r="L603" s="2">
        <v>35001.838366999997</v>
      </c>
      <c r="M603" t="str">
        <f t="shared" si="54"/>
        <v>Oregon</v>
      </c>
      <c r="N603" t="str">
        <f t="shared" si="55"/>
        <v>F</v>
      </c>
      <c r="O603" t="str">
        <f t="shared" si="56"/>
        <v>College</v>
      </c>
      <c r="P603" t="str">
        <f t="shared" si="57"/>
        <v>Personal</v>
      </c>
      <c r="Q603">
        <f t="shared" si="58"/>
        <v>2</v>
      </c>
      <c r="R603">
        <f t="shared" ca="1" si="59"/>
        <v>30</v>
      </c>
    </row>
    <row r="604" spans="1:18" x14ac:dyDescent="0.35">
      <c r="A604" t="s">
        <v>643</v>
      </c>
      <c r="B604" t="s">
        <v>26</v>
      </c>
      <c r="C604" t="s">
        <v>27</v>
      </c>
      <c r="D604" t="s">
        <v>4</v>
      </c>
      <c r="E604" s="5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 s="4">
        <v>197.77600899999999</v>
      </c>
      <c r="L604" s="2">
        <v>35197.776009000001</v>
      </c>
      <c r="M604" t="str">
        <f t="shared" si="54"/>
        <v>California</v>
      </c>
      <c r="N604" t="str">
        <f t="shared" si="55"/>
        <v>M</v>
      </c>
      <c r="O604" t="str">
        <f t="shared" si="56"/>
        <v>Bachelor</v>
      </c>
      <c r="P604" t="str">
        <f t="shared" si="57"/>
        <v>Personal</v>
      </c>
      <c r="Q604">
        <f t="shared" si="58"/>
        <v>4</v>
      </c>
      <c r="R604">
        <f t="shared" ca="1" si="59"/>
        <v>30</v>
      </c>
    </row>
    <row r="605" spans="1:18" x14ac:dyDescent="0.35">
      <c r="A605" t="s">
        <v>644</v>
      </c>
      <c r="B605" t="s">
        <v>33</v>
      </c>
      <c r="C605" t="s">
        <v>21</v>
      </c>
      <c r="D605" t="s">
        <v>31</v>
      </c>
      <c r="E605" s="5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 s="4">
        <v>612.102262</v>
      </c>
      <c r="L605" s="2">
        <v>35612.102262</v>
      </c>
      <c r="M605" t="str">
        <f t="shared" si="54"/>
        <v>Oregon</v>
      </c>
      <c r="N605" t="str">
        <f t="shared" si="55"/>
        <v>F</v>
      </c>
      <c r="O605" t="str">
        <f t="shared" si="56"/>
        <v>High School or Below</v>
      </c>
      <c r="P605" t="str">
        <f t="shared" si="57"/>
        <v>Corporate</v>
      </c>
      <c r="Q605">
        <f t="shared" si="58"/>
        <v>4</v>
      </c>
      <c r="R605">
        <f t="shared" ca="1" si="59"/>
        <v>29</v>
      </c>
    </row>
    <row r="606" spans="1:18" x14ac:dyDescent="0.35">
      <c r="A606" t="s">
        <v>645</v>
      </c>
      <c r="B606" t="s">
        <v>33</v>
      </c>
      <c r="C606" t="s">
        <v>21</v>
      </c>
      <c r="D606" t="s">
        <v>80</v>
      </c>
      <c r="E606" s="5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 s="4">
        <v>331.2</v>
      </c>
      <c r="L606" s="2">
        <v>35331.199999999997</v>
      </c>
      <c r="M606" t="str">
        <f t="shared" si="54"/>
        <v>Oregon</v>
      </c>
      <c r="N606" t="str">
        <f t="shared" si="55"/>
        <v>F</v>
      </c>
      <c r="O606" t="str">
        <f t="shared" si="56"/>
        <v>Doctor</v>
      </c>
      <c r="P606" t="str">
        <f t="shared" si="57"/>
        <v>Personal</v>
      </c>
      <c r="Q606">
        <f t="shared" si="58"/>
        <v>2</v>
      </c>
      <c r="R606">
        <f t="shared" ca="1" si="59"/>
        <v>29</v>
      </c>
    </row>
    <row r="607" spans="1:18" x14ac:dyDescent="0.3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 s="4">
        <v>316.8</v>
      </c>
      <c r="L607" s="2">
        <v>35316.800000000003</v>
      </c>
      <c r="M607" t="str">
        <f t="shared" si="54"/>
        <v>California</v>
      </c>
      <c r="N607" t="str">
        <f t="shared" si="55"/>
        <v>M</v>
      </c>
      <c r="O607" t="str">
        <f t="shared" si="56"/>
        <v>College</v>
      </c>
      <c r="P607" t="str">
        <f t="shared" si="57"/>
        <v>Corporate</v>
      </c>
      <c r="Q607">
        <f t="shared" si="58"/>
        <v>2</v>
      </c>
      <c r="R607">
        <f t="shared" ca="1" si="59"/>
        <v>30</v>
      </c>
    </row>
    <row r="608" spans="1:18" x14ac:dyDescent="0.3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 s="4">
        <v>1193.0361539999999</v>
      </c>
      <c r="L608" s="2">
        <v>36193.036154000001</v>
      </c>
      <c r="M608" t="str">
        <f t="shared" si="54"/>
        <v>Nevada</v>
      </c>
      <c r="N608" t="str">
        <f t="shared" si="55"/>
        <v>M</v>
      </c>
      <c r="O608" t="str">
        <f t="shared" si="56"/>
        <v>High School or Below</v>
      </c>
      <c r="P608" t="str">
        <f t="shared" si="57"/>
        <v>Corporate</v>
      </c>
      <c r="Q608">
        <f t="shared" si="58"/>
        <v>4</v>
      </c>
      <c r="R608">
        <f t="shared" ca="1" si="59"/>
        <v>27</v>
      </c>
    </row>
    <row r="609" spans="1:18" x14ac:dyDescent="0.3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 s="4">
        <v>600</v>
      </c>
      <c r="L609" s="2">
        <v>35600</v>
      </c>
      <c r="M609" t="str">
        <f t="shared" si="54"/>
        <v>California</v>
      </c>
      <c r="N609" t="str">
        <f t="shared" si="55"/>
        <v>M</v>
      </c>
      <c r="O609" t="str">
        <f t="shared" si="56"/>
        <v>College</v>
      </c>
      <c r="P609" t="str">
        <f t="shared" si="57"/>
        <v>Personal</v>
      </c>
      <c r="Q609">
        <f t="shared" si="58"/>
        <v>4</v>
      </c>
      <c r="R609">
        <f t="shared" ca="1" si="59"/>
        <v>29</v>
      </c>
    </row>
    <row r="610" spans="1:18" x14ac:dyDescent="0.35">
      <c r="A610" t="s">
        <v>649</v>
      </c>
      <c r="B610" t="s">
        <v>3</v>
      </c>
      <c r="C610" t="s">
        <v>27</v>
      </c>
      <c r="D610" t="s">
        <v>53</v>
      </c>
      <c r="E610" s="5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 s="4">
        <v>136.82953699999999</v>
      </c>
      <c r="L610" s="2">
        <v>35136.829536999998</v>
      </c>
      <c r="M610" t="str">
        <f t="shared" si="54"/>
        <v>Washington</v>
      </c>
      <c r="N610" t="str">
        <f t="shared" si="55"/>
        <v>M</v>
      </c>
      <c r="O610" t="str">
        <f t="shared" si="56"/>
        <v>Bachelor</v>
      </c>
      <c r="P610" t="str">
        <f t="shared" si="57"/>
        <v>Personal</v>
      </c>
      <c r="Q610">
        <f t="shared" si="58"/>
        <v>4</v>
      </c>
      <c r="R610">
        <f t="shared" ca="1" si="59"/>
        <v>30</v>
      </c>
    </row>
    <row r="611" spans="1:18" x14ac:dyDescent="0.35">
      <c r="A611" t="s">
        <v>650</v>
      </c>
      <c r="B611" t="s">
        <v>26</v>
      </c>
      <c r="C611" t="s">
        <v>21</v>
      </c>
      <c r="D611" t="s">
        <v>4</v>
      </c>
      <c r="E611" s="5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 s="4">
        <v>926.4</v>
      </c>
      <c r="L611" s="2">
        <v>35926.400000000001</v>
      </c>
      <c r="M611" t="str">
        <f t="shared" si="54"/>
        <v>California</v>
      </c>
      <c r="N611" t="str">
        <f t="shared" si="55"/>
        <v>F</v>
      </c>
      <c r="O611" t="str">
        <f t="shared" si="56"/>
        <v>Bachelor</v>
      </c>
      <c r="P611" t="str">
        <f t="shared" si="57"/>
        <v>Personal</v>
      </c>
      <c r="Q611">
        <f t="shared" si="58"/>
        <v>4</v>
      </c>
      <c r="R611">
        <f t="shared" ca="1" si="59"/>
        <v>28</v>
      </c>
    </row>
    <row r="612" spans="1:18" x14ac:dyDescent="0.35">
      <c r="A612" t="s">
        <v>651</v>
      </c>
      <c r="B612" t="s">
        <v>33</v>
      </c>
      <c r="C612" t="s">
        <v>27</v>
      </c>
      <c r="D612" t="s">
        <v>2</v>
      </c>
      <c r="E612" s="5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 s="4">
        <v>392.63639999999998</v>
      </c>
      <c r="L612" s="2">
        <v>35392.636400000003</v>
      </c>
      <c r="M612" t="str">
        <f t="shared" si="54"/>
        <v>Oregon</v>
      </c>
      <c r="N612" t="str">
        <f t="shared" si="55"/>
        <v>M</v>
      </c>
      <c r="O612" t="str">
        <f t="shared" si="56"/>
        <v>Master</v>
      </c>
      <c r="P612" t="str">
        <f t="shared" si="57"/>
        <v>Special</v>
      </c>
      <c r="Q612">
        <f t="shared" si="58"/>
        <v>4</v>
      </c>
      <c r="R612">
        <f t="shared" ca="1" si="59"/>
        <v>29</v>
      </c>
    </row>
    <row r="613" spans="1:18" x14ac:dyDescent="0.35">
      <c r="A613" t="s">
        <v>652</v>
      </c>
      <c r="B613" t="s">
        <v>33</v>
      </c>
      <c r="C613" t="s">
        <v>21</v>
      </c>
      <c r="D613" t="s">
        <v>2</v>
      </c>
      <c r="E613" s="5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 s="4">
        <v>215.22647599999999</v>
      </c>
      <c r="L613" s="2">
        <v>35215.226476000003</v>
      </c>
      <c r="M613" t="str">
        <f t="shared" si="54"/>
        <v>Oregon</v>
      </c>
      <c r="N613" t="str">
        <f t="shared" si="55"/>
        <v>F</v>
      </c>
      <c r="O613" t="str">
        <f t="shared" si="56"/>
        <v>Master</v>
      </c>
      <c r="P613" t="str">
        <f t="shared" si="57"/>
        <v>Personal</v>
      </c>
      <c r="Q613">
        <f t="shared" si="58"/>
        <v>2</v>
      </c>
      <c r="R613">
        <f t="shared" ca="1" si="59"/>
        <v>30</v>
      </c>
    </row>
    <row r="614" spans="1:18" x14ac:dyDescent="0.35">
      <c r="A614" t="s">
        <v>653</v>
      </c>
      <c r="B614" t="s">
        <v>5</v>
      </c>
      <c r="C614" t="s">
        <v>27</v>
      </c>
      <c r="D614" t="s">
        <v>4</v>
      </c>
      <c r="E614" s="5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 s="4">
        <v>160.59866199999999</v>
      </c>
      <c r="L614" s="2">
        <v>35160.598661999997</v>
      </c>
      <c r="M614" t="str">
        <f t="shared" si="54"/>
        <v>Arizona</v>
      </c>
      <c r="N614" t="str">
        <f t="shared" si="55"/>
        <v>M</v>
      </c>
      <c r="O614" t="str">
        <f t="shared" si="56"/>
        <v>Bachelor</v>
      </c>
      <c r="P614" t="str">
        <f t="shared" si="57"/>
        <v>Special</v>
      </c>
      <c r="Q614">
        <f t="shared" si="58"/>
        <v>4</v>
      </c>
      <c r="R614">
        <f t="shared" ca="1" si="59"/>
        <v>30</v>
      </c>
    </row>
    <row r="615" spans="1:18" x14ac:dyDescent="0.35">
      <c r="A615" t="s">
        <v>654</v>
      </c>
      <c r="B615" t="s">
        <v>5</v>
      </c>
      <c r="C615" t="s">
        <v>21</v>
      </c>
      <c r="D615" t="s">
        <v>31</v>
      </c>
      <c r="E615" s="5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 s="4">
        <v>371.80302899999998</v>
      </c>
      <c r="L615" s="2">
        <v>35371.803029000002</v>
      </c>
      <c r="M615" t="str">
        <f t="shared" si="54"/>
        <v>Arizona</v>
      </c>
      <c r="N615" t="str">
        <f t="shared" si="55"/>
        <v>F</v>
      </c>
      <c r="O615" t="str">
        <f t="shared" si="56"/>
        <v>High School or Below</v>
      </c>
      <c r="P615" t="str">
        <f t="shared" si="57"/>
        <v>Personal</v>
      </c>
      <c r="Q615">
        <f t="shared" si="58"/>
        <v>4</v>
      </c>
      <c r="R615">
        <f t="shared" ca="1" si="59"/>
        <v>29</v>
      </c>
    </row>
    <row r="616" spans="1:18" x14ac:dyDescent="0.3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 s="4">
        <v>312</v>
      </c>
      <c r="L616" s="2">
        <v>35312</v>
      </c>
      <c r="M616" t="str">
        <f t="shared" si="54"/>
        <v>California</v>
      </c>
      <c r="N616" t="str">
        <f t="shared" si="55"/>
        <v>M</v>
      </c>
      <c r="O616" t="str">
        <f t="shared" si="56"/>
        <v>High School or Below</v>
      </c>
      <c r="P616" t="str">
        <f t="shared" si="57"/>
        <v>Personal</v>
      </c>
      <c r="Q616">
        <f t="shared" si="58"/>
        <v>4</v>
      </c>
      <c r="R616">
        <f t="shared" ca="1" si="59"/>
        <v>30</v>
      </c>
    </row>
    <row r="617" spans="1:18" x14ac:dyDescent="0.35">
      <c r="A617" t="s">
        <v>656</v>
      </c>
      <c r="B617" t="s">
        <v>23</v>
      </c>
      <c r="C617" t="s">
        <v>27</v>
      </c>
      <c r="D617" t="s">
        <v>2</v>
      </c>
      <c r="E617" s="5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 s="4">
        <v>443.67039899999997</v>
      </c>
      <c r="L617" s="2">
        <v>35443.670399000002</v>
      </c>
      <c r="M617" t="str">
        <f t="shared" si="54"/>
        <v>Nevada</v>
      </c>
      <c r="N617" t="str">
        <f t="shared" si="55"/>
        <v>M</v>
      </c>
      <c r="O617" t="str">
        <f t="shared" si="56"/>
        <v>Master</v>
      </c>
      <c r="P617" t="str">
        <f t="shared" si="57"/>
        <v>Corporate</v>
      </c>
      <c r="Q617">
        <f t="shared" si="58"/>
        <v>4</v>
      </c>
      <c r="R617">
        <f t="shared" ca="1" si="59"/>
        <v>29</v>
      </c>
    </row>
    <row r="618" spans="1:18" x14ac:dyDescent="0.3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 s="4">
        <v>612.30058099999997</v>
      </c>
      <c r="L618" s="2">
        <v>35612.300581000003</v>
      </c>
      <c r="M618" t="str">
        <f t="shared" si="54"/>
        <v>Oregon</v>
      </c>
      <c r="N618" t="str">
        <f t="shared" si="55"/>
        <v>M</v>
      </c>
      <c r="O618" t="str">
        <f t="shared" si="56"/>
        <v>College</v>
      </c>
      <c r="P618" t="str">
        <f t="shared" si="57"/>
        <v>Personal</v>
      </c>
      <c r="Q618">
        <f t="shared" si="58"/>
        <v>4</v>
      </c>
      <c r="R618">
        <f t="shared" ca="1" si="59"/>
        <v>29</v>
      </c>
    </row>
    <row r="619" spans="1:18" x14ac:dyDescent="0.35">
      <c r="A619" t="s">
        <v>658</v>
      </c>
      <c r="B619" t="s">
        <v>23</v>
      </c>
      <c r="C619" t="s">
        <v>21</v>
      </c>
      <c r="D619" t="s">
        <v>2</v>
      </c>
      <c r="E619" s="5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 s="4">
        <v>290.391526</v>
      </c>
      <c r="L619" s="2">
        <v>35290.391525999999</v>
      </c>
      <c r="M619" t="str">
        <f t="shared" si="54"/>
        <v>Nevada</v>
      </c>
      <c r="N619" t="str">
        <f t="shared" si="55"/>
        <v>F</v>
      </c>
      <c r="O619" t="str">
        <f t="shared" si="56"/>
        <v>Master</v>
      </c>
      <c r="P619" t="str">
        <f t="shared" si="57"/>
        <v>Corporate</v>
      </c>
      <c r="Q619">
        <f t="shared" si="58"/>
        <v>4</v>
      </c>
      <c r="R619">
        <f t="shared" ca="1" si="59"/>
        <v>30</v>
      </c>
    </row>
    <row r="620" spans="1:18" x14ac:dyDescent="0.35">
      <c r="A620" t="s">
        <v>659</v>
      </c>
      <c r="B620" t="s">
        <v>26</v>
      </c>
      <c r="C620" t="s">
        <v>21</v>
      </c>
      <c r="D620" t="s">
        <v>35</v>
      </c>
      <c r="E620" s="5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 s="4">
        <v>316.79533700000002</v>
      </c>
      <c r="L620" s="2">
        <v>35316.795337000003</v>
      </c>
      <c r="M620" t="str">
        <f t="shared" si="54"/>
        <v>California</v>
      </c>
      <c r="N620" t="str">
        <f t="shared" si="55"/>
        <v>F</v>
      </c>
      <c r="O620" t="str">
        <f t="shared" si="56"/>
        <v>College</v>
      </c>
      <c r="P620" t="str">
        <f t="shared" si="57"/>
        <v>Corporate</v>
      </c>
      <c r="Q620">
        <f t="shared" si="58"/>
        <v>4</v>
      </c>
      <c r="R620">
        <f t="shared" ca="1" si="59"/>
        <v>30</v>
      </c>
    </row>
    <row r="621" spans="1:18" x14ac:dyDescent="0.35">
      <c r="A621" t="s">
        <v>660</v>
      </c>
      <c r="B621" t="s">
        <v>23</v>
      </c>
      <c r="C621" t="s">
        <v>21</v>
      </c>
      <c r="D621" t="s">
        <v>31</v>
      </c>
      <c r="E621" s="5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 s="4">
        <v>405.52793700000001</v>
      </c>
      <c r="L621" s="2">
        <v>35405.527936999999</v>
      </c>
      <c r="M621" t="str">
        <f t="shared" si="54"/>
        <v>Nevada</v>
      </c>
      <c r="N621" t="str">
        <f t="shared" si="55"/>
        <v>F</v>
      </c>
      <c r="O621" t="str">
        <f t="shared" si="56"/>
        <v>High School or Below</v>
      </c>
      <c r="P621" t="str">
        <f t="shared" si="57"/>
        <v>Personal</v>
      </c>
      <c r="Q621">
        <f t="shared" si="58"/>
        <v>4</v>
      </c>
      <c r="R621">
        <f t="shared" ca="1" si="59"/>
        <v>29</v>
      </c>
    </row>
    <row r="622" spans="1:18" x14ac:dyDescent="0.35">
      <c r="A622" t="s">
        <v>661</v>
      </c>
      <c r="B622" t="s">
        <v>33</v>
      </c>
      <c r="C622" t="s">
        <v>21</v>
      </c>
      <c r="D622" t="s">
        <v>35</v>
      </c>
      <c r="E622" s="5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 s="4">
        <v>208.59824599999999</v>
      </c>
      <c r="L622" s="2">
        <v>35208.598246000001</v>
      </c>
      <c r="M622" t="str">
        <f t="shared" si="54"/>
        <v>Oregon</v>
      </c>
      <c r="N622" t="str">
        <f t="shared" si="55"/>
        <v>F</v>
      </c>
      <c r="O622" t="str">
        <f t="shared" si="56"/>
        <v>College</v>
      </c>
      <c r="P622" t="str">
        <f t="shared" si="57"/>
        <v>Personal</v>
      </c>
      <c r="Q622">
        <f t="shared" si="58"/>
        <v>4</v>
      </c>
      <c r="R622">
        <f t="shared" ca="1" si="59"/>
        <v>30</v>
      </c>
    </row>
    <row r="623" spans="1:18" x14ac:dyDescent="0.35">
      <c r="A623" t="s">
        <v>662</v>
      </c>
      <c r="B623" t="s">
        <v>3</v>
      </c>
      <c r="C623" t="s">
        <v>27</v>
      </c>
      <c r="D623" t="s">
        <v>4</v>
      </c>
      <c r="E623" s="5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 s="4">
        <v>138.13087899999999</v>
      </c>
      <c r="L623" s="2">
        <v>35138.130878999997</v>
      </c>
      <c r="M623" t="str">
        <f t="shared" si="54"/>
        <v>Washington</v>
      </c>
      <c r="N623" t="str">
        <f t="shared" si="55"/>
        <v>M</v>
      </c>
      <c r="O623" t="str">
        <f t="shared" si="56"/>
        <v>Bachelor</v>
      </c>
      <c r="P623" t="str">
        <f t="shared" si="57"/>
        <v>Personal</v>
      </c>
      <c r="Q623">
        <f t="shared" si="58"/>
        <v>4</v>
      </c>
      <c r="R623">
        <f t="shared" ca="1" si="59"/>
        <v>30</v>
      </c>
    </row>
    <row r="624" spans="1:18" x14ac:dyDescent="0.35">
      <c r="A624" t="s">
        <v>663</v>
      </c>
      <c r="B624" t="s">
        <v>26</v>
      </c>
      <c r="C624" t="s">
        <v>21</v>
      </c>
      <c r="D624" t="s">
        <v>35</v>
      </c>
      <c r="E624" s="5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 s="4">
        <v>301.437365</v>
      </c>
      <c r="L624" s="2">
        <v>35301.437364999998</v>
      </c>
      <c r="M624" t="str">
        <f t="shared" si="54"/>
        <v>California</v>
      </c>
      <c r="N624" t="str">
        <f t="shared" si="55"/>
        <v>F</v>
      </c>
      <c r="O624" t="str">
        <f t="shared" si="56"/>
        <v>College</v>
      </c>
      <c r="P624" t="str">
        <f t="shared" si="57"/>
        <v>Personal</v>
      </c>
      <c r="Q624">
        <f t="shared" si="58"/>
        <v>2</v>
      </c>
      <c r="R624">
        <f t="shared" ca="1" si="59"/>
        <v>30</v>
      </c>
    </row>
    <row r="625" spans="1:18" x14ac:dyDescent="0.35">
      <c r="A625" t="s">
        <v>664</v>
      </c>
      <c r="B625" t="s">
        <v>33</v>
      </c>
      <c r="C625" t="s">
        <v>21</v>
      </c>
      <c r="D625" t="s">
        <v>4</v>
      </c>
      <c r="E625" s="5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 s="4">
        <v>456.47311500000001</v>
      </c>
      <c r="L625" s="2">
        <v>35456.473115000001</v>
      </c>
      <c r="M625" t="str">
        <f t="shared" si="54"/>
        <v>Oregon</v>
      </c>
      <c r="N625" t="str">
        <f t="shared" si="55"/>
        <v>F</v>
      </c>
      <c r="O625" t="str">
        <f t="shared" si="56"/>
        <v>Bachelor</v>
      </c>
      <c r="P625" t="str">
        <f t="shared" si="57"/>
        <v>Personal</v>
      </c>
      <c r="Q625">
        <f t="shared" si="58"/>
        <v>2</v>
      </c>
      <c r="R625">
        <f t="shared" ca="1" si="59"/>
        <v>29</v>
      </c>
    </row>
    <row r="626" spans="1:18" x14ac:dyDescent="0.35">
      <c r="A626" t="s">
        <v>665</v>
      </c>
      <c r="B626" t="s">
        <v>5</v>
      </c>
      <c r="C626" t="s">
        <v>21</v>
      </c>
      <c r="D626" t="s">
        <v>31</v>
      </c>
      <c r="E626" s="5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 s="4">
        <v>152.338562</v>
      </c>
      <c r="L626" s="2">
        <v>35152.338561999997</v>
      </c>
      <c r="M626" t="str">
        <f t="shared" si="54"/>
        <v>Arizona</v>
      </c>
      <c r="N626" t="str">
        <f t="shared" si="55"/>
        <v>F</v>
      </c>
      <c r="O626" t="str">
        <f t="shared" si="56"/>
        <v>High School or Below</v>
      </c>
      <c r="P626" t="str">
        <f t="shared" si="57"/>
        <v>Personal</v>
      </c>
      <c r="Q626">
        <f t="shared" si="58"/>
        <v>4</v>
      </c>
      <c r="R626">
        <f t="shared" ca="1" si="59"/>
        <v>30</v>
      </c>
    </row>
    <row r="627" spans="1:18" x14ac:dyDescent="0.35">
      <c r="A627" t="s">
        <v>666</v>
      </c>
      <c r="B627" t="s">
        <v>26</v>
      </c>
      <c r="C627" t="s">
        <v>21</v>
      </c>
      <c r="D627" t="s">
        <v>4</v>
      </c>
      <c r="E627" s="5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 s="4">
        <v>491.75536799999998</v>
      </c>
      <c r="L627" s="2">
        <v>35491.755367999998</v>
      </c>
      <c r="M627" t="str">
        <f t="shared" si="54"/>
        <v>California</v>
      </c>
      <c r="N627" t="str">
        <f t="shared" si="55"/>
        <v>F</v>
      </c>
      <c r="O627" t="str">
        <f t="shared" si="56"/>
        <v>Bachelor</v>
      </c>
      <c r="P627" t="str">
        <f t="shared" si="57"/>
        <v>Personal</v>
      </c>
      <c r="Q627">
        <f t="shared" si="58"/>
        <v>4</v>
      </c>
      <c r="R627">
        <f t="shared" ca="1" si="59"/>
        <v>29</v>
      </c>
    </row>
    <row r="628" spans="1:18" x14ac:dyDescent="0.35">
      <c r="A628" t="s">
        <v>667</v>
      </c>
      <c r="B628" t="s">
        <v>26</v>
      </c>
      <c r="C628" t="s">
        <v>21</v>
      </c>
      <c r="D628" t="s">
        <v>35</v>
      </c>
      <c r="E628" s="5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 s="4">
        <v>48.517439000000003</v>
      </c>
      <c r="L628" s="2">
        <v>35048.517439000003</v>
      </c>
      <c r="M628" t="str">
        <f t="shared" si="54"/>
        <v>California</v>
      </c>
      <c r="N628" t="str">
        <f t="shared" si="55"/>
        <v>F</v>
      </c>
      <c r="O628" t="str">
        <f t="shared" si="56"/>
        <v>College</v>
      </c>
      <c r="P628" t="str">
        <f t="shared" si="57"/>
        <v>Personal</v>
      </c>
      <c r="Q628">
        <f t="shared" si="58"/>
        <v>2</v>
      </c>
      <c r="R628">
        <f t="shared" ca="1" si="59"/>
        <v>30</v>
      </c>
    </row>
    <row r="629" spans="1:18" x14ac:dyDescent="0.3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 s="4">
        <v>430.37504899999999</v>
      </c>
      <c r="L629" s="2">
        <v>35430.375049000002</v>
      </c>
      <c r="M629" t="str">
        <f t="shared" si="54"/>
        <v>Nevada</v>
      </c>
      <c r="N629" t="str">
        <f t="shared" si="55"/>
        <v>M</v>
      </c>
      <c r="O629" t="str">
        <f t="shared" si="56"/>
        <v>High School or Below</v>
      </c>
      <c r="P629" t="str">
        <f t="shared" si="57"/>
        <v>Personal</v>
      </c>
      <c r="Q629">
        <f t="shared" si="58"/>
        <v>2</v>
      </c>
      <c r="R629">
        <f t="shared" ca="1" si="59"/>
        <v>29</v>
      </c>
    </row>
    <row r="630" spans="1:18" x14ac:dyDescent="0.35">
      <c r="A630" t="s">
        <v>669</v>
      </c>
      <c r="B630" t="s">
        <v>5</v>
      </c>
      <c r="C630" t="s">
        <v>27</v>
      </c>
      <c r="D630" t="s">
        <v>31</v>
      </c>
      <c r="E630" s="5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 s="4">
        <v>633.6</v>
      </c>
      <c r="L630" s="2">
        <v>35633.599999999999</v>
      </c>
      <c r="M630" t="str">
        <f t="shared" si="54"/>
        <v>Arizona</v>
      </c>
      <c r="N630" t="str">
        <f t="shared" si="55"/>
        <v>M</v>
      </c>
      <c r="O630" t="str">
        <f t="shared" si="56"/>
        <v>High School or Below</v>
      </c>
      <c r="P630" t="str">
        <f t="shared" si="57"/>
        <v>Personal</v>
      </c>
      <c r="Q630">
        <f t="shared" si="58"/>
        <v>2</v>
      </c>
      <c r="R630">
        <f t="shared" ca="1" si="59"/>
        <v>29</v>
      </c>
    </row>
    <row r="631" spans="1:18" x14ac:dyDescent="0.35">
      <c r="A631" t="s">
        <v>670</v>
      </c>
      <c r="B631" t="s">
        <v>33</v>
      </c>
      <c r="C631" t="s">
        <v>21</v>
      </c>
      <c r="D631" t="s">
        <v>35</v>
      </c>
      <c r="E631" s="5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 s="4">
        <v>350.4</v>
      </c>
      <c r="L631" s="2">
        <v>35350.400000000001</v>
      </c>
      <c r="M631" t="str">
        <f t="shared" si="54"/>
        <v>Oregon</v>
      </c>
      <c r="N631" t="str">
        <f t="shared" si="55"/>
        <v>F</v>
      </c>
      <c r="O631" t="str">
        <f t="shared" si="56"/>
        <v>College</v>
      </c>
      <c r="P631" t="str">
        <f t="shared" si="57"/>
        <v>Personal</v>
      </c>
      <c r="Q631">
        <f t="shared" si="58"/>
        <v>4</v>
      </c>
      <c r="R631">
        <f t="shared" ca="1" si="59"/>
        <v>29</v>
      </c>
    </row>
    <row r="632" spans="1:18" x14ac:dyDescent="0.35">
      <c r="A632" t="s">
        <v>671</v>
      </c>
      <c r="B632" t="s">
        <v>26</v>
      </c>
      <c r="C632" t="s">
        <v>27</v>
      </c>
      <c r="D632" t="s">
        <v>4</v>
      </c>
      <c r="E632" s="5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 s="4">
        <v>246.48912300000001</v>
      </c>
      <c r="L632" s="2">
        <v>35246.489122999999</v>
      </c>
      <c r="M632" t="str">
        <f t="shared" si="54"/>
        <v>California</v>
      </c>
      <c r="N632" t="str">
        <f t="shared" si="55"/>
        <v>M</v>
      </c>
      <c r="O632" t="str">
        <f t="shared" si="56"/>
        <v>Bachelor</v>
      </c>
      <c r="P632" t="str">
        <f t="shared" si="57"/>
        <v>Personal</v>
      </c>
      <c r="Q632">
        <f t="shared" si="58"/>
        <v>4</v>
      </c>
      <c r="R632">
        <f t="shared" ca="1" si="59"/>
        <v>30</v>
      </c>
    </row>
    <row r="633" spans="1:18" x14ac:dyDescent="0.3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 s="4">
        <v>128.969729</v>
      </c>
      <c r="L633" s="2">
        <v>35128.969728999997</v>
      </c>
      <c r="M633" t="str">
        <f t="shared" si="54"/>
        <v>California</v>
      </c>
      <c r="N633" t="str">
        <f t="shared" si="55"/>
        <v>M</v>
      </c>
      <c r="O633" t="str">
        <f t="shared" si="56"/>
        <v>College</v>
      </c>
      <c r="P633" t="str">
        <f t="shared" si="57"/>
        <v>Personal</v>
      </c>
      <c r="Q633">
        <f t="shared" si="58"/>
        <v>4</v>
      </c>
      <c r="R633">
        <f t="shared" ca="1" si="59"/>
        <v>30</v>
      </c>
    </row>
    <row r="634" spans="1:18" x14ac:dyDescent="0.3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 s="4">
        <v>185.35535300000001</v>
      </c>
      <c r="L634" s="2">
        <v>35185.355352999999</v>
      </c>
      <c r="M634" t="str">
        <f t="shared" si="54"/>
        <v>Oregon</v>
      </c>
      <c r="N634" t="str">
        <f t="shared" si="55"/>
        <v>M</v>
      </c>
      <c r="O634" t="str">
        <f t="shared" si="56"/>
        <v>High School or Below</v>
      </c>
      <c r="P634" t="str">
        <f t="shared" si="57"/>
        <v>Corporate</v>
      </c>
      <c r="Q634">
        <f t="shared" si="58"/>
        <v>4</v>
      </c>
      <c r="R634">
        <f t="shared" ca="1" si="59"/>
        <v>30</v>
      </c>
    </row>
    <row r="635" spans="1:18" x14ac:dyDescent="0.35">
      <c r="A635" t="s">
        <v>674</v>
      </c>
      <c r="B635" t="s">
        <v>26</v>
      </c>
      <c r="C635" t="s">
        <v>21</v>
      </c>
      <c r="D635" t="s">
        <v>4</v>
      </c>
      <c r="E635" s="5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 s="4">
        <v>1300.8</v>
      </c>
      <c r="L635" s="2">
        <v>36300.800000000003</v>
      </c>
      <c r="M635" t="str">
        <f t="shared" si="54"/>
        <v>California</v>
      </c>
      <c r="N635" t="str">
        <f t="shared" si="55"/>
        <v>F</v>
      </c>
      <c r="O635" t="str">
        <f t="shared" si="56"/>
        <v>Bachelor</v>
      </c>
      <c r="P635" t="str">
        <f t="shared" si="57"/>
        <v>Personal</v>
      </c>
      <c r="Q635">
        <f t="shared" si="58"/>
        <v>4</v>
      </c>
      <c r="R635">
        <f t="shared" ca="1" si="59"/>
        <v>27</v>
      </c>
    </row>
    <row r="636" spans="1:18" x14ac:dyDescent="0.35">
      <c r="A636" t="s">
        <v>675</v>
      </c>
      <c r="B636" t="s">
        <v>26</v>
      </c>
      <c r="C636" t="s">
        <v>21</v>
      </c>
      <c r="D636" t="s">
        <v>35</v>
      </c>
      <c r="E636" s="5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 s="4">
        <v>9.0713050000000006</v>
      </c>
      <c r="L636" s="2">
        <v>35009.071304999998</v>
      </c>
      <c r="M636" t="str">
        <f t="shared" si="54"/>
        <v>California</v>
      </c>
      <c r="N636" t="str">
        <f t="shared" si="55"/>
        <v>F</v>
      </c>
      <c r="O636" t="str">
        <f t="shared" si="56"/>
        <v>College</v>
      </c>
      <c r="P636" t="str">
        <f t="shared" si="57"/>
        <v>Corporate</v>
      </c>
      <c r="Q636">
        <f t="shared" si="58"/>
        <v>4</v>
      </c>
      <c r="R636">
        <f t="shared" ca="1" si="59"/>
        <v>30</v>
      </c>
    </row>
    <row r="637" spans="1:18" x14ac:dyDescent="0.3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 s="4">
        <v>133.47531499999999</v>
      </c>
      <c r="L637" s="2">
        <v>35133.475315000003</v>
      </c>
      <c r="M637" t="str">
        <f t="shared" si="54"/>
        <v>Oregon</v>
      </c>
      <c r="N637" t="str">
        <f t="shared" si="55"/>
        <v>M</v>
      </c>
      <c r="O637" t="str">
        <f t="shared" si="56"/>
        <v>College</v>
      </c>
      <c r="P637" t="str">
        <f t="shared" si="57"/>
        <v>Special</v>
      </c>
      <c r="Q637">
        <f t="shared" si="58"/>
        <v>4</v>
      </c>
      <c r="R637">
        <f t="shared" ca="1" si="59"/>
        <v>30</v>
      </c>
    </row>
    <row r="638" spans="1:18" x14ac:dyDescent="0.35">
      <c r="A638" t="s">
        <v>677</v>
      </c>
      <c r="B638" t="s">
        <v>3</v>
      </c>
      <c r="C638" t="s">
        <v>27</v>
      </c>
      <c r="D638" t="s">
        <v>2</v>
      </c>
      <c r="E638" s="5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 s="4">
        <v>141.199465</v>
      </c>
      <c r="L638" s="2">
        <v>35141.199464999998</v>
      </c>
      <c r="M638" t="str">
        <f t="shared" si="54"/>
        <v>Washington</v>
      </c>
      <c r="N638" t="str">
        <f t="shared" si="55"/>
        <v>M</v>
      </c>
      <c r="O638" t="str">
        <f t="shared" si="56"/>
        <v>Master</v>
      </c>
      <c r="P638" t="str">
        <f t="shared" si="57"/>
        <v>Personal</v>
      </c>
      <c r="Q638">
        <f t="shared" si="58"/>
        <v>4</v>
      </c>
      <c r="R638">
        <f t="shared" ca="1" si="59"/>
        <v>30</v>
      </c>
    </row>
    <row r="639" spans="1:18" x14ac:dyDescent="0.35">
      <c r="A639" t="s">
        <v>678</v>
      </c>
      <c r="B639" t="s">
        <v>33</v>
      </c>
      <c r="C639" t="s">
        <v>21</v>
      </c>
      <c r="D639" t="s">
        <v>31</v>
      </c>
      <c r="E639" s="5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 s="4">
        <v>321.60000000000002</v>
      </c>
      <c r="L639" s="2">
        <v>35321.599999999999</v>
      </c>
      <c r="M639" t="str">
        <f t="shared" si="54"/>
        <v>Oregon</v>
      </c>
      <c r="N639" t="str">
        <f t="shared" si="55"/>
        <v>F</v>
      </c>
      <c r="O639" t="str">
        <f t="shared" si="56"/>
        <v>High School or Below</v>
      </c>
      <c r="P639" t="str">
        <f t="shared" si="57"/>
        <v>Personal</v>
      </c>
      <c r="Q639">
        <f t="shared" si="58"/>
        <v>4</v>
      </c>
      <c r="R639">
        <f t="shared" ca="1" si="59"/>
        <v>29</v>
      </c>
    </row>
    <row r="640" spans="1:18" x14ac:dyDescent="0.3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 s="4">
        <v>623.22361699999999</v>
      </c>
      <c r="L640" s="2">
        <v>35623.223617000003</v>
      </c>
      <c r="M640" t="str">
        <f t="shared" si="54"/>
        <v>California</v>
      </c>
      <c r="N640" t="str">
        <f t="shared" si="55"/>
        <v>M</v>
      </c>
      <c r="O640" t="str">
        <f t="shared" si="56"/>
        <v>College</v>
      </c>
      <c r="P640" t="str">
        <f t="shared" si="57"/>
        <v>Personal</v>
      </c>
      <c r="Q640">
        <f t="shared" si="58"/>
        <v>2</v>
      </c>
      <c r="R640">
        <f t="shared" ca="1" si="59"/>
        <v>29</v>
      </c>
    </row>
    <row r="641" spans="1:18" x14ac:dyDescent="0.35">
      <c r="A641" t="s">
        <v>680</v>
      </c>
      <c r="B641" t="s">
        <v>26</v>
      </c>
      <c r="C641" t="s">
        <v>21</v>
      </c>
      <c r="D641" t="s">
        <v>35</v>
      </c>
      <c r="E641" s="5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 s="4">
        <v>427.2</v>
      </c>
      <c r="L641" s="2">
        <v>35427.199999999997</v>
      </c>
      <c r="M641" t="str">
        <f t="shared" si="54"/>
        <v>California</v>
      </c>
      <c r="N641" t="str">
        <f t="shared" si="55"/>
        <v>F</v>
      </c>
      <c r="O641" t="str">
        <f t="shared" si="56"/>
        <v>College</v>
      </c>
      <c r="P641" t="str">
        <f t="shared" si="57"/>
        <v>Special</v>
      </c>
      <c r="Q641">
        <f t="shared" si="58"/>
        <v>4</v>
      </c>
      <c r="R641">
        <f t="shared" ca="1" si="59"/>
        <v>29</v>
      </c>
    </row>
    <row r="642" spans="1:18" x14ac:dyDescent="0.35">
      <c r="A642" t="s">
        <v>681</v>
      </c>
      <c r="B642" t="s">
        <v>3</v>
      </c>
      <c r="C642" t="s">
        <v>21</v>
      </c>
      <c r="D642" t="s">
        <v>35</v>
      </c>
      <c r="E642" s="5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 s="4">
        <v>141.72505100000001</v>
      </c>
      <c r="L642" s="2">
        <v>35141.725051000001</v>
      </c>
      <c r="M642" t="str">
        <f t="shared" si="54"/>
        <v>Washington</v>
      </c>
      <c r="N642" t="str">
        <f t="shared" si="55"/>
        <v>F</v>
      </c>
      <c r="O642" t="str">
        <f t="shared" si="56"/>
        <v>College</v>
      </c>
      <c r="P642" t="str">
        <f t="shared" si="57"/>
        <v>Personal</v>
      </c>
      <c r="Q642">
        <f t="shared" si="58"/>
        <v>4</v>
      </c>
      <c r="R642">
        <f t="shared" ca="1" si="59"/>
        <v>30</v>
      </c>
    </row>
    <row r="643" spans="1:18" x14ac:dyDescent="0.35">
      <c r="A643" t="s">
        <v>682</v>
      </c>
      <c r="B643" t="s">
        <v>5</v>
      </c>
      <c r="C643" t="s">
        <v>27</v>
      </c>
      <c r="D643" t="s">
        <v>2</v>
      </c>
      <c r="E643" s="5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 s="4">
        <v>321.60000000000002</v>
      </c>
      <c r="L643" s="2">
        <v>35321.599999999999</v>
      </c>
      <c r="M643" t="str">
        <f t="shared" ref="M643:M706" si="60">IF(OR(B643="California",B643="Cali"),"California",IF(OR(B643="Arizona",B643="AZ"),"Arizona",IF(OR(B643="Washington",B643="WA"),"Washington",B643)))</f>
        <v>Arizona</v>
      </c>
      <c r="N643" t="str">
        <f t="shared" ref="N643:N706" si="61">IF(OR(C643="F",C643="Femal",C643="female"),"F",IF(OR(C643="M",C643="Male"),"M","NA"))</f>
        <v>M</v>
      </c>
      <c r="O643" t="str">
        <f t="shared" ref="O643:O706" si="62">IF(OR(D643="Bachelor",D643="Bachelors"),"Bachelor",D643)</f>
        <v>Master</v>
      </c>
      <c r="P643" t="str">
        <f t="shared" ref="P643:P706" si="63">LEFT(I643,FIND(" ",I643)-1)</f>
        <v>Personal</v>
      </c>
      <c r="Q643">
        <f t="shared" ref="Q643:Q706" si="64">IF(OR(J643="Luxury Car",J643="Two-Door Car",J643="Sports Car"),2,IF(OR(J643="Luxury SUV",J643="SUV",J643="Four-Door Car"),4,"NA"))</f>
        <v>4</v>
      </c>
      <c r="R643">
        <f t="shared" ref="R643:R706" ca="1" si="65">DATEDIF(L643,TODAY(),"Y")</f>
        <v>29</v>
      </c>
    </row>
    <row r="644" spans="1:18" x14ac:dyDescent="0.35">
      <c r="A644" t="s">
        <v>683</v>
      </c>
      <c r="B644" t="s">
        <v>5</v>
      </c>
      <c r="C644" t="s">
        <v>27</v>
      </c>
      <c r="D644" t="s">
        <v>31</v>
      </c>
      <c r="E644" s="5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 s="4">
        <v>494.4</v>
      </c>
      <c r="L644" s="2">
        <v>35494.400000000001</v>
      </c>
      <c r="M644" t="str">
        <f t="shared" si="60"/>
        <v>Arizona</v>
      </c>
      <c r="N644" t="str">
        <f t="shared" si="61"/>
        <v>M</v>
      </c>
      <c r="O644" t="str">
        <f t="shared" si="62"/>
        <v>High School or Below</v>
      </c>
      <c r="P644" t="str">
        <f t="shared" si="63"/>
        <v>Personal</v>
      </c>
      <c r="Q644">
        <f t="shared" si="64"/>
        <v>4</v>
      </c>
      <c r="R644">
        <f t="shared" ca="1" si="65"/>
        <v>29</v>
      </c>
    </row>
    <row r="645" spans="1:18" x14ac:dyDescent="0.35">
      <c r="A645" t="s">
        <v>684</v>
      </c>
      <c r="B645" t="s">
        <v>26</v>
      </c>
      <c r="C645" t="s">
        <v>21</v>
      </c>
      <c r="D645" t="s">
        <v>80</v>
      </c>
      <c r="E645" s="5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 s="4">
        <v>211.33693700000001</v>
      </c>
      <c r="L645" s="2">
        <v>35211.336937</v>
      </c>
      <c r="M645" t="str">
        <f t="shared" si="60"/>
        <v>California</v>
      </c>
      <c r="N645" t="str">
        <f t="shared" si="61"/>
        <v>F</v>
      </c>
      <c r="O645" t="str">
        <f t="shared" si="62"/>
        <v>Doctor</v>
      </c>
      <c r="P645" t="str">
        <f t="shared" si="63"/>
        <v>Personal</v>
      </c>
      <c r="Q645">
        <f t="shared" si="64"/>
        <v>2</v>
      </c>
      <c r="R645">
        <f t="shared" ca="1" si="65"/>
        <v>30</v>
      </c>
    </row>
    <row r="646" spans="1:18" x14ac:dyDescent="0.35">
      <c r="A646" t="s">
        <v>685</v>
      </c>
      <c r="B646" t="s">
        <v>3</v>
      </c>
      <c r="C646" t="s">
        <v>27</v>
      </c>
      <c r="D646" t="s">
        <v>53</v>
      </c>
      <c r="E646" s="5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 s="4">
        <v>147.08030299999999</v>
      </c>
      <c r="L646" s="2">
        <v>35147.080303000002</v>
      </c>
      <c r="M646" t="str">
        <f t="shared" si="60"/>
        <v>Washington</v>
      </c>
      <c r="N646" t="str">
        <f t="shared" si="61"/>
        <v>M</v>
      </c>
      <c r="O646" t="str">
        <f t="shared" si="62"/>
        <v>Bachelor</v>
      </c>
      <c r="P646" t="str">
        <f t="shared" si="63"/>
        <v>Personal</v>
      </c>
      <c r="Q646">
        <f t="shared" si="64"/>
        <v>4</v>
      </c>
      <c r="R646">
        <f t="shared" ca="1" si="65"/>
        <v>30</v>
      </c>
    </row>
    <row r="647" spans="1:18" x14ac:dyDescent="0.35">
      <c r="A647" t="s">
        <v>686</v>
      </c>
      <c r="B647" t="s">
        <v>23</v>
      </c>
      <c r="C647" t="s">
        <v>27</v>
      </c>
      <c r="D647" t="s">
        <v>4</v>
      </c>
      <c r="E647" s="5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 s="4">
        <v>862.76295700000003</v>
      </c>
      <c r="L647" s="2">
        <v>35862.762956999999</v>
      </c>
      <c r="M647" t="str">
        <f t="shared" si="60"/>
        <v>Nevada</v>
      </c>
      <c r="N647" t="str">
        <f t="shared" si="61"/>
        <v>M</v>
      </c>
      <c r="O647" t="str">
        <f t="shared" si="62"/>
        <v>Bachelor</v>
      </c>
      <c r="P647" t="str">
        <f t="shared" si="63"/>
        <v>Corporate</v>
      </c>
      <c r="Q647">
        <f t="shared" si="64"/>
        <v>4</v>
      </c>
      <c r="R647">
        <f t="shared" ca="1" si="65"/>
        <v>28</v>
      </c>
    </row>
    <row r="648" spans="1:18" x14ac:dyDescent="0.35">
      <c r="A648" t="s">
        <v>687</v>
      </c>
      <c r="B648" t="s">
        <v>33</v>
      </c>
      <c r="C648" t="s">
        <v>27</v>
      </c>
      <c r="D648" t="s">
        <v>4</v>
      </c>
      <c r="E648" s="5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 s="4">
        <v>513.6</v>
      </c>
      <c r="L648" s="2">
        <v>35513.599999999999</v>
      </c>
      <c r="M648" t="str">
        <f t="shared" si="60"/>
        <v>Oregon</v>
      </c>
      <c r="N648" t="str">
        <f t="shared" si="61"/>
        <v>M</v>
      </c>
      <c r="O648" t="str">
        <f t="shared" si="62"/>
        <v>Bachelor</v>
      </c>
      <c r="P648" t="str">
        <f t="shared" si="63"/>
        <v>Corporate</v>
      </c>
      <c r="Q648">
        <f t="shared" si="64"/>
        <v>4</v>
      </c>
      <c r="R648">
        <f t="shared" ca="1" si="65"/>
        <v>29</v>
      </c>
    </row>
    <row r="649" spans="1:18" x14ac:dyDescent="0.35">
      <c r="A649" t="s">
        <v>688</v>
      </c>
      <c r="B649" t="s">
        <v>33</v>
      </c>
      <c r="C649" t="s">
        <v>21</v>
      </c>
      <c r="D649" t="s">
        <v>35</v>
      </c>
      <c r="E649" s="5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 s="4">
        <v>113.36776500000001</v>
      </c>
      <c r="L649" s="2">
        <v>35113.367765000003</v>
      </c>
      <c r="M649" t="str">
        <f t="shared" si="60"/>
        <v>Oregon</v>
      </c>
      <c r="N649" t="str">
        <f t="shared" si="61"/>
        <v>F</v>
      </c>
      <c r="O649" t="str">
        <f t="shared" si="62"/>
        <v>College</v>
      </c>
      <c r="P649" t="str">
        <f t="shared" si="63"/>
        <v>Personal</v>
      </c>
      <c r="Q649">
        <f t="shared" si="64"/>
        <v>2</v>
      </c>
      <c r="R649">
        <f t="shared" ca="1" si="65"/>
        <v>30</v>
      </c>
    </row>
    <row r="650" spans="1:18" x14ac:dyDescent="0.35">
      <c r="A650" t="s">
        <v>689</v>
      </c>
      <c r="B650" t="s">
        <v>33</v>
      </c>
      <c r="C650" t="s">
        <v>27</v>
      </c>
      <c r="D650" t="s">
        <v>4</v>
      </c>
      <c r="E650" s="5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 s="4">
        <v>537.6</v>
      </c>
      <c r="L650" s="2">
        <v>35537.599999999999</v>
      </c>
      <c r="M650" t="str">
        <f t="shared" si="60"/>
        <v>Oregon</v>
      </c>
      <c r="N650" t="str">
        <f t="shared" si="61"/>
        <v>M</v>
      </c>
      <c r="O650" t="str">
        <f t="shared" si="62"/>
        <v>Bachelor</v>
      </c>
      <c r="P650" t="str">
        <f t="shared" si="63"/>
        <v>Corporate</v>
      </c>
      <c r="Q650">
        <f t="shared" si="64"/>
        <v>4</v>
      </c>
      <c r="R650">
        <f t="shared" ca="1" si="65"/>
        <v>29</v>
      </c>
    </row>
    <row r="651" spans="1:18" x14ac:dyDescent="0.3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 s="4">
        <v>943.2</v>
      </c>
      <c r="L651" s="2">
        <v>35943.199999999997</v>
      </c>
      <c r="M651" t="str">
        <f t="shared" si="60"/>
        <v>Oregon</v>
      </c>
      <c r="N651" t="str">
        <f t="shared" si="61"/>
        <v>M</v>
      </c>
      <c r="O651" t="str">
        <f t="shared" si="62"/>
        <v>College</v>
      </c>
      <c r="P651" t="str">
        <f t="shared" si="63"/>
        <v>Personal</v>
      </c>
      <c r="Q651">
        <f t="shared" si="64"/>
        <v>4</v>
      </c>
      <c r="R651">
        <f t="shared" ca="1" si="65"/>
        <v>28</v>
      </c>
    </row>
    <row r="652" spans="1:18" x14ac:dyDescent="0.35">
      <c r="A652" t="s">
        <v>691</v>
      </c>
      <c r="B652" t="s">
        <v>33</v>
      </c>
      <c r="C652" t="s">
        <v>27</v>
      </c>
      <c r="D652" t="s">
        <v>4</v>
      </c>
      <c r="E652" s="5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 s="4">
        <v>117.67272199999999</v>
      </c>
      <c r="L652" s="2">
        <v>35117.672722000003</v>
      </c>
      <c r="M652" t="str">
        <f t="shared" si="60"/>
        <v>Oregon</v>
      </c>
      <c r="N652" t="str">
        <f t="shared" si="61"/>
        <v>M</v>
      </c>
      <c r="O652" t="str">
        <f t="shared" si="62"/>
        <v>Bachelor</v>
      </c>
      <c r="P652" t="str">
        <f t="shared" si="63"/>
        <v>Personal</v>
      </c>
      <c r="Q652">
        <f t="shared" si="64"/>
        <v>4</v>
      </c>
      <c r="R652">
        <f t="shared" ca="1" si="65"/>
        <v>30</v>
      </c>
    </row>
    <row r="653" spans="1:18" x14ac:dyDescent="0.35">
      <c r="A653" t="s">
        <v>692</v>
      </c>
      <c r="B653" t="s">
        <v>5</v>
      </c>
      <c r="C653" t="s">
        <v>21</v>
      </c>
      <c r="D653" t="s">
        <v>4</v>
      </c>
      <c r="E653" s="5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 s="4">
        <v>225.145949</v>
      </c>
      <c r="L653" s="2">
        <v>35225.145948999998</v>
      </c>
      <c r="M653" t="str">
        <f t="shared" si="60"/>
        <v>Arizona</v>
      </c>
      <c r="N653" t="str">
        <f t="shared" si="61"/>
        <v>F</v>
      </c>
      <c r="O653" t="str">
        <f t="shared" si="62"/>
        <v>Bachelor</v>
      </c>
      <c r="P653" t="str">
        <f t="shared" si="63"/>
        <v>Personal</v>
      </c>
      <c r="Q653">
        <f t="shared" si="64"/>
        <v>4</v>
      </c>
      <c r="R653">
        <f t="shared" ca="1" si="65"/>
        <v>30</v>
      </c>
    </row>
    <row r="654" spans="1:18" x14ac:dyDescent="0.35">
      <c r="A654" t="s">
        <v>693</v>
      </c>
      <c r="B654" t="s">
        <v>33</v>
      </c>
      <c r="C654" t="s">
        <v>21</v>
      </c>
      <c r="D654" t="s">
        <v>4</v>
      </c>
      <c r="E654" s="5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 s="4">
        <v>456</v>
      </c>
      <c r="L654" s="2">
        <v>35456</v>
      </c>
      <c r="M654" t="str">
        <f t="shared" si="60"/>
        <v>Oregon</v>
      </c>
      <c r="N654" t="str">
        <f t="shared" si="61"/>
        <v>F</v>
      </c>
      <c r="O654" t="str">
        <f t="shared" si="62"/>
        <v>Bachelor</v>
      </c>
      <c r="P654" t="str">
        <f t="shared" si="63"/>
        <v>Personal</v>
      </c>
      <c r="Q654">
        <f t="shared" si="64"/>
        <v>2</v>
      </c>
      <c r="R654">
        <f t="shared" ca="1" si="65"/>
        <v>29</v>
      </c>
    </row>
    <row r="655" spans="1:18" x14ac:dyDescent="0.35">
      <c r="A655" t="s">
        <v>694</v>
      </c>
      <c r="B655" t="s">
        <v>33</v>
      </c>
      <c r="C655" t="s">
        <v>21</v>
      </c>
      <c r="D655" t="s">
        <v>4</v>
      </c>
      <c r="E655" s="5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 s="4">
        <v>182.43256500000001</v>
      </c>
      <c r="L655" s="2">
        <v>35182.432565000003</v>
      </c>
      <c r="M655" t="str">
        <f t="shared" si="60"/>
        <v>Oregon</v>
      </c>
      <c r="N655" t="str">
        <f t="shared" si="61"/>
        <v>F</v>
      </c>
      <c r="O655" t="str">
        <f t="shared" si="62"/>
        <v>Bachelor</v>
      </c>
      <c r="P655" t="str">
        <f t="shared" si="63"/>
        <v>Corporate</v>
      </c>
      <c r="Q655">
        <f t="shared" si="64"/>
        <v>4</v>
      </c>
      <c r="R655">
        <f t="shared" ca="1" si="65"/>
        <v>30</v>
      </c>
    </row>
    <row r="656" spans="1:18" x14ac:dyDescent="0.35">
      <c r="A656" t="s">
        <v>695</v>
      </c>
      <c r="B656" t="s">
        <v>3</v>
      </c>
      <c r="C656" t="s">
        <v>21</v>
      </c>
      <c r="D656" t="s">
        <v>35</v>
      </c>
      <c r="E656" s="5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 s="4">
        <v>148.17315199999999</v>
      </c>
      <c r="L656" s="2">
        <v>35148.173152000003</v>
      </c>
      <c r="M656" t="str">
        <f t="shared" si="60"/>
        <v>Washington</v>
      </c>
      <c r="N656" t="str">
        <f t="shared" si="61"/>
        <v>F</v>
      </c>
      <c r="O656" t="str">
        <f t="shared" si="62"/>
        <v>College</v>
      </c>
      <c r="P656" t="str">
        <f t="shared" si="63"/>
        <v>Personal</v>
      </c>
      <c r="Q656">
        <f t="shared" si="64"/>
        <v>2</v>
      </c>
      <c r="R656">
        <f t="shared" ca="1" si="65"/>
        <v>30</v>
      </c>
    </row>
    <row r="657" spans="1:18" x14ac:dyDescent="0.35">
      <c r="A657" t="s">
        <v>696</v>
      </c>
      <c r="B657" t="s">
        <v>5</v>
      </c>
      <c r="C657" t="s">
        <v>27</v>
      </c>
      <c r="D657" t="s">
        <v>31</v>
      </c>
      <c r="E657" s="5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 s="4">
        <v>525.6</v>
      </c>
      <c r="L657" s="2">
        <v>35525.599999999999</v>
      </c>
      <c r="M657" t="str">
        <f t="shared" si="60"/>
        <v>Arizona</v>
      </c>
      <c r="N657" t="str">
        <f t="shared" si="61"/>
        <v>M</v>
      </c>
      <c r="O657" t="str">
        <f t="shared" si="62"/>
        <v>High School or Below</v>
      </c>
      <c r="P657" t="str">
        <f t="shared" si="63"/>
        <v>Personal</v>
      </c>
      <c r="Q657">
        <f t="shared" si="64"/>
        <v>2</v>
      </c>
      <c r="R657">
        <f t="shared" ca="1" si="65"/>
        <v>29</v>
      </c>
    </row>
    <row r="658" spans="1:18" x14ac:dyDescent="0.35">
      <c r="A658" t="s">
        <v>697</v>
      </c>
      <c r="B658" t="s">
        <v>3</v>
      </c>
      <c r="C658" t="s">
        <v>21</v>
      </c>
      <c r="D658" t="s">
        <v>2</v>
      </c>
      <c r="E658" s="5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 s="4">
        <v>155.57080199999999</v>
      </c>
      <c r="L658" s="2">
        <v>35155.570802000002</v>
      </c>
      <c r="M658" t="str">
        <f t="shared" si="60"/>
        <v>Washington</v>
      </c>
      <c r="N658" t="str">
        <f t="shared" si="61"/>
        <v>F</v>
      </c>
      <c r="O658" t="str">
        <f t="shared" si="62"/>
        <v>Master</v>
      </c>
      <c r="P658" t="str">
        <f t="shared" si="63"/>
        <v>Personal</v>
      </c>
      <c r="Q658">
        <f t="shared" si="64"/>
        <v>4</v>
      </c>
      <c r="R658">
        <f t="shared" ca="1" si="65"/>
        <v>30</v>
      </c>
    </row>
    <row r="659" spans="1:18" x14ac:dyDescent="0.35">
      <c r="A659" t="s">
        <v>698</v>
      </c>
      <c r="B659" t="s">
        <v>3</v>
      </c>
      <c r="C659" t="s">
        <v>21</v>
      </c>
      <c r="D659" t="s">
        <v>31</v>
      </c>
      <c r="E659" s="5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 s="4">
        <v>156.12491399999999</v>
      </c>
      <c r="L659" s="2">
        <v>35156.124914</v>
      </c>
      <c r="M659" t="str">
        <f t="shared" si="60"/>
        <v>Washington</v>
      </c>
      <c r="N659" t="str">
        <f t="shared" si="61"/>
        <v>F</v>
      </c>
      <c r="O659" t="str">
        <f t="shared" si="62"/>
        <v>High School or Below</v>
      </c>
      <c r="P659" t="str">
        <f t="shared" si="63"/>
        <v>Personal</v>
      </c>
      <c r="Q659">
        <f t="shared" si="64"/>
        <v>4</v>
      </c>
      <c r="R659">
        <f t="shared" ca="1" si="65"/>
        <v>30</v>
      </c>
    </row>
    <row r="660" spans="1:18" x14ac:dyDescent="0.35">
      <c r="A660" t="s">
        <v>699</v>
      </c>
      <c r="B660" t="s">
        <v>33</v>
      </c>
      <c r="C660" t="s">
        <v>21</v>
      </c>
      <c r="D660" t="s">
        <v>4</v>
      </c>
      <c r="E660" s="5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 s="4">
        <v>212.391975</v>
      </c>
      <c r="L660" s="2">
        <v>35212.391974999999</v>
      </c>
      <c r="M660" t="str">
        <f t="shared" si="60"/>
        <v>Oregon</v>
      </c>
      <c r="N660" t="str">
        <f t="shared" si="61"/>
        <v>F</v>
      </c>
      <c r="O660" t="str">
        <f t="shared" si="62"/>
        <v>Bachelor</v>
      </c>
      <c r="P660" t="str">
        <f t="shared" si="63"/>
        <v>Personal</v>
      </c>
      <c r="Q660">
        <f t="shared" si="64"/>
        <v>2</v>
      </c>
      <c r="R660">
        <f t="shared" ca="1" si="65"/>
        <v>30</v>
      </c>
    </row>
    <row r="661" spans="1:18" x14ac:dyDescent="0.35">
      <c r="A661" t="s">
        <v>700</v>
      </c>
      <c r="B661" t="s">
        <v>33</v>
      </c>
      <c r="C661" t="s">
        <v>27</v>
      </c>
      <c r="D661" t="s">
        <v>4</v>
      </c>
      <c r="E661" s="5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 s="4">
        <v>297.60000000000002</v>
      </c>
      <c r="L661" s="2">
        <v>35297.599999999999</v>
      </c>
      <c r="M661" t="str">
        <f t="shared" si="60"/>
        <v>Oregon</v>
      </c>
      <c r="N661" t="str">
        <f t="shared" si="61"/>
        <v>M</v>
      </c>
      <c r="O661" t="str">
        <f t="shared" si="62"/>
        <v>Bachelor</v>
      </c>
      <c r="P661" t="str">
        <f t="shared" si="63"/>
        <v>Corporate</v>
      </c>
      <c r="Q661">
        <f t="shared" si="64"/>
        <v>2</v>
      </c>
      <c r="R661">
        <f t="shared" ca="1" si="65"/>
        <v>30</v>
      </c>
    </row>
    <row r="662" spans="1:18" x14ac:dyDescent="0.35">
      <c r="A662" t="s">
        <v>701</v>
      </c>
      <c r="B662" t="s">
        <v>26</v>
      </c>
      <c r="C662" t="s">
        <v>27</v>
      </c>
      <c r="D662" t="s">
        <v>2</v>
      </c>
      <c r="E662" s="5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 s="4">
        <v>174.04156599999999</v>
      </c>
      <c r="L662" s="2">
        <v>35174.041566</v>
      </c>
      <c r="M662" t="str">
        <f t="shared" si="60"/>
        <v>California</v>
      </c>
      <c r="N662" t="str">
        <f t="shared" si="61"/>
        <v>M</v>
      </c>
      <c r="O662" t="str">
        <f t="shared" si="62"/>
        <v>Master</v>
      </c>
      <c r="P662" t="str">
        <f t="shared" si="63"/>
        <v>Special</v>
      </c>
      <c r="Q662">
        <f t="shared" si="64"/>
        <v>4</v>
      </c>
      <c r="R662">
        <f t="shared" ca="1" si="65"/>
        <v>30</v>
      </c>
    </row>
    <row r="663" spans="1:18" x14ac:dyDescent="0.35">
      <c r="A663" t="s">
        <v>702</v>
      </c>
      <c r="B663" t="s">
        <v>3</v>
      </c>
      <c r="C663" t="s">
        <v>21</v>
      </c>
      <c r="D663" t="s">
        <v>31</v>
      </c>
      <c r="E663" s="5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 s="4">
        <v>156.12491399999999</v>
      </c>
      <c r="L663" s="2">
        <v>35156.124914</v>
      </c>
      <c r="M663" t="str">
        <f t="shared" si="60"/>
        <v>Washington</v>
      </c>
      <c r="N663" t="str">
        <f t="shared" si="61"/>
        <v>F</v>
      </c>
      <c r="O663" t="str">
        <f t="shared" si="62"/>
        <v>High School or Below</v>
      </c>
      <c r="P663" t="str">
        <f t="shared" si="63"/>
        <v>Corporate</v>
      </c>
      <c r="Q663">
        <f t="shared" si="64"/>
        <v>4</v>
      </c>
      <c r="R663">
        <f t="shared" ca="1" si="65"/>
        <v>30</v>
      </c>
    </row>
    <row r="664" spans="1:18" x14ac:dyDescent="0.35">
      <c r="A664" t="s">
        <v>703</v>
      </c>
      <c r="B664" t="s">
        <v>26</v>
      </c>
      <c r="C664" t="s">
        <v>21</v>
      </c>
      <c r="D664" t="s">
        <v>31</v>
      </c>
      <c r="E664" s="5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 s="4">
        <v>486.27855699999998</v>
      </c>
      <c r="L664" s="2">
        <v>35486.278556999998</v>
      </c>
      <c r="M664" t="str">
        <f t="shared" si="60"/>
        <v>California</v>
      </c>
      <c r="N664" t="str">
        <f t="shared" si="61"/>
        <v>F</v>
      </c>
      <c r="O664" t="str">
        <f t="shared" si="62"/>
        <v>High School or Below</v>
      </c>
      <c r="P664" t="str">
        <f t="shared" si="63"/>
        <v>Corporate</v>
      </c>
      <c r="Q664">
        <f t="shared" si="64"/>
        <v>4</v>
      </c>
      <c r="R664">
        <f t="shared" ca="1" si="65"/>
        <v>29</v>
      </c>
    </row>
    <row r="665" spans="1:18" x14ac:dyDescent="0.35">
      <c r="A665" t="s">
        <v>704</v>
      </c>
      <c r="B665" t="s">
        <v>26</v>
      </c>
      <c r="C665" t="s">
        <v>21</v>
      </c>
      <c r="D665" t="s">
        <v>31</v>
      </c>
      <c r="E665" s="5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 s="4">
        <v>345.6</v>
      </c>
      <c r="L665" s="2">
        <v>35345.599999999999</v>
      </c>
      <c r="M665" t="str">
        <f t="shared" si="60"/>
        <v>California</v>
      </c>
      <c r="N665" t="str">
        <f t="shared" si="61"/>
        <v>F</v>
      </c>
      <c r="O665" t="str">
        <f t="shared" si="62"/>
        <v>High School or Below</v>
      </c>
      <c r="P665" t="str">
        <f t="shared" si="63"/>
        <v>Personal</v>
      </c>
      <c r="Q665">
        <f t="shared" si="64"/>
        <v>4</v>
      </c>
      <c r="R665">
        <f t="shared" ca="1" si="65"/>
        <v>29</v>
      </c>
    </row>
    <row r="666" spans="1:18" x14ac:dyDescent="0.35">
      <c r="A666" t="s">
        <v>705</v>
      </c>
      <c r="B666" t="s">
        <v>5</v>
      </c>
      <c r="C666" t="s">
        <v>21</v>
      </c>
      <c r="D666" t="s">
        <v>31</v>
      </c>
      <c r="E666" s="5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 s="4">
        <v>1.924709</v>
      </c>
      <c r="L666" s="2">
        <v>35001.924708999999</v>
      </c>
      <c r="M666" t="str">
        <f t="shared" si="60"/>
        <v>Arizona</v>
      </c>
      <c r="N666" t="str">
        <f t="shared" si="61"/>
        <v>F</v>
      </c>
      <c r="O666" t="str">
        <f t="shared" si="62"/>
        <v>High School or Below</v>
      </c>
      <c r="P666" t="str">
        <f t="shared" si="63"/>
        <v>Personal</v>
      </c>
      <c r="Q666">
        <f t="shared" si="64"/>
        <v>4</v>
      </c>
      <c r="R666">
        <f t="shared" ca="1" si="65"/>
        <v>30</v>
      </c>
    </row>
    <row r="667" spans="1:18" x14ac:dyDescent="0.35">
      <c r="A667" t="s">
        <v>706</v>
      </c>
      <c r="B667" t="s">
        <v>26</v>
      </c>
      <c r="C667" t="s">
        <v>21</v>
      </c>
      <c r="D667" t="s">
        <v>35</v>
      </c>
      <c r="E667" s="5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 s="4">
        <v>518.4</v>
      </c>
      <c r="L667" s="2">
        <v>35518.400000000001</v>
      </c>
      <c r="M667" t="str">
        <f t="shared" si="60"/>
        <v>California</v>
      </c>
      <c r="N667" t="str">
        <f t="shared" si="61"/>
        <v>F</v>
      </c>
      <c r="O667" t="str">
        <f t="shared" si="62"/>
        <v>College</v>
      </c>
      <c r="P667" t="str">
        <f t="shared" si="63"/>
        <v>Corporate</v>
      </c>
      <c r="Q667">
        <f t="shared" si="64"/>
        <v>4</v>
      </c>
      <c r="R667">
        <f t="shared" ca="1" si="65"/>
        <v>29</v>
      </c>
    </row>
    <row r="668" spans="1:18" x14ac:dyDescent="0.35">
      <c r="A668" t="s">
        <v>707</v>
      </c>
      <c r="B668" t="s">
        <v>33</v>
      </c>
      <c r="C668" t="s">
        <v>21</v>
      </c>
      <c r="D668" t="s">
        <v>35</v>
      </c>
      <c r="E668" s="5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 s="4">
        <v>326.39999999999998</v>
      </c>
      <c r="L668" s="2">
        <v>35326.400000000001</v>
      </c>
      <c r="M668" t="str">
        <f t="shared" si="60"/>
        <v>Oregon</v>
      </c>
      <c r="N668" t="str">
        <f t="shared" si="61"/>
        <v>F</v>
      </c>
      <c r="O668" t="str">
        <f t="shared" si="62"/>
        <v>College</v>
      </c>
      <c r="P668" t="str">
        <f t="shared" si="63"/>
        <v>Personal</v>
      </c>
      <c r="Q668">
        <f t="shared" si="64"/>
        <v>2</v>
      </c>
      <c r="R668">
        <f t="shared" ca="1" si="65"/>
        <v>29</v>
      </c>
    </row>
    <row r="669" spans="1:18" x14ac:dyDescent="0.35">
      <c r="A669" t="s">
        <v>708</v>
      </c>
      <c r="B669" t="s">
        <v>33</v>
      </c>
      <c r="C669" t="s">
        <v>27</v>
      </c>
      <c r="D669" t="s">
        <v>4</v>
      </c>
      <c r="E669" s="5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 s="4">
        <v>262.12205</v>
      </c>
      <c r="L669" s="2">
        <v>35262.122049999998</v>
      </c>
      <c r="M669" t="str">
        <f t="shared" si="60"/>
        <v>Oregon</v>
      </c>
      <c r="N669" t="str">
        <f t="shared" si="61"/>
        <v>M</v>
      </c>
      <c r="O669" t="str">
        <f t="shared" si="62"/>
        <v>Bachelor</v>
      </c>
      <c r="P669" t="str">
        <f t="shared" si="63"/>
        <v>Personal</v>
      </c>
      <c r="Q669">
        <f t="shared" si="64"/>
        <v>2</v>
      </c>
      <c r="R669">
        <f t="shared" ca="1" si="65"/>
        <v>30</v>
      </c>
    </row>
    <row r="670" spans="1:18" x14ac:dyDescent="0.35">
      <c r="A670" t="s">
        <v>709</v>
      </c>
      <c r="B670" t="s">
        <v>5</v>
      </c>
      <c r="C670" t="s">
        <v>21</v>
      </c>
      <c r="D670" t="s">
        <v>31</v>
      </c>
      <c r="E670" s="5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 s="4">
        <v>921.6</v>
      </c>
      <c r="L670" s="2">
        <v>35921.599999999999</v>
      </c>
      <c r="M670" t="str">
        <f t="shared" si="60"/>
        <v>Arizona</v>
      </c>
      <c r="N670" t="str">
        <f t="shared" si="61"/>
        <v>F</v>
      </c>
      <c r="O670" t="str">
        <f t="shared" si="62"/>
        <v>High School or Below</v>
      </c>
      <c r="P670" t="str">
        <f t="shared" si="63"/>
        <v>Personal</v>
      </c>
      <c r="Q670">
        <f t="shared" si="64"/>
        <v>4</v>
      </c>
      <c r="R670">
        <f t="shared" ca="1" si="65"/>
        <v>28</v>
      </c>
    </row>
    <row r="671" spans="1:18" x14ac:dyDescent="0.35">
      <c r="A671" t="s">
        <v>710</v>
      </c>
      <c r="B671" t="s">
        <v>26</v>
      </c>
      <c r="C671" t="s">
        <v>21</v>
      </c>
      <c r="D671" t="s">
        <v>31</v>
      </c>
      <c r="E671" s="5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 s="4">
        <v>541.69565799999998</v>
      </c>
      <c r="L671" s="2">
        <v>35541.695657999997</v>
      </c>
      <c r="M671" t="str">
        <f t="shared" si="60"/>
        <v>California</v>
      </c>
      <c r="N671" t="str">
        <f t="shared" si="61"/>
        <v>F</v>
      </c>
      <c r="O671" t="str">
        <f t="shared" si="62"/>
        <v>High School or Below</v>
      </c>
      <c r="P671" t="str">
        <f t="shared" si="63"/>
        <v>Personal</v>
      </c>
      <c r="Q671">
        <f t="shared" si="64"/>
        <v>4</v>
      </c>
      <c r="R671">
        <f t="shared" ca="1" si="65"/>
        <v>29</v>
      </c>
    </row>
    <row r="672" spans="1:18" x14ac:dyDescent="0.35">
      <c r="A672" t="s">
        <v>711</v>
      </c>
      <c r="B672" t="s">
        <v>26</v>
      </c>
      <c r="C672" t="s">
        <v>21</v>
      </c>
      <c r="D672" t="s">
        <v>4</v>
      </c>
      <c r="E672" s="5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 s="4">
        <v>326.39999999999998</v>
      </c>
      <c r="L672" s="2">
        <v>35326.400000000001</v>
      </c>
      <c r="M672" t="str">
        <f t="shared" si="60"/>
        <v>California</v>
      </c>
      <c r="N672" t="str">
        <f t="shared" si="61"/>
        <v>F</v>
      </c>
      <c r="O672" t="str">
        <f t="shared" si="62"/>
        <v>Bachelor</v>
      </c>
      <c r="P672" t="str">
        <f t="shared" si="63"/>
        <v>Personal</v>
      </c>
      <c r="Q672">
        <f t="shared" si="64"/>
        <v>4</v>
      </c>
      <c r="R672">
        <f t="shared" ca="1" si="65"/>
        <v>29</v>
      </c>
    </row>
    <row r="673" spans="1:18" x14ac:dyDescent="0.35">
      <c r="A673" t="s">
        <v>712</v>
      </c>
      <c r="B673" t="s">
        <v>33</v>
      </c>
      <c r="C673" t="s">
        <v>21</v>
      </c>
      <c r="D673" t="s">
        <v>35</v>
      </c>
      <c r="E673" s="5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 s="4">
        <v>327.68266899999998</v>
      </c>
      <c r="L673" s="2">
        <v>35327.682669000002</v>
      </c>
      <c r="M673" t="str">
        <f t="shared" si="60"/>
        <v>Oregon</v>
      </c>
      <c r="N673" t="str">
        <f t="shared" si="61"/>
        <v>F</v>
      </c>
      <c r="O673" t="str">
        <f t="shared" si="62"/>
        <v>College</v>
      </c>
      <c r="P673" t="str">
        <f t="shared" si="63"/>
        <v>Personal</v>
      </c>
      <c r="Q673">
        <f t="shared" si="64"/>
        <v>4</v>
      </c>
      <c r="R673">
        <f t="shared" ca="1" si="65"/>
        <v>29</v>
      </c>
    </row>
    <row r="674" spans="1:18" x14ac:dyDescent="0.35">
      <c r="A674" t="s">
        <v>713</v>
      </c>
      <c r="B674" t="s">
        <v>26</v>
      </c>
      <c r="C674" t="s">
        <v>21</v>
      </c>
      <c r="D674" t="s">
        <v>31</v>
      </c>
      <c r="E674" s="5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 s="4">
        <v>456</v>
      </c>
      <c r="L674" s="2">
        <v>35456</v>
      </c>
      <c r="M674" t="str">
        <f t="shared" si="60"/>
        <v>California</v>
      </c>
      <c r="N674" t="str">
        <f t="shared" si="61"/>
        <v>F</v>
      </c>
      <c r="O674" t="str">
        <f t="shared" si="62"/>
        <v>High School or Below</v>
      </c>
      <c r="P674" t="str">
        <f t="shared" si="63"/>
        <v>Personal</v>
      </c>
      <c r="Q674">
        <f t="shared" si="64"/>
        <v>2</v>
      </c>
      <c r="R674">
        <f t="shared" ca="1" si="65"/>
        <v>29</v>
      </c>
    </row>
    <row r="675" spans="1:18" x14ac:dyDescent="0.35">
      <c r="A675" t="s">
        <v>714</v>
      </c>
      <c r="B675" t="s">
        <v>5</v>
      </c>
      <c r="C675" t="s">
        <v>27</v>
      </c>
      <c r="D675" t="s">
        <v>31</v>
      </c>
      <c r="E675" s="5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 s="4">
        <v>1265.5703020000001</v>
      </c>
      <c r="L675" s="2">
        <v>36265.570302</v>
      </c>
      <c r="M675" t="str">
        <f t="shared" si="60"/>
        <v>Arizona</v>
      </c>
      <c r="N675" t="str">
        <f t="shared" si="61"/>
        <v>M</v>
      </c>
      <c r="O675" t="str">
        <f t="shared" si="62"/>
        <v>High School or Below</v>
      </c>
      <c r="P675" t="str">
        <f t="shared" si="63"/>
        <v>Personal</v>
      </c>
      <c r="Q675">
        <f t="shared" si="64"/>
        <v>4</v>
      </c>
      <c r="R675">
        <f t="shared" ca="1" si="65"/>
        <v>27</v>
      </c>
    </row>
    <row r="676" spans="1:18" x14ac:dyDescent="0.3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 s="4">
        <v>63.043196999999999</v>
      </c>
      <c r="L676" s="2">
        <v>35063.043196999999</v>
      </c>
      <c r="M676" t="str">
        <f t="shared" si="60"/>
        <v>Oregon</v>
      </c>
      <c r="N676" t="str">
        <f t="shared" si="61"/>
        <v>M</v>
      </c>
      <c r="O676" t="str">
        <f t="shared" si="62"/>
        <v>College</v>
      </c>
      <c r="P676" t="str">
        <f t="shared" si="63"/>
        <v>Corporate</v>
      </c>
      <c r="Q676">
        <f t="shared" si="64"/>
        <v>4</v>
      </c>
      <c r="R676">
        <f t="shared" ca="1" si="65"/>
        <v>30</v>
      </c>
    </row>
    <row r="677" spans="1:18" x14ac:dyDescent="0.35">
      <c r="A677" t="s">
        <v>716</v>
      </c>
      <c r="B677" t="s">
        <v>5</v>
      </c>
      <c r="C677" t="s">
        <v>21</v>
      </c>
      <c r="D677" t="s">
        <v>35</v>
      </c>
      <c r="E677" s="5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 s="4">
        <v>336</v>
      </c>
      <c r="L677" s="2">
        <v>35336</v>
      </c>
      <c r="M677" t="str">
        <f t="shared" si="60"/>
        <v>Arizona</v>
      </c>
      <c r="N677" t="str">
        <f t="shared" si="61"/>
        <v>F</v>
      </c>
      <c r="O677" t="str">
        <f t="shared" si="62"/>
        <v>College</v>
      </c>
      <c r="P677" t="str">
        <f t="shared" si="63"/>
        <v>Corporate</v>
      </c>
      <c r="Q677">
        <f t="shared" si="64"/>
        <v>4</v>
      </c>
      <c r="R677">
        <f t="shared" ca="1" si="65"/>
        <v>29</v>
      </c>
    </row>
    <row r="678" spans="1:18" x14ac:dyDescent="0.35">
      <c r="A678" t="s">
        <v>717</v>
      </c>
      <c r="B678" t="s">
        <v>33</v>
      </c>
      <c r="C678" t="s">
        <v>21</v>
      </c>
      <c r="D678" t="s">
        <v>4</v>
      </c>
      <c r="E678" s="5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 s="4">
        <v>15.631363</v>
      </c>
      <c r="L678" s="2">
        <v>35015.631363</v>
      </c>
      <c r="M678" t="str">
        <f t="shared" si="60"/>
        <v>Oregon</v>
      </c>
      <c r="N678" t="str">
        <f t="shared" si="61"/>
        <v>F</v>
      </c>
      <c r="O678" t="str">
        <f t="shared" si="62"/>
        <v>Bachelor</v>
      </c>
      <c r="P678" t="str">
        <f t="shared" si="63"/>
        <v>Personal</v>
      </c>
      <c r="Q678">
        <f t="shared" si="64"/>
        <v>4</v>
      </c>
      <c r="R678">
        <f t="shared" ca="1" si="65"/>
        <v>30</v>
      </c>
    </row>
    <row r="679" spans="1:18" x14ac:dyDescent="0.3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 s="4">
        <v>441.6</v>
      </c>
      <c r="L679" s="2">
        <v>35441.599999999999</v>
      </c>
      <c r="M679" t="str">
        <f t="shared" si="60"/>
        <v>Oregon</v>
      </c>
      <c r="N679" t="str">
        <f t="shared" si="61"/>
        <v>M</v>
      </c>
      <c r="O679" t="str">
        <f t="shared" si="62"/>
        <v>High School or Below</v>
      </c>
      <c r="P679" t="str">
        <f t="shared" si="63"/>
        <v>Personal</v>
      </c>
      <c r="Q679">
        <f t="shared" si="64"/>
        <v>4</v>
      </c>
      <c r="R679">
        <f t="shared" ca="1" si="65"/>
        <v>29</v>
      </c>
    </row>
    <row r="680" spans="1:18" x14ac:dyDescent="0.35">
      <c r="A680" t="s">
        <v>719</v>
      </c>
      <c r="B680" t="s">
        <v>33</v>
      </c>
      <c r="C680" t="s">
        <v>27</v>
      </c>
      <c r="D680" t="s">
        <v>4</v>
      </c>
      <c r="E680" s="5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 s="4">
        <v>375.86609099999998</v>
      </c>
      <c r="L680" s="2">
        <v>35375.866091000004</v>
      </c>
      <c r="M680" t="str">
        <f t="shared" si="60"/>
        <v>Oregon</v>
      </c>
      <c r="N680" t="str">
        <f t="shared" si="61"/>
        <v>M</v>
      </c>
      <c r="O680" t="str">
        <f t="shared" si="62"/>
        <v>Bachelor</v>
      </c>
      <c r="P680" t="str">
        <f t="shared" si="63"/>
        <v>Personal</v>
      </c>
      <c r="Q680">
        <f t="shared" si="64"/>
        <v>4</v>
      </c>
      <c r="R680">
        <f t="shared" ca="1" si="65"/>
        <v>29</v>
      </c>
    </row>
    <row r="681" spans="1:18" x14ac:dyDescent="0.35">
      <c r="A681" t="s">
        <v>720</v>
      </c>
      <c r="B681" t="s">
        <v>23</v>
      </c>
      <c r="C681" t="s">
        <v>27</v>
      </c>
      <c r="D681" t="s">
        <v>4</v>
      </c>
      <c r="E681" s="5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 s="4">
        <v>364.8</v>
      </c>
      <c r="L681" s="2">
        <v>35364.800000000003</v>
      </c>
      <c r="M681" t="str">
        <f t="shared" si="60"/>
        <v>Nevada</v>
      </c>
      <c r="N681" t="str">
        <f t="shared" si="61"/>
        <v>M</v>
      </c>
      <c r="O681" t="str">
        <f t="shared" si="62"/>
        <v>Bachelor</v>
      </c>
      <c r="P681" t="str">
        <f t="shared" si="63"/>
        <v>Personal</v>
      </c>
      <c r="Q681">
        <f t="shared" si="64"/>
        <v>4</v>
      </c>
      <c r="R681">
        <f t="shared" ca="1" si="65"/>
        <v>29</v>
      </c>
    </row>
    <row r="682" spans="1:18" x14ac:dyDescent="0.35">
      <c r="A682" t="s">
        <v>721</v>
      </c>
      <c r="B682" t="s">
        <v>5</v>
      </c>
      <c r="C682" t="s">
        <v>27</v>
      </c>
      <c r="D682" t="s">
        <v>35</v>
      </c>
      <c r="E682" s="5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 s="4">
        <v>355.2</v>
      </c>
      <c r="L682" s="2">
        <v>35355.199999999997</v>
      </c>
      <c r="M682" t="str">
        <f t="shared" si="60"/>
        <v>Arizona</v>
      </c>
      <c r="N682" t="str">
        <f t="shared" si="61"/>
        <v>M</v>
      </c>
      <c r="O682" t="str">
        <f t="shared" si="62"/>
        <v>College</v>
      </c>
      <c r="P682" t="str">
        <f t="shared" si="63"/>
        <v>Personal</v>
      </c>
      <c r="Q682">
        <f t="shared" si="64"/>
        <v>2</v>
      </c>
      <c r="R682">
        <f t="shared" ca="1" si="65"/>
        <v>29</v>
      </c>
    </row>
    <row r="683" spans="1:18" x14ac:dyDescent="0.35">
      <c r="A683" t="s">
        <v>722</v>
      </c>
      <c r="B683" t="s">
        <v>5</v>
      </c>
      <c r="C683" t="s">
        <v>27</v>
      </c>
      <c r="D683" t="s">
        <v>2</v>
      </c>
      <c r="E683" s="5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 s="4">
        <v>452.616872</v>
      </c>
      <c r="L683" s="2">
        <v>35452.616871999999</v>
      </c>
      <c r="M683" t="str">
        <f t="shared" si="60"/>
        <v>Arizona</v>
      </c>
      <c r="N683" t="str">
        <f t="shared" si="61"/>
        <v>M</v>
      </c>
      <c r="O683" t="str">
        <f t="shared" si="62"/>
        <v>Master</v>
      </c>
      <c r="P683" t="str">
        <f t="shared" si="63"/>
        <v>Personal</v>
      </c>
      <c r="Q683">
        <f t="shared" si="64"/>
        <v>4</v>
      </c>
      <c r="R683">
        <f t="shared" ca="1" si="65"/>
        <v>29</v>
      </c>
    </row>
    <row r="684" spans="1:18" x14ac:dyDescent="0.35">
      <c r="A684" t="s">
        <v>723</v>
      </c>
      <c r="B684" t="s">
        <v>33</v>
      </c>
      <c r="C684" t="s">
        <v>21</v>
      </c>
      <c r="D684" t="s">
        <v>2</v>
      </c>
      <c r="E684" s="5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 s="4">
        <v>113.45012199999999</v>
      </c>
      <c r="L684" s="2">
        <v>35113.450122000002</v>
      </c>
      <c r="M684" t="str">
        <f t="shared" si="60"/>
        <v>Oregon</v>
      </c>
      <c r="N684" t="str">
        <f t="shared" si="61"/>
        <v>F</v>
      </c>
      <c r="O684" t="str">
        <f t="shared" si="62"/>
        <v>Master</v>
      </c>
      <c r="P684" t="str">
        <f t="shared" si="63"/>
        <v>Personal</v>
      </c>
      <c r="Q684">
        <f t="shared" si="64"/>
        <v>4</v>
      </c>
      <c r="R684">
        <f t="shared" ca="1" si="65"/>
        <v>30</v>
      </c>
    </row>
    <row r="685" spans="1:18" x14ac:dyDescent="0.35">
      <c r="A685" t="s">
        <v>724</v>
      </c>
      <c r="B685" t="s">
        <v>26</v>
      </c>
      <c r="C685" t="s">
        <v>21</v>
      </c>
      <c r="D685" t="s">
        <v>31</v>
      </c>
      <c r="E685" s="5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 s="4">
        <v>480</v>
      </c>
      <c r="L685" s="2">
        <v>35480</v>
      </c>
      <c r="M685" t="str">
        <f t="shared" si="60"/>
        <v>California</v>
      </c>
      <c r="N685" t="str">
        <f t="shared" si="61"/>
        <v>F</v>
      </c>
      <c r="O685" t="str">
        <f t="shared" si="62"/>
        <v>High School or Below</v>
      </c>
      <c r="P685" t="str">
        <f t="shared" si="63"/>
        <v>Corporate</v>
      </c>
      <c r="Q685">
        <f t="shared" si="64"/>
        <v>4</v>
      </c>
      <c r="R685">
        <f t="shared" ca="1" si="65"/>
        <v>29</v>
      </c>
    </row>
    <row r="686" spans="1:18" x14ac:dyDescent="0.35">
      <c r="A686" t="s">
        <v>725</v>
      </c>
      <c r="B686" t="s">
        <v>33</v>
      </c>
      <c r="C686" t="s">
        <v>27</v>
      </c>
      <c r="D686" t="s">
        <v>4</v>
      </c>
      <c r="E686" s="5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 s="4">
        <v>16.034510000000001</v>
      </c>
      <c r="L686" s="2">
        <v>35016.034509999998</v>
      </c>
      <c r="M686" t="str">
        <f t="shared" si="60"/>
        <v>Oregon</v>
      </c>
      <c r="N686" t="str">
        <f t="shared" si="61"/>
        <v>M</v>
      </c>
      <c r="O686" t="str">
        <f t="shared" si="62"/>
        <v>Bachelor</v>
      </c>
      <c r="P686" t="str">
        <f t="shared" si="63"/>
        <v>Special</v>
      </c>
      <c r="Q686">
        <f t="shared" si="64"/>
        <v>4</v>
      </c>
      <c r="R686">
        <f t="shared" ca="1" si="65"/>
        <v>30</v>
      </c>
    </row>
    <row r="687" spans="1:18" x14ac:dyDescent="0.35">
      <c r="A687" t="s">
        <v>726</v>
      </c>
      <c r="B687" t="s">
        <v>33</v>
      </c>
      <c r="C687" t="s">
        <v>21</v>
      </c>
      <c r="D687" t="s">
        <v>31</v>
      </c>
      <c r="E687" s="5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 s="4">
        <v>615.27228000000002</v>
      </c>
      <c r="L687" s="2">
        <v>35615.272279999997</v>
      </c>
      <c r="M687" t="str">
        <f t="shared" si="60"/>
        <v>Oregon</v>
      </c>
      <c r="N687" t="str">
        <f t="shared" si="61"/>
        <v>F</v>
      </c>
      <c r="O687" t="str">
        <f t="shared" si="62"/>
        <v>High School or Below</v>
      </c>
      <c r="P687" t="str">
        <f t="shared" si="63"/>
        <v>Personal</v>
      </c>
      <c r="Q687">
        <f t="shared" si="64"/>
        <v>2</v>
      </c>
      <c r="R687">
        <f t="shared" ca="1" si="65"/>
        <v>29</v>
      </c>
    </row>
    <row r="688" spans="1:18" x14ac:dyDescent="0.35">
      <c r="A688" t="s">
        <v>727</v>
      </c>
      <c r="B688" t="s">
        <v>26</v>
      </c>
      <c r="C688" t="s">
        <v>21</v>
      </c>
      <c r="D688" t="s">
        <v>4</v>
      </c>
      <c r="E688" s="5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 s="4">
        <v>615.25630100000001</v>
      </c>
      <c r="L688" s="2">
        <v>35615.256301000001</v>
      </c>
      <c r="M688" t="str">
        <f t="shared" si="60"/>
        <v>California</v>
      </c>
      <c r="N688" t="str">
        <f t="shared" si="61"/>
        <v>F</v>
      </c>
      <c r="O688" t="str">
        <f t="shared" si="62"/>
        <v>Bachelor</v>
      </c>
      <c r="P688" t="str">
        <f t="shared" si="63"/>
        <v>Personal</v>
      </c>
      <c r="Q688">
        <f t="shared" si="64"/>
        <v>4</v>
      </c>
      <c r="R688">
        <f t="shared" ca="1" si="65"/>
        <v>29</v>
      </c>
    </row>
    <row r="689" spans="1:18" x14ac:dyDescent="0.35">
      <c r="A689" t="s">
        <v>728</v>
      </c>
      <c r="B689" t="s">
        <v>5</v>
      </c>
      <c r="C689" t="s">
        <v>21</v>
      </c>
      <c r="D689" t="s">
        <v>35</v>
      </c>
      <c r="E689" s="5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 s="4">
        <v>512.66245000000004</v>
      </c>
      <c r="L689" s="2">
        <v>35512.662450000003</v>
      </c>
      <c r="M689" t="str">
        <f t="shared" si="60"/>
        <v>Arizona</v>
      </c>
      <c r="N689" t="str">
        <f t="shared" si="61"/>
        <v>F</v>
      </c>
      <c r="O689" t="str">
        <f t="shared" si="62"/>
        <v>College</v>
      </c>
      <c r="P689" t="str">
        <f t="shared" si="63"/>
        <v>Personal</v>
      </c>
      <c r="Q689">
        <f t="shared" si="64"/>
        <v>4</v>
      </c>
      <c r="R689">
        <f t="shared" ca="1" si="65"/>
        <v>29</v>
      </c>
    </row>
    <row r="690" spans="1:18" x14ac:dyDescent="0.35">
      <c r="A690" t="s">
        <v>729</v>
      </c>
      <c r="B690" t="s">
        <v>33</v>
      </c>
      <c r="C690" t="s">
        <v>27</v>
      </c>
      <c r="D690" t="s">
        <v>4</v>
      </c>
      <c r="E690" s="5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 s="4">
        <v>74.523934999999994</v>
      </c>
      <c r="L690" s="2">
        <v>35074.523934999997</v>
      </c>
      <c r="M690" t="str">
        <f t="shared" si="60"/>
        <v>Oregon</v>
      </c>
      <c r="N690" t="str">
        <f t="shared" si="61"/>
        <v>M</v>
      </c>
      <c r="O690" t="str">
        <f t="shared" si="62"/>
        <v>Bachelor</v>
      </c>
      <c r="P690" t="str">
        <f t="shared" si="63"/>
        <v>Personal</v>
      </c>
      <c r="Q690">
        <f t="shared" si="64"/>
        <v>2</v>
      </c>
      <c r="R690">
        <f t="shared" ca="1" si="65"/>
        <v>30</v>
      </c>
    </row>
    <row r="691" spans="1:18" x14ac:dyDescent="0.35">
      <c r="A691" t="s">
        <v>730</v>
      </c>
      <c r="B691" t="s">
        <v>33</v>
      </c>
      <c r="C691" t="s">
        <v>21</v>
      </c>
      <c r="D691" t="s">
        <v>4</v>
      </c>
      <c r="E691" s="5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 s="4">
        <v>426.072946</v>
      </c>
      <c r="L691" s="2">
        <v>35426.072946</v>
      </c>
      <c r="M691" t="str">
        <f t="shared" si="60"/>
        <v>Oregon</v>
      </c>
      <c r="N691" t="str">
        <f t="shared" si="61"/>
        <v>F</v>
      </c>
      <c r="O691" t="str">
        <f t="shared" si="62"/>
        <v>Bachelor</v>
      </c>
      <c r="P691" t="str">
        <f t="shared" si="63"/>
        <v>Personal</v>
      </c>
      <c r="Q691">
        <f t="shared" si="64"/>
        <v>4</v>
      </c>
      <c r="R691">
        <f t="shared" ca="1" si="65"/>
        <v>29</v>
      </c>
    </row>
    <row r="692" spans="1:18" x14ac:dyDescent="0.35">
      <c r="A692" t="s">
        <v>731</v>
      </c>
      <c r="B692" t="s">
        <v>5</v>
      </c>
      <c r="C692" t="s">
        <v>21</v>
      </c>
      <c r="D692" t="s">
        <v>2</v>
      </c>
      <c r="E692" s="5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 s="4">
        <v>169.28778500000001</v>
      </c>
      <c r="L692" s="2">
        <v>35169.287785</v>
      </c>
      <c r="M692" t="str">
        <f t="shared" si="60"/>
        <v>Arizona</v>
      </c>
      <c r="N692" t="str">
        <f t="shared" si="61"/>
        <v>F</v>
      </c>
      <c r="O692" t="str">
        <f t="shared" si="62"/>
        <v>Master</v>
      </c>
      <c r="P692" t="str">
        <f t="shared" si="63"/>
        <v>Personal</v>
      </c>
      <c r="Q692">
        <f t="shared" si="64"/>
        <v>2</v>
      </c>
      <c r="R692">
        <f t="shared" ca="1" si="65"/>
        <v>30</v>
      </c>
    </row>
    <row r="693" spans="1:18" x14ac:dyDescent="0.35">
      <c r="A693" t="s">
        <v>732</v>
      </c>
      <c r="B693" t="s">
        <v>5</v>
      </c>
      <c r="C693" t="s">
        <v>27</v>
      </c>
      <c r="D693" t="s">
        <v>35</v>
      </c>
      <c r="E693" s="5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 s="4">
        <v>419.46414299999998</v>
      </c>
      <c r="L693" s="2">
        <v>35419.464142999997</v>
      </c>
      <c r="M693" t="str">
        <f t="shared" si="60"/>
        <v>Arizona</v>
      </c>
      <c r="N693" t="str">
        <f t="shared" si="61"/>
        <v>M</v>
      </c>
      <c r="O693" t="str">
        <f t="shared" si="62"/>
        <v>College</v>
      </c>
      <c r="P693" t="str">
        <f t="shared" si="63"/>
        <v>Personal</v>
      </c>
      <c r="Q693">
        <f t="shared" si="64"/>
        <v>4</v>
      </c>
      <c r="R693">
        <f t="shared" ca="1" si="65"/>
        <v>29</v>
      </c>
    </row>
    <row r="694" spans="1:18" x14ac:dyDescent="0.35">
      <c r="A694" t="s">
        <v>733</v>
      </c>
      <c r="B694" t="s">
        <v>33</v>
      </c>
      <c r="C694" t="s">
        <v>21</v>
      </c>
      <c r="D694" t="s">
        <v>4</v>
      </c>
      <c r="E694" s="5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 s="4">
        <v>201.455005</v>
      </c>
      <c r="L694" s="2">
        <v>35201.455005000003</v>
      </c>
      <c r="M694" t="str">
        <f t="shared" si="60"/>
        <v>Oregon</v>
      </c>
      <c r="N694" t="str">
        <f t="shared" si="61"/>
        <v>F</v>
      </c>
      <c r="O694" t="str">
        <f t="shared" si="62"/>
        <v>Bachelor</v>
      </c>
      <c r="P694" t="str">
        <f t="shared" si="63"/>
        <v>Personal</v>
      </c>
      <c r="Q694">
        <f t="shared" si="64"/>
        <v>4</v>
      </c>
      <c r="R694">
        <f t="shared" ca="1" si="65"/>
        <v>30</v>
      </c>
    </row>
    <row r="695" spans="1:18" x14ac:dyDescent="0.35">
      <c r="A695" t="s">
        <v>734</v>
      </c>
      <c r="B695" t="s">
        <v>3</v>
      </c>
      <c r="C695" t="s">
        <v>27</v>
      </c>
      <c r="D695" t="s">
        <v>2</v>
      </c>
      <c r="E695" s="5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 s="4">
        <v>158.077504</v>
      </c>
      <c r="L695" s="2">
        <v>35158.077504000001</v>
      </c>
      <c r="M695" t="str">
        <f t="shared" si="60"/>
        <v>Washington</v>
      </c>
      <c r="N695" t="str">
        <f t="shared" si="61"/>
        <v>M</v>
      </c>
      <c r="O695" t="str">
        <f t="shared" si="62"/>
        <v>Master</v>
      </c>
      <c r="P695" t="str">
        <f t="shared" si="63"/>
        <v>Corporate</v>
      </c>
      <c r="Q695">
        <f t="shared" si="64"/>
        <v>2</v>
      </c>
      <c r="R695">
        <f t="shared" ca="1" si="65"/>
        <v>30</v>
      </c>
    </row>
    <row r="696" spans="1:18" x14ac:dyDescent="0.35">
      <c r="A696" t="s">
        <v>735</v>
      </c>
      <c r="B696" t="s">
        <v>26</v>
      </c>
      <c r="C696" t="s">
        <v>21</v>
      </c>
      <c r="D696" t="s">
        <v>4</v>
      </c>
      <c r="E696" s="5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 s="4">
        <v>494.4</v>
      </c>
      <c r="L696" s="2">
        <v>35494.400000000001</v>
      </c>
      <c r="M696" t="str">
        <f t="shared" si="60"/>
        <v>California</v>
      </c>
      <c r="N696" t="str">
        <f t="shared" si="61"/>
        <v>F</v>
      </c>
      <c r="O696" t="str">
        <f t="shared" si="62"/>
        <v>Bachelor</v>
      </c>
      <c r="P696" t="str">
        <f t="shared" si="63"/>
        <v>Personal</v>
      </c>
      <c r="Q696">
        <f t="shared" si="64"/>
        <v>2</v>
      </c>
      <c r="R696">
        <f t="shared" ca="1" si="65"/>
        <v>29</v>
      </c>
    </row>
    <row r="697" spans="1:18" x14ac:dyDescent="0.3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 s="4">
        <v>494.4</v>
      </c>
      <c r="L697" s="2">
        <v>35494.400000000001</v>
      </c>
      <c r="M697" t="str">
        <f t="shared" si="60"/>
        <v>Oregon</v>
      </c>
      <c r="N697" t="str">
        <f t="shared" si="61"/>
        <v>M</v>
      </c>
      <c r="O697" t="str">
        <f t="shared" si="62"/>
        <v>High School or Below</v>
      </c>
      <c r="P697" t="str">
        <f t="shared" si="63"/>
        <v>Personal</v>
      </c>
      <c r="Q697">
        <f t="shared" si="64"/>
        <v>4</v>
      </c>
      <c r="R697">
        <f t="shared" ca="1" si="65"/>
        <v>29</v>
      </c>
    </row>
    <row r="698" spans="1:18" x14ac:dyDescent="0.35">
      <c r="A698" t="s">
        <v>737</v>
      </c>
      <c r="B698" t="s">
        <v>5</v>
      </c>
      <c r="C698" t="s">
        <v>27</v>
      </c>
      <c r="D698" t="s">
        <v>4</v>
      </c>
      <c r="E698" s="5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 s="4">
        <v>326.39999999999998</v>
      </c>
      <c r="L698" s="2">
        <v>35326.400000000001</v>
      </c>
      <c r="M698" t="str">
        <f t="shared" si="60"/>
        <v>Arizona</v>
      </c>
      <c r="N698" t="str">
        <f t="shared" si="61"/>
        <v>M</v>
      </c>
      <c r="O698" t="str">
        <f t="shared" si="62"/>
        <v>Bachelor</v>
      </c>
      <c r="P698" t="str">
        <f t="shared" si="63"/>
        <v>Corporate</v>
      </c>
      <c r="Q698">
        <f t="shared" si="64"/>
        <v>4</v>
      </c>
      <c r="R698">
        <f t="shared" ca="1" si="65"/>
        <v>29</v>
      </c>
    </row>
    <row r="699" spans="1:18" x14ac:dyDescent="0.3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 s="4">
        <v>669.6</v>
      </c>
      <c r="L699" s="2">
        <v>35669.599999999999</v>
      </c>
      <c r="M699" t="str">
        <f t="shared" si="60"/>
        <v>Nevada</v>
      </c>
      <c r="N699" t="str">
        <f t="shared" si="61"/>
        <v>M</v>
      </c>
      <c r="O699" t="str">
        <f t="shared" si="62"/>
        <v>College</v>
      </c>
      <c r="P699" t="str">
        <f t="shared" si="63"/>
        <v>Personal</v>
      </c>
      <c r="Q699">
        <f t="shared" si="64"/>
        <v>2</v>
      </c>
      <c r="R699">
        <f t="shared" ca="1" si="65"/>
        <v>29</v>
      </c>
    </row>
    <row r="700" spans="1:18" x14ac:dyDescent="0.35">
      <c r="A700" t="s">
        <v>739</v>
      </c>
      <c r="B700" t="s">
        <v>5</v>
      </c>
      <c r="C700" t="s">
        <v>21</v>
      </c>
      <c r="D700" t="s">
        <v>4</v>
      </c>
      <c r="E700" s="5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 s="4">
        <v>395.729716</v>
      </c>
      <c r="L700" s="2">
        <v>35395.729716000002</v>
      </c>
      <c r="M700" t="str">
        <f t="shared" si="60"/>
        <v>Arizona</v>
      </c>
      <c r="N700" t="str">
        <f t="shared" si="61"/>
        <v>F</v>
      </c>
      <c r="O700" t="str">
        <f t="shared" si="62"/>
        <v>Bachelor</v>
      </c>
      <c r="P700" t="str">
        <f t="shared" si="63"/>
        <v>Corporate</v>
      </c>
      <c r="Q700">
        <f t="shared" si="64"/>
        <v>4</v>
      </c>
      <c r="R700">
        <f t="shared" ca="1" si="65"/>
        <v>29</v>
      </c>
    </row>
    <row r="701" spans="1:18" x14ac:dyDescent="0.35">
      <c r="A701" t="s">
        <v>740</v>
      </c>
      <c r="B701" t="s">
        <v>3</v>
      </c>
      <c r="C701" t="s">
        <v>21</v>
      </c>
      <c r="D701" t="s">
        <v>35</v>
      </c>
      <c r="E701" s="5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 s="4">
        <v>159.756733</v>
      </c>
      <c r="L701" s="2">
        <v>35159.756733000002</v>
      </c>
      <c r="M701" t="str">
        <f t="shared" si="60"/>
        <v>Washington</v>
      </c>
      <c r="N701" t="str">
        <f t="shared" si="61"/>
        <v>F</v>
      </c>
      <c r="O701" t="str">
        <f t="shared" si="62"/>
        <v>College</v>
      </c>
      <c r="P701" t="str">
        <f t="shared" si="63"/>
        <v>Personal</v>
      </c>
      <c r="Q701">
        <f t="shared" si="64"/>
        <v>4</v>
      </c>
      <c r="R701">
        <f t="shared" ca="1" si="65"/>
        <v>30</v>
      </c>
    </row>
    <row r="702" spans="1:18" x14ac:dyDescent="0.35">
      <c r="A702" t="s">
        <v>741</v>
      </c>
      <c r="B702" t="s">
        <v>33</v>
      </c>
      <c r="C702" t="s">
        <v>21</v>
      </c>
      <c r="D702" t="s">
        <v>35</v>
      </c>
      <c r="E702" s="5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 s="4">
        <v>58.557552000000001</v>
      </c>
      <c r="L702" s="2">
        <v>35058.557551999998</v>
      </c>
      <c r="M702" t="str">
        <f t="shared" si="60"/>
        <v>Oregon</v>
      </c>
      <c r="N702" t="str">
        <f t="shared" si="61"/>
        <v>F</v>
      </c>
      <c r="O702" t="str">
        <f t="shared" si="62"/>
        <v>College</v>
      </c>
      <c r="P702" t="str">
        <f t="shared" si="63"/>
        <v>Personal</v>
      </c>
      <c r="Q702">
        <f t="shared" si="64"/>
        <v>4</v>
      </c>
      <c r="R702">
        <f t="shared" ca="1" si="65"/>
        <v>30</v>
      </c>
    </row>
    <row r="703" spans="1:18" x14ac:dyDescent="0.35">
      <c r="A703" t="s">
        <v>742</v>
      </c>
      <c r="B703" t="s">
        <v>5</v>
      </c>
      <c r="C703" t="s">
        <v>21</v>
      </c>
      <c r="D703" t="s">
        <v>31</v>
      </c>
      <c r="E703" s="5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 s="4">
        <v>302.39999999999998</v>
      </c>
      <c r="L703" s="2">
        <v>35302.400000000001</v>
      </c>
      <c r="M703" t="str">
        <f t="shared" si="60"/>
        <v>Arizona</v>
      </c>
      <c r="N703" t="str">
        <f t="shared" si="61"/>
        <v>F</v>
      </c>
      <c r="O703" t="str">
        <f t="shared" si="62"/>
        <v>High School or Below</v>
      </c>
      <c r="P703" t="str">
        <f t="shared" si="63"/>
        <v>Personal</v>
      </c>
      <c r="Q703">
        <f t="shared" si="64"/>
        <v>2</v>
      </c>
      <c r="R703">
        <f t="shared" ca="1" si="65"/>
        <v>30</v>
      </c>
    </row>
    <row r="704" spans="1:18" x14ac:dyDescent="0.35">
      <c r="A704" t="s">
        <v>743</v>
      </c>
      <c r="B704" t="s">
        <v>26</v>
      </c>
      <c r="C704" t="s">
        <v>21</v>
      </c>
      <c r="D704" t="s">
        <v>35</v>
      </c>
      <c r="E704" s="5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 s="4">
        <v>316.8</v>
      </c>
      <c r="L704" s="2">
        <v>35316.800000000003</v>
      </c>
      <c r="M704" t="str">
        <f t="shared" si="60"/>
        <v>California</v>
      </c>
      <c r="N704" t="str">
        <f t="shared" si="61"/>
        <v>F</v>
      </c>
      <c r="O704" t="str">
        <f t="shared" si="62"/>
        <v>College</v>
      </c>
      <c r="P704" t="str">
        <f t="shared" si="63"/>
        <v>Personal</v>
      </c>
      <c r="Q704">
        <f t="shared" si="64"/>
        <v>4</v>
      </c>
      <c r="R704">
        <f t="shared" ca="1" si="65"/>
        <v>30</v>
      </c>
    </row>
    <row r="705" spans="1:18" x14ac:dyDescent="0.3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 s="4">
        <v>8.5829710000000006</v>
      </c>
      <c r="L705" s="2">
        <v>35008.582971000003</v>
      </c>
      <c r="M705" t="str">
        <f t="shared" si="60"/>
        <v>California</v>
      </c>
      <c r="N705" t="str">
        <f t="shared" si="61"/>
        <v>M</v>
      </c>
      <c r="O705" t="str">
        <f t="shared" si="62"/>
        <v>College</v>
      </c>
      <c r="P705" t="str">
        <f t="shared" si="63"/>
        <v>Corporate</v>
      </c>
      <c r="Q705">
        <f t="shared" si="64"/>
        <v>4</v>
      </c>
      <c r="R705">
        <f t="shared" ca="1" si="65"/>
        <v>30</v>
      </c>
    </row>
    <row r="706" spans="1:18" x14ac:dyDescent="0.35">
      <c r="A706" t="s">
        <v>745</v>
      </c>
      <c r="B706" t="s">
        <v>23</v>
      </c>
      <c r="C706" t="s">
        <v>21</v>
      </c>
      <c r="D706" t="s">
        <v>4</v>
      </c>
      <c r="E706" s="5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 s="4">
        <v>285.41847300000001</v>
      </c>
      <c r="L706" s="2">
        <v>35285.418472999998</v>
      </c>
      <c r="M706" t="str">
        <f t="shared" si="60"/>
        <v>Nevada</v>
      </c>
      <c r="N706" t="str">
        <f t="shared" si="61"/>
        <v>F</v>
      </c>
      <c r="O706" t="str">
        <f t="shared" si="62"/>
        <v>Bachelor</v>
      </c>
      <c r="P706" t="str">
        <f t="shared" si="63"/>
        <v>Personal</v>
      </c>
      <c r="Q706">
        <f t="shared" si="64"/>
        <v>2</v>
      </c>
      <c r="R706">
        <f t="shared" ca="1" si="65"/>
        <v>30</v>
      </c>
    </row>
    <row r="707" spans="1:18" x14ac:dyDescent="0.35">
      <c r="A707" t="s">
        <v>746</v>
      </c>
      <c r="B707" t="s">
        <v>26</v>
      </c>
      <c r="C707" t="s">
        <v>21</v>
      </c>
      <c r="D707" t="s">
        <v>31</v>
      </c>
      <c r="E707" s="5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 s="4">
        <v>566.4</v>
      </c>
      <c r="L707" s="2">
        <v>35566.400000000001</v>
      </c>
      <c r="M707" t="str">
        <f t="shared" ref="M707:M770" si="66">IF(OR(B707="California",B707="Cali"),"California",IF(OR(B707="Arizona",B707="AZ"),"Arizona",IF(OR(B707="Washington",B707="WA"),"Washington",B707)))</f>
        <v>California</v>
      </c>
      <c r="N707" t="str">
        <f t="shared" ref="N707:N770" si="67">IF(OR(C707="F",C707="Femal",C707="female"),"F",IF(OR(C707="M",C707="Male"),"M","NA"))</f>
        <v>F</v>
      </c>
      <c r="O707" t="str">
        <f t="shared" ref="O707:O770" si="68">IF(OR(D707="Bachelor",D707="Bachelors"),"Bachelor",D707)</f>
        <v>High School or Below</v>
      </c>
      <c r="P707" t="str">
        <f t="shared" ref="P707:P770" si="69">LEFT(I707,FIND(" ",I707)-1)</f>
        <v>Personal</v>
      </c>
      <c r="Q707">
        <f t="shared" ref="Q707:Q770" si="70">IF(OR(J707="Luxury Car",J707="Two-Door Car",J707="Sports Car"),2,IF(OR(J707="Luxury SUV",J707="SUV",J707="Four-Door Car"),4,"NA"))</f>
        <v>4</v>
      </c>
      <c r="R707">
        <f t="shared" ref="R707:R770" ca="1" si="71">DATEDIF(L707,TODAY(),"Y")</f>
        <v>29</v>
      </c>
    </row>
    <row r="708" spans="1:18" x14ac:dyDescent="0.3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 s="4">
        <v>410.50831599999998</v>
      </c>
      <c r="L708" s="2">
        <v>35410.508315999999</v>
      </c>
      <c r="M708" t="str">
        <f t="shared" si="66"/>
        <v>California</v>
      </c>
      <c r="N708" t="str">
        <f t="shared" si="67"/>
        <v>M</v>
      </c>
      <c r="O708" t="str">
        <f t="shared" si="68"/>
        <v>High School or Below</v>
      </c>
      <c r="P708" t="str">
        <f t="shared" si="69"/>
        <v>Personal</v>
      </c>
      <c r="Q708">
        <f t="shared" si="70"/>
        <v>4</v>
      </c>
      <c r="R708">
        <f t="shared" ca="1" si="71"/>
        <v>29</v>
      </c>
    </row>
    <row r="709" spans="1:18" x14ac:dyDescent="0.35">
      <c r="A709" t="s">
        <v>748</v>
      </c>
      <c r="B709" t="s">
        <v>33</v>
      </c>
      <c r="C709" t="s">
        <v>21</v>
      </c>
      <c r="D709" t="s">
        <v>31</v>
      </c>
      <c r="E709" s="5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 s="4">
        <v>244.23134999999999</v>
      </c>
      <c r="L709" s="2">
        <v>35244.231350000002</v>
      </c>
      <c r="M709" t="str">
        <f t="shared" si="66"/>
        <v>Oregon</v>
      </c>
      <c r="N709" t="str">
        <f t="shared" si="67"/>
        <v>F</v>
      </c>
      <c r="O709" t="str">
        <f t="shared" si="68"/>
        <v>High School or Below</v>
      </c>
      <c r="P709" t="str">
        <f t="shared" si="69"/>
        <v>Personal</v>
      </c>
      <c r="Q709">
        <f t="shared" si="70"/>
        <v>2</v>
      </c>
      <c r="R709">
        <f t="shared" ca="1" si="71"/>
        <v>30</v>
      </c>
    </row>
    <row r="710" spans="1:18" x14ac:dyDescent="0.3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 s="4">
        <v>218.59806499999999</v>
      </c>
      <c r="L710" s="2">
        <v>35218.598064999998</v>
      </c>
      <c r="M710" t="str">
        <f t="shared" si="66"/>
        <v>California</v>
      </c>
      <c r="N710" t="str">
        <f t="shared" si="67"/>
        <v>M</v>
      </c>
      <c r="O710" t="str">
        <f t="shared" si="68"/>
        <v>High School or Below</v>
      </c>
      <c r="P710" t="str">
        <f t="shared" si="69"/>
        <v>Personal</v>
      </c>
      <c r="Q710">
        <f t="shared" si="70"/>
        <v>4</v>
      </c>
      <c r="R710">
        <f t="shared" ca="1" si="71"/>
        <v>30</v>
      </c>
    </row>
    <row r="711" spans="1:18" x14ac:dyDescent="0.35">
      <c r="A711" t="s">
        <v>750</v>
      </c>
      <c r="B711" t="s">
        <v>33</v>
      </c>
      <c r="C711" t="s">
        <v>27</v>
      </c>
      <c r="D711" t="s">
        <v>4</v>
      </c>
      <c r="E711" s="5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 s="4">
        <v>643.82671600000003</v>
      </c>
      <c r="L711" s="2">
        <v>35643.826716000003</v>
      </c>
      <c r="M711" t="str">
        <f t="shared" si="66"/>
        <v>Oregon</v>
      </c>
      <c r="N711" t="str">
        <f t="shared" si="67"/>
        <v>M</v>
      </c>
      <c r="O711" t="str">
        <f t="shared" si="68"/>
        <v>Bachelor</v>
      </c>
      <c r="P711" t="str">
        <f t="shared" si="69"/>
        <v>Personal</v>
      </c>
      <c r="Q711">
        <f t="shared" si="70"/>
        <v>4</v>
      </c>
      <c r="R711">
        <f t="shared" ca="1" si="71"/>
        <v>29</v>
      </c>
    </row>
    <row r="712" spans="1:18" x14ac:dyDescent="0.35">
      <c r="A712" t="s">
        <v>751</v>
      </c>
      <c r="B712" t="s">
        <v>26</v>
      </c>
      <c r="C712" t="s">
        <v>21</v>
      </c>
      <c r="D712" t="s">
        <v>35</v>
      </c>
      <c r="E712" s="5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 s="4">
        <v>336</v>
      </c>
      <c r="L712" s="2">
        <v>35336</v>
      </c>
      <c r="M712" t="str">
        <f t="shared" si="66"/>
        <v>California</v>
      </c>
      <c r="N712" t="str">
        <f t="shared" si="67"/>
        <v>F</v>
      </c>
      <c r="O712" t="str">
        <f t="shared" si="68"/>
        <v>College</v>
      </c>
      <c r="P712" t="str">
        <f t="shared" si="69"/>
        <v>Personal</v>
      </c>
      <c r="Q712">
        <f t="shared" si="70"/>
        <v>4</v>
      </c>
      <c r="R712">
        <f t="shared" ca="1" si="71"/>
        <v>29</v>
      </c>
    </row>
    <row r="713" spans="1:18" x14ac:dyDescent="0.35">
      <c r="A713" t="s">
        <v>752</v>
      </c>
      <c r="B713" t="s">
        <v>33</v>
      </c>
      <c r="C713" t="s">
        <v>27</v>
      </c>
      <c r="D713" t="s">
        <v>4</v>
      </c>
      <c r="E713" s="5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 s="4">
        <v>312</v>
      </c>
      <c r="L713" s="2">
        <v>35312</v>
      </c>
      <c r="M713" t="str">
        <f t="shared" si="66"/>
        <v>Oregon</v>
      </c>
      <c r="N713" t="str">
        <f t="shared" si="67"/>
        <v>M</v>
      </c>
      <c r="O713" t="str">
        <f t="shared" si="68"/>
        <v>Bachelor</v>
      </c>
      <c r="P713" t="str">
        <f t="shared" si="69"/>
        <v>Personal</v>
      </c>
      <c r="Q713">
        <f t="shared" si="70"/>
        <v>2</v>
      </c>
      <c r="R713">
        <f t="shared" ca="1" si="71"/>
        <v>30</v>
      </c>
    </row>
    <row r="714" spans="1:18" x14ac:dyDescent="0.35">
      <c r="A714" t="s">
        <v>753</v>
      </c>
      <c r="B714" t="s">
        <v>5</v>
      </c>
      <c r="C714" t="s">
        <v>27</v>
      </c>
      <c r="D714" t="s">
        <v>4</v>
      </c>
      <c r="E714" s="5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 s="4">
        <v>497.04729700000001</v>
      </c>
      <c r="L714" s="2">
        <v>35497.047296999997</v>
      </c>
      <c r="M714" t="str">
        <f t="shared" si="66"/>
        <v>Arizona</v>
      </c>
      <c r="N714" t="str">
        <f t="shared" si="67"/>
        <v>M</v>
      </c>
      <c r="O714" t="str">
        <f t="shared" si="68"/>
        <v>Bachelor</v>
      </c>
      <c r="P714" t="str">
        <f t="shared" si="69"/>
        <v>Personal</v>
      </c>
      <c r="Q714">
        <f t="shared" si="70"/>
        <v>4</v>
      </c>
      <c r="R714">
        <f t="shared" ca="1" si="71"/>
        <v>29</v>
      </c>
    </row>
    <row r="715" spans="1:18" x14ac:dyDescent="0.35">
      <c r="A715" t="s">
        <v>754</v>
      </c>
      <c r="B715" t="s">
        <v>26</v>
      </c>
      <c r="C715" t="s">
        <v>27</v>
      </c>
      <c r="D715" t="s">
        <v>4</v>
      </c>
      <c r="E715" s="5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 s="4">
        <v>1022.4</v>
      </c>
      <c r="L715" s="2">
        <v>36022.400000000001</v>
      </c>
      <c r="M715" t="str">
        <f t="shared" si="66"/>
        <v>California</v>
      </c>
      <c r="N715" t="str">
        <f t="shared" si="67"/>
        <v>M</v>
      </c>
      <c r="O715" t="str">
        <f t="shared" si="68"/>
        <v>Bachelor</v>
      </c>
      <c r="P715" t="str">
        <f t="shared" si="69"/>
        <v>Corporate</v>
      </c>
      <c r="Q715">
        <f t="shared" si="70"/>
        <v>4</v>
      </c>
      <c r="R715">
        <f t="shared" ca="1" si="71"/>
        <v>28</v>
      </c>
    </row>
    <row r="716" spans="1:18" x14ac:dyDescent="0.35">
      <c r="A716" t="s">
        <v>755</v>
      </c>
      <c r="B716" t="s">
        <v>23</v>
      </c>
      <c r="C716" t="s">
        <v>27</v>
      </c>
      <c r="D716" t="s">
        <v>4</v>
      </c>
      <c r="E716" s="5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 s="4">
        <v>657.6</v>
      </c>
      <c r="L716" s="2">
        <v>35657.599999999999</v>
      </c>
      <c r="M716" t="str">
        <f t="shared" si="66"/>
        <v>Nevada</v>
      </c>
      <c r="N716" t="str">
        <f t="shared" si="67"/>
        <v>M</v>
      </c>
      <c r="O716" t="str">
        <f t="shared" si="68"/>
        <v>Bachelor</v>
      </c>
      <c r="P716" t="str">
        <f t="shared" si="69"/>
        <v>Personal</v>
      </c>
      <c r="Q716">
        <f t="shared" si="70"/>
        <v>4</v>
      </c>
      <c r="R716">
        <f t="shared" ca="1" si="71"/>
        <v>29</v>
      </c>
    </row>
    <row r="717" spans="1:18" x14ac:dyDescent="0.35">
      <c r="A717" t="s">
        <v>756</v>
      </c>
      <c r="B717" t="s">
        <v>5</v>
      </c>
      <c r="C717" t="s">
        <v>21</v>
      </c>
      <c r="D717" t="s">
        <v>4</v>
      </c>
      <c r="E717" s="5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 s="4">
        <v>230.24577199999999</v>
      </c>
      <c r="L717" s="2">
        <v>35230.245772000002</v>
      </c>
      <c r="M717" t="str">
        <f t="shared" si="66"/>
        <v>Arizona</v>
      </c>
      <c r="N717" t="str">
        <f t="shared" si="67"/>
        <v>F</v>
      </c>
      <c r="O717" t="str">
        <f t="shared" si="68"/>
        <v>Bachelor</v>
      </c>
      <c r="P717" t="str">
        <f t="shared" si="69"/>
        <v>Personal</v>
      </c>
      <c r="Q717">
        <f t="shared" si="70"/>
        <v>2</v>
      </c>
      <c r="R717">
        <f t="shared" ca="1" si="71"/>
        <v>30</v>
      </c>
    </row>
    <row r="718" spans="1:18" x14ac:dyDescent="0.35">
      <c r="A718" t="s">
        <v>757</v>
      </c>
      <c r="B718" t="s">
        <v>33</v>
      </c>
      <c r="C718" t="s">
        <v>21</v>
      </c>
      <c r="D718" t="s">
        <v>35</v>
      </c>
      <c r="E718" s="5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 s="4">
        <v>5.6227510000000001</v>
      </c>
      <c r="L718" s="2">
        <v>35005.622751000003</v>
      </c>
      <c r="M718" t="str">
        <f t="shared" si="66"/>
        <v>Oregon</v>
      </c>
      <c r="N718" t="str">
        <f t="shared" si="67"/>
        <v>F</v>
      </c>
      <c r="O718" t="str">
        <f t="shared" si="68"/>
        <v>College</v>
      </c>
      <c r="P718" t="str">
        <f t="shared" si="69"/>
        <v>Corporate</v>
      </c>
      <c r="Q718">
        <f t="shared" si="70"/>
        <v>4</v>
      </c>
      <c r="R718">
        <f t="shared" ca="1" si="71"/>
        <v>30</v>
      </c>
    </row>
    <row r="719" spans="1:18" x14ac:dyDescent="0.3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 s="4">
        <v>292.8</v>
      </c>
      <c r="L719" s="2">
        <v>35292.800000000003</v>
      </c>
      <c r="M719" t="str">
        <f t="shared" si="66"/>
        <v>California</v>
      </c>
      <c r="N719" t="str">
        <f t="shared" si="67"/>
        <v>M</v>
      </c>
      <c r="O719" t="str">
        <f t="shared" si="68"/>
        <v>College</v>
      </c>
      <c r="P719" t="str">
        <f t="shared" si="69"/>
        <v>Personal</v>
      </c>
      <c r="Q719">
        <f t="shared" si="70"/>
        <v>4</v>
      </c>
      <c r="R719">
        <f t="shared" ca="1" si="71"/>
        <v>30</v>
      </c>
    </row>
    <row r="720" spans="1:18" x14ac:dyDescent="0.35">
      <c r="A720" t="s">
        <v>759</v>
      </c>
      <c r="B720" t="s">
        <v>5</v>
      </c>
      <c r="C720" t="s">
        <v>21</v>
      </c>
      <c r="D720" t="s">
        <v>31</v>
      </c>
      <c r="E720" s="5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 s="4">
        <v>614.4</v>
      </c>
      <c r="L720" s="2">
        <v>35614.400000000001</v>
      </c>
      <c r="M720" t="str">
        <f t="shared" si="66"/>
        <v>Arizona</v>
      </c>
      <c r="N720" t="str">
        <f t="shared" si="67"/>
        <v>F</v>
      </c>
      <c r="O720" t="str">
        <f t="shared" si="68"/>
        <v>High School or Below</v>
      </c>
      <c r="P720" t="str">
        <f t="shared" si="69"/>
        <v>Corporate</v>
      </c>
      <c r="Q720">
        <f t="shared" si="70"/>
        <v>2</v>
      </c>
      <c r="R720">
        <f t="shared" ca="1" si="71"/>
        <v>29</v>
      </c>
    </row>
    <row r="721" spans="1:18" x14ac:dyDescent="0.35">
      <c r="A721" t="s">
        <v>760</v>
      </c>
      <c r="B721" t="s">
        <v>3</v>
      </c>
      <c r="C721" t="s">
        <v>27</v>
      </c>
      <c r="D721" t="s">
        <v>2</v>
      </c>
      <c r="E721" s="5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 s="4">
        <v>160.07525999999999</v>
      </c>
      <c r="L721" s="2">
        <v>35160.075259999998</v>
      </c>
      <c r="M721" t="str">
        <f t="shared" si="66"/>
        <v>Washington</v>
      </c>
      <c r="N721" t="str">
        <f t="shared" si="67"/>
        <v>M</v>
      </c>
      <c r="O721" t="str">
        <f t="shared" si="68"/>
        <v>Master</v>
      </c>
      <c r="P721" t="str">
        <f t="shared" si="69"/>
        <v>Personal</v>
      </c>
      <c r="Q721">
        <f t="shared" si="70"/>
        <v>4</v>
      </c>
      <c r="R721">
        <f t="shared" ca="1" si="71"/>
        <v>30</v>
      </c>
    </row>
    <row r="722" spans="1:18" x14ac:dyDescent="0.3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 s="4">
        <v>667.2</v>
      </c>
      <c r="L722" s="2">
        <v>35667.199999999997</v>
      </c>
      <c r="M722" t="str">
        <f t="shared" si="66"/>
        <v>California</v>
      </c>
      <c r="N722" t="str">
        <f t="shared" si="67"/>
        <v>M</v>
      </c>
      <c r="O722" t="str">
        <f t="shared" si="68"/>
        <v>College</v>
      </c>
      <c r="P722" t="str">
        <f t="shared" si="69"/>
        <v>Special</v>
      </c>
      <c r="Q722">
        <f t="shared" si="70"/>
        <v>4</v>
      </c>
      <c r="R722">
        <f t="shared" ca="1" si="71"/>
        <v>29</v>
      </c>
    </row>
    <row r="723" spans="1:18" x14ac:dyDescent="0.35">
      <c r="A723" t="s">
        <v>762</v>
      </c>
      <c r="B723" t="s">
        <v>26</v>
      </c>
      <c r="C723" t="s">
        <v>27</v>
      </c>
      <c r="D723" t="s">
        <v>4</v>
      </c>
      <c r="E723" s="5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 s="4">
        <v>34.651305000000001</v>
      </c>
      <c r="L723" s="2">
        <v>35034.651304999999</v>
      </c>
      <c r="M723" t="str">
        <f t="shared" si="66"/>
        <v>California</v>
      </c>
      <c r="N723" t="str">
        <f t="shared" si="67"/>
        <v>M</v>
      </c>
      <c r="O723" t="str">
        <f t="shared" si="68"/>
        <v>Bachelor</v>
      </c>
      <c r="P723" t="str">
        <f t="shared" si="69"/>
        <v>Personal</v>
      </c>
      <c r="Q723">
        <f t="shared" si="70"/>
        <v>2</v>
      </c>
      <c r="R723">
        <f t="shared" ca="1" si="71"/>
        <v>30</v>
      </c>
    </row>
    <row r="724" spans="1:18" x14ac:dyDescent="0.3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 s="4">
        <v>678.10048700000004</v>
      </c>
      <c r="L724" s="2">
        <v>35678.100487000003</v>
      </c>
      <c r="M724" t="str">
        <f t="shared" si="66"/>
        <v>California</v>
      </c>
      <c r="N724" t="str">
        <f t="shared" si="67"/>
        <v>M</v>
      </c>
      <c r="O724" t="str">
        <f t="shared" si="68"/>
        <v>College</v>
      </c>
      <c r="P724" t="str">
        <f t="shared" si="69"/>
        <v>Personal</v>
      </c>
      <c r="Q724">
        <f t="shared" si="70"/>
        <v>4</v>
      </c>
      <c r="R724">
        <f t="shared" ca="1" si="71"/>
        <v>29</v>
      </c>
    </row>
    <row r="725" spans="1:18" x14ac:dyDescent="0.35">
      <c r="A725" t="s">
        <v>764</v>
      </c>
      <c r="B725" t="s">
        <v>26</v>
      </c>
      <c r="C725" t="s">
        <v>27</v>
      </c>
      <c r="D725" t="s">
        <v>4</v>
      </c>
      <c r="E725" s="5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 s="4">
        <v>511.2</v>
      </c>
      <c r="L725" s="2">
        <v>35511.199999999997</v>
      </c>
      <c r="M725" t="str">
        <f t="shared" si="66"/>
        <v>California</v>
      </c>
      <c r="N725" t="str">
        <f t="shared" si="67"/>
        <v>M</v>
      </c>
      <c r="O725" t="str">
        <f t="shared" si="68"/>
        <v>Bachelor</v>
      </c>
      <c r="P725" t="str">
        <f t="shared" si="69"/>
        <v>Personal</v>
      </c>
      <c r="Q725">
        <f t="shared" si="70"/>
        <v>4</v>
      </c>
      <c r="R725">
        <f t="shared" ca="1" si="71"/>
        <v>29</v>
      </c>
    </row>
    <row r="726" spans="1:18" x14ac:dyDescent="0.3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 s="4">
        <v>525.6</v>
      </c>
      <c r="L726" s="2">
        <v>35525.599999999999</v>
      </c>
      <c r="M726" t="str">
        <f t="shared" si="66"/>
        <v>Oregon</v>
      </c>
      <c r="N726" t="str">
        <f t="shared" si="67"/>
        <v>M</v>
      </c>
      <c r="O726" t="str">
        <f t="shared" si="68"/>
        <v>College</v>
      </c>
      <c r="P726" t="str">
        <f t="shared" si="69"/>
        <v>Corporate</v>
      </c>
      <c r="Q726">
        <f t="shared" si="70"/>
        <v>4</v>
      </c>
      <c r="R726">
        <f t="shared" ca="1" si="71"/>
        <v>29</v>
      </c>
    </row>
    <row r="727" spans="1:18" x14ac:dyDescent="0.35">
      <c r="A727" t="s">
        <v>766</v>
      </c>
      <c r="B727" t="s">
        <v>5</v>
      </c>
      <c r="C727" t="s">
        <v>27</v>
      </c>
      <c r="D727" t="s">
        <v>4</v>
      </c>
      <c r="E727" s="5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 s="4">
        <v>292.8</v>
      </c>
      <c r="L727" s="2">
        <v>35292.800000000003</v>
      </c>
      <c r="M727" t="str">
        <f t="shared" si="66"/>
        <v>Arizona</v>
      </c>
      <c r="N727" t="str">
        <f t="shared" si="67"/>
        <v>M</v>
      </c>
      <c r="O727" t="str">
        <f t="shared" si="68"/>
        <v>Bachelor</v>
      </c>
      <c r="P727" t="str">
        <f t="shared" si="69"/>
        <v>Personal</v>
      </c>
      <c r="Q727">
        <f t="shared" si="70"/>
        <v>4</v>
      </c>
      <c r="R727">
        <f t="shared" ca="1" si="71"/>
        <v>30</v>
      </c>
    </row>
    <row r="728" spans="1:18" x14ac:dyDescent="0.35">
      <c r="A728" t="s">
        <v>767</v>
      </c>
      <c r="B728" t="s">
        <v>5</v>
      </c>
      <c r="C728" t="s">
        <v>21</v>
      </c>
      <c r="D728" t="s">
        <v>31</v>
      </c>
      <c r="E728" s="5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 s="4">
        <v>292.8</v>
      </c>
      <c r="L728" s="2">
        <v>35292.800000000003</v>
      </c>
      <c r="M728" t="str">
        <f t="shared" si="66"/>
        <v>Arizona</v>
      </c>
      <c r="N728" t="str">
        <f t="shared" si="67"/>
        <v>F</v>
      </c>
      <c r="O728" t="str">
        <f t="shared" si="68"/>
        <v>High School or Below</v>
      </c>
      <c r="P728" t="str">
        <f t="shared" si="69"/>
        <v>Personal</v>
      </c>
      <c r="Q728">
        <f t="shared" si="70"/>
        <v>2</v>
      </c>
      <c r="R728">
        <f t="shared" ca="1" si="71"/>
        <v>30</v>
      </c>
    </row>
    <row r="729" spans="1:18" x14ac:dyDescent="0.35">
      <c r="A729" t="s">
        <v>768</v>
      </c>
      <c r="B729" t="s">
        <v>33</v>
      </c>
      <c r="C729" t="s">
        <v>21</v>
      </c>
      <c r="D729" t="s">
        <v>35</v>
      </c>
      <c r="E729" s="5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 s="4">
        <v>174.588413</v>
      </c>
      <c r="L729" s="2">
        <v>35174.588412999998</v>
      </c>
      <c r="M729" t="str">
        <f t="shared" si="66"/>
        <v>Oregon</v>
      </c>
      <c r="N729" t="str">
        <f t="shared" si="67"/>
        <v>F</v>
      </c>
      <c r="O729" t="str">
        <f t="shared" si="68"/>
        <v>College</v>
      </c>
      <c r="P729" t="str">
        <f t="shared" si="69"/>
        <v>Corporate</v>
      </c>
      <c r="Q729">
        <f t="shared" si="70"/>
        <v>4</v>
      </c>
      <c r="R729">
        <f t="shared" ca="1" si="71"/>
        <v>30</v>
      </c>
    </row>
    <row r="730" spans="1:18" x14ac:dyDescent="0.3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 s="4">
        <v>159.39168100000001</v>
      </c>
      <c r="L730" s="2">
        <v>35159.391681000001</v>
      </c>
      <c r="M730" t="str">
        <f t="shared" si="66"/>
        <v>California</v>
      </c>
      <c r="N730" t="str">
        <f t="shared" si="67"/>
        <v>M</v>
      </c>
      <c r="O730" t="str">
        <f t="shared" si="68"/>
        <v>High School or Below</v>
      </c>
      <c r="P730" t="str">
        <f t="shared" si="69"/>
        <v>Corporate</v>
      </c>
      <c r="Q730">
        <f t="shared" si="70"/>
        <v>4</v>
      </c>
      <c r="R730">
        <f t="shared" ca="1" si="71"/>
        <v>30</v>
      </c>
    </row>
    <row r="731" spans="1:18" x14ac:dyDescent="0.3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 s="4">
        <v>698.4</v>
      </c>
      <c r="L731" s="2">
        <v>35698.400000000001</v>
      </c>
      <c r="M731" t="str">
        <f t="shared" si="66"/>
        <v>California</v>
      </c>
      <c r="N731" t="str">
        <f t="shared" si="67"/>
        <v>M</v>
      </c>
      <c r="O731" t="str">
        <f t="shared" si="68"/>
        <v>College</v>
      </c>
      <c r="P731" t="str">
        <f t="shared" si="69"/>
        <v>Corporate</v>
      </c>
      <c r="Q731">
        <f t="shared" si="70"/>
        <v>4</v>
      </c>
      <c r="R731">
        <f t="shared" ca="1" si="71"/>
        <v>28</v>
      </c>
    </row>
    <row r="732" spans="1:18" x14ac:dyDescent="0.35">
      <c r="A732" t="s">
        <v>771</v>
      </c>
      <c r="B732" t="s">
        <v>23</v>
      </c>
      <c r="C732" t="s">
        <v>27</v>
      </c>
      <c r="D732" t="s">
        <v>2</v>
      </c>
      <c r="E732" s="5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 s="4">
        <v>232.711071</v>
      </c>
      <c r="L732" s="2">
        <v>35232.711070999998</v>
      </c>
      <c r="M732" t="str">
        <f t="shared" si="66"/>
        <v>Nevada</v>
      </c>
      <c r="N732" t="str">
        <f t="shared" si="67"/>
        <v>M</v>
      </c>
      <c r="O732" t="str">
        <f t="shared" si="68"/>
        <v>Master</v>
      </c>
      <c r="P732" t="str">
        <f t="shared" si="69"/>
        <v>Personal</v>
      </c>
      <c r="Q732">
        <f t="shared" si="70"/>
        <v>4</v>
      </c>
      <c r="R732">
        <f t="shared" ca="1" si="71"/>
        <v>30</v>
      </c>
    </row>
    <row r="733" spans="1:18" x14ac:dyDescent="0.35">
      <c r="A733" t="s">
        <v>772</v>
      </c>
      <c r="B733" t="s">
        <v>3</v>
      </c>
      <c r="C733" t="s">
        <v>21</v>
      </c>
      <c r="D733" t="s">
        <v>35</v>
      </c>
      <c r="E733" s="5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 s="4">
        <v>163.04695599999999</v>
      </c>
      <c r="L733" s="2">
        <v>35163.046955999998</v>
      </c>
      <c r="M733" t="str">
        <f t="shared" si="66"/>
        <v>Washington</v>
      </c>
      <c r="N733" t="str">
        <f t="shared" si="67"/>
        <v>F</v>
      </c>
      <c r="O733" t="str">
        <f t="shared" si="68"/>
        <v>College</v>
      </c>
      <c r="P733" t="str">
        <f t="shared" si="69"/>
        <v>Personal</v>
      </c>
      <c r="Q733">
        <f t="shared" si="70"/>
        <v>2</v>
      </c>
      <c r="R733">
        <f t="shared" ca="1" si="71"/>
        <v>30</v>
      </c>
    </row>
    <row r="734" spans="1:18" x14ac:dyDescent="0.35">
      <c r="A734" t="s">
        <v>773</v>
      </c>
      <c r="B734" t="s">
        <v>5</v>
      </c>
      <c r="C734" t="s">
        <v>27</v>
      </c>
      <c r="D734" t="s">
        <v>4</v>
      </c>
      <c r="E734" s="5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 s="4">
        <v>79.865605000000002</v>
      </c>
      <c r="L734" s="2">
        <v>35079.865604999999</v>
      </c>
      <c r="M734" t="str">
        <f t="shared" si="66"/>
        <v>Arizona</v>
      </c>
      <c r="N734" t="str">
        <f t="shared" si="67"/>
        <v>M</v>
      </c>
      <c r="O734" t="str">
        <f t="shared" si="68"/>
        <v>Bachelor</v>
      </c>
      <c r="P734" t="str">
        <f t="shared" si="69"/>
        <v>Personal</v>
      </c>
      <c r="Q734">
        <f t="shared" si="70"/>
        <v>4</v>
      </c>
      <c r="R734">
        <f t="shared" ca="1" si="71"/>
        <v>30</v>
      </c>
    </row>
    <row r="735" spans="1:18" x14ac:dyDescent="0.35">
      <c r="A735" t="s">
        <v>774</v>
      </c>
      <c r="B735" t="s">
        <v>23</v>
      </c>
      <c r="C735" t="s">
        <v>27</v>
      </c>
      <c r="D735" t="s">
        <v>4</v>
      </c>
      <c r="E735" s="5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 s="4">
        <v>393.6</v>
      </c>
      <c r="L735" s="2">
        <v>35393.599999999999</v>
      </c>
      <c r="M735" t="str">
        <f t="shared" si="66"/>
        <v>Nevada</v>
      </c>
      <c r="N735" t="str">
        <f t="shared" si="67"/>
        <v>M</v>
      </c>
      <c r="O735" t="str">
        <f t="shared" si="68"/>
        <v>Bachelor</v>
      </c>
      <c r="P735" t="str">
        <f t="shared" si="69"/>
        <v>Corporate</v>
      </c>
      <c r="Q735">
        <f t="shared" si="70"/>
        <v>2</v>
      </c>
      <c r="R735">
        <f t="shared" ca="1" si="71"/>
        <v>29</v>
      </c>
    </row>
    <row r="736" spans="1:18" x14ac:dyDescent="0.35">
      <c r="A736" t="s">
        <v>775</v>
      </c>
      <c r="B736" t="s">
        <v>5</v>
      </c>
      <c r="C736" t="s">
        <v>27</v>
      </c>
      <c r="D736" t="s">
        <v>4</v>
      </c>
      <c r="E736" s="5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 s="4">
        <v>382.08589699999999</v>
      </c>
      <c r="L736" s="2">
        <v>35382.085896999997</v>
      </c>
      <c r="M736" t="str">
        <f t="shared" si="66"/>
        <v>Arizona</v>
      </c>
      <c r="N736" t="str">
        <f t="shared" si="67"/>
        <v>M</v>
      </c>
      <c r="O736" t="str">
        <f t="shared" si="68"/>
        <v>Bachelor</v>
      </c>
      <c r="P736" t="str">
        <f t="shared" si="69"/>
        <v>Personal</v>
      </c>
      <c r="Q736">
        <f t="shared" si="70"/>
        <v>4</v>
      </c>
      <c r="R736">
        <f t="shared" ca="1" si="71"/>
        <v>29</v>
      </c>
    </row>
    <row r="737" spans="1:18" x14ac:dyDescent="0.35">
      <c r="A737" t="s">
        <v>776</v>
      </c>
      <c r="B737" t="s">
        <v>5</v>
      </c>
      <c r="C737" t="s">
        <v>21</v>
      </c>
      <c r="D737" t="s">
        <v>31</v>
      </c>
      <c r="E737" s="5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 s="4">
        <v>48.348318999999996</v>
      </c>
      <c r="L737" s="2">
        <v>35048.348318999997</v>
      </c>
      <c r="M737" t="str">
        <f t="shared" si="66"/>
        <v>Arizona</v>
      </c>
      <c r="N737" t="str">
        <f t="shared" si="67"/>
        <v>F</v>
      </c>
      <c r="O737" t="str">
        <f t="shared" si="68"/>
        <v>High School or Below</v>
      </c>
      <c r="P737" t="str">
        <f t="shared" si="69"/>
        <v>Personal</v>
      </c>
      <c r="Q737">
        <f t="shared" si="70"/>
        <v>4</v>
      </c>
      <c r="R737">
        <f t="shared" ca="1" si="71"/>
        <v>30</v>
      </c>
    </row>
    <row r="738" spans="1:18" x14ac:dyDescent="0.35">
      <c r="A738" t="s">
        <v>777</v>
      </c>
      <c r="B738" t="s">
        <v>26</v>
      </c>
      <c r="C738" t="s">
        <v>27</v>
      </c>
      <c r="D738" t="s">
        <v>4</v>
      </c>
      <c r="E738" s="5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 s="4">
        <v>133.42560900000001</v>
      </c>
      <c r="L738" s="2">
        <v>35133.425608999998</v>
      </c>
      <c r="M738" t="str">
        <f t="shared" si="66"/>
        <v>California</v>
      </c>
      <c r="N738" t="str">
        <f t="shared" si="67"/>
        <v>M</v>
      </c>
      <c r="O738" t="str">
        <f t="shared" si="68"/>
        <v>Bachelor</v>
      </c>
      <c r="P738" t="str">
        <f t="shared" si="69"/>
        <v>Personal</v>
      </c>
      <c r="Q738">
        <f t="shared" si="70"/>
        <v>4</v>
      </c>
      <c r="R738">
        <f t="shared" ca="1" si="71"/>
        <v>30</v>
      </c>
    </row>
    <row r="739" spans="1:18" x14ac:dyDescent="0.35">
      <c r="A739" t="s">
        <v>778</v>
      </c>
      <c r="B739" t="s">
        <v>5</v>
      </c>
      <c r="C739" t="s">
        <v>27</v>
      </c>
      <c r="D739" t="s">
        <v>4</v>
      </c>
      <c r="E739" s="5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 s="4">
        <v>528</v>
      </c>
      <c r="L739" s="2">
        <v>35528</v>
      </c>
      <c r="M739" t="str">
        <f t="shared" si="66"/>
        <v>Arizona</v>
      </c>
      <c r="N739" t="str">
        <f t="shared" si="67"/>
        <v>M</v>
      </c>
      <c r="O739" t="str">
        <f t="shared" si="68"/>
        <v>Bachelor</v>
      </c>
      <c r="P739" t="str">
        <f t="shared" si="69"/>
        <v>Personal</v>
      </c>
      <c r="Q739">
        <f t="shared" si="70"/>
        <v>2</v>
      </c>
      <c r="R739">
        <f t="shared" ca="1" si="71"/>
        <v>29</v>
      </c>
    </row>
    <row r="740" spans="1:18" x14ac:dyDescent="0.35">
      <c r="A740" t="s">
        <v>779</v>
      </c>
      <c r="B740" t="s">
        <v>33</v>
      </c>
      <c r="C740" t="s">
        <v>21</v>
      </c>
      <c r="D740" t="s">
        <v>4</v>
      </c>
      <c r="E740" s="5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 s="4">
        <v>561.41479400000003</v>
      </c>
      <c r="L740" s="2">
        <v>35561.414793999997</v>
      </c>
      <c r="M740" t="str">
        <f t="shared" si="66"/>
        <v>Oregon</v>
      </c>
      <c r="N740" t="str">
        <f t="shared" si="67"/>
        <v>F</v>
      </c>
      <c r="O740" t="str">
        <f t="shared" si="68"/>
        <v>Bachelor</v>
      </c>
      <c r="P740" t="str">
        <f t="shared" si="69"/>
        <v>Personal</v>
      </c>
      <c r="Q740">
        <f t="shared" si="70"/>
        <v>2</v>
      </c>
      <c r="R740">
        <f t="shared" ca="1" si="71"/>
        <v>29</v>
      </c>
    </row>
    <row r="741" spans="1:18" x14ac:dyDescent="0.3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 s="4">
        <v>316.8</v>
      </c>
      <c r="L741" s="2">
        <v>35316.800000000003</v>
      </c>
      <c r="M741" t="str">
        <f t="shared" si="66"/>
        <v>California</v>
      </c>
      <c r="N741" t="str">
        <f t="shared" si="67"/>
        <v>M</v>
      </c>
      <c r="O741" t="str">
        <f t="shared" si="68"/>
        <v>College</v>
      </c>
      <c r="P741" t="str">
        <f t="shared" si="69"/>
        <v>Personal</v>
      </c>
      <c r="Q741">
        <f t="shared" si="70"/>
        <v>4</v>
      </c>
      <c r="R741">
        <f t="shared" ca="1" si="71"/>
        <v>30</v>
      </c>
    </row>
    <row r="742" spans="1:18" x14ac:dyDescent="0.3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 s="4">
        <v>445.28778799999998</v>
      </c>
      <c r="L742" s="2">
        <v>35445.287788000001</v>
      </c>
      <c r="M742" t="str">
        <f t="shared" si="66"/>
        <v>Oregon</v>
      </c>
      <c r="N742" t="str">
        <f t="shared" si="67"/>
        <v>M</v>
      </c>
      <c r="O742" t="str">
        <f t="shared" si="68"/>
        <v>College</v>
      </c>
      <c r="P742" t="str">
        <f t="shared" si="69"/>
        <v>Personal</v>
      </c>
      <c r="Q742">
        <f t="shared" si="70"/>
        <v>4</v>
      </c>
      <c r="R742">
        <f t="shared" ca="1" si="71"/>
        <v>29</v>
      </c>
    </row>
    <row r="743" spans="1:18" x14ac:dyDescent="0.35">
      <c r="A743" t="s">
        <v>782</v>
      </c>
      <c r="B743" t="s">
        <v>3</v>
      </c>
      <c r="C743" t="s">
        <v>27</v>
      </c>
      <c r="D743" t="s">
        <v>53</v>
      </c>
      <c r="E743" s="5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 s="4">
        <v>165.570243</v>
      </c>
      <c r="L743" s="2">
        <v>35165.570243000002</v>
      </c>
      <c r="M743" t="str">
        <f t="shared" si="66"/>
        <v>Washington</v>
      </c>
      <c r="N743" t="str">
        <f t="shared" si="67"/>
        <v>M</v>
      </c>
      <c r="O743" t="str">
        <f t="shared" si="68"/>
        <v>Bachelor</v>
      </c>
      <c r="P743" t="str">
        <f t="shared" si="69"/>
        <v>Personal</v>
      </c>
      <c r="Q743">
        <f t="shared" si="70"/>
        <v>2</v>
      </c>
      <c r="R743">
        <f t="shared" ca="1" si="71"/>
        <v>30</v>
      </c>
    </row>
    <row r="744" spans="1:18" x14ac:dyDescent="0.35">
      <c r="A744" t="s">
        <v>783</v>
      </c>
      <c r="B744" t="s">
        <v>33</v>
      </c>
      <c r="C744" t="s">
        <v>27</v>
      </c>
      <c r="D744" t="s">
        <v>2</v>
      </c>
      <c r="E744" s="5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 s="4">
        <v>407.99684000000002</v>
      </c>
      <c r="L744" s="2">
        <v>35407.99684</v>
      </c>
      <c r="M744" t="str">
        <f t="shared" si="66"/>
        <v>Oregon</v>
      </c>
      <c r="N744" t="str">
        <f t="shared" si="67"/>
        <v>M</v>
      </c>
      <c r="O744" t="str">
        <f t="shared" si="68"/>
        <v>Master</v>
      </c>
      <c r="P744" t="str">
        <f t="shared" si="69"/>
        <v>Corporate</v>
      </c>
      <c r="Q744">
        <f t="shared" si="70"/>
        <v>4</v>
      </c>
      <c r="R744">
        <f t="shared" ca="1" si="71"/>
        <v>29</v>
      </c>
    </row>
    <row r="745" spans="1:18" x14ac:dyDescent="0.35">
      <c r="A745" t="s">
        <v>784</v>
      </c>
      <c r="B745" t="s">
        <v>26</v>
      </c>
      <c r="C745" t="s">
        <v>21</v>
      </c>
      <c r="D745" t="s">
        <v>31</v>
      </c>
      <c r="E745" s="5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 s="4">
        <v>844.22947799999997</v>
      </c>
      <c r="L745" s="2">
        <v>35844.229478000001</v>
      </c>
      <c r="M745" t="str">
        <f t="shared" si="66"/>
        <v>California</v>
      </c>
      <c r="N745" t="str">
        <f t="shared" si="67"/>
        <v>F</v>
      </c>
      <c r="O745" t="str">
        <f t="shared" si="68"/>
        <v>High School or Below</v>
      </c>
      <c r="P745" t="str">
        <f t="shared" si="69"/>
        <v>Personal</v>
      </c>
      <c r="Q745">
        <f t="shared" si="70"/>
        <v>4</v>
      </c>
      <c r="R745">
        <f t="shared" ca="1" si="71"/>
        <v>28</v>
      </c>
    </row>
    <row r="746" spans="1:18" x14ac:dyDescent="0.35">
      <c r="A746" t="s">
        <v>785</v>
      </c>
      <c r="B746" t="s">
        <v>23</v>
      </c>
      <c r="C746" t="s">
        <v>27</v>
      </c>
      <c r="D746" t="s">
        <v>4</v>
      </c>
      <c r="E746" s="5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 s="4">
        <v>345.6</v>
      </c>
      <c r="L746" s="2">
        <v>35345.599999999999</v>
      </c>
      <c r="M746" t="str">
        <f t="shared" si="66"/>
        <v>Nevada</v>
      </c>
      <c r="N746" t="str">
        <f t="shared" si="67"/>
        <v>M</v>
      </c>
      <c r="O746" t="str">
        <f t="shared" si="68"/>
        <v>Bachelor</v>
      </c>
      <c r="P746" t="str">
        <f t="shared" si="69"/>
        <v>Personal</v>
      </c>
      <c r="Q746">
        <f t="shared" si="70"/>
        <v>4</v>
      </c>
      <c r="R746">
        <f t="shared" ca="1" si="71"/>
        <v>29</v>
      </c>
    </row>
    <row r="747" spans="1:18" x14ac:dyDescent="0.35">
      <c r="A747" t="s">
        <v>786</v>
      </c>
      <c r="B747" t="s">
        <v>33</v>
      </c>
      <c r="C747" t="s">
        <v>21</v>
      </c>
      <c r="D747" t="s">
        <v>31</v>
      </c>
      <c r="E747" s="5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 s="4">
        <v>340.30658399999999</v>
      </c>
      <c r="L747" s="2">
        <v>35340.306583999998</v>
      </c>
      <c r="M747" t="str">
        <f t="shared" si="66"/>
        <v>Oregon</v>
      </c>
      <c r="N747" t="str">
        <f t="shared" si="67"/>
        <v>F</v>
      </c>
      <c r="O747" t="str">
        <f t="shared" si="68"/>
        <v>High School or Below</v>
      </c>
      <c r="P747" t="str">
        <f t="shared" si="69"/>
        <v>Personal</v>
      </c>
      <c r="Q747">
        <f t="shared" si="70"/>
        <v>4</v>
      </c>
      <c r="R747">
        <f t="shared" ca="1" si="71"/>
        <v>29</v>
      </c>
    </row>
    <row r="748" spans="1:18" x14ac:dyDescent="0.35">
      <c r="A748" t="s">
        <v>787</v>
      </c>
      <c r="B748" t="s">
        <v>26</v>
      </c>
      <c r="C748" t="s">
        <v>21</v>
      </c>
      <c r="D748" t="s">
        <v>4</v>
      </c>
      <c r="E748" s="5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 s="4">
        <v>106.647493</v>
      </c>
      <c r="L748" s="2">
        <v>35106.647492999997</v>
      </c>
      <c r="M748" t="str">
        <f t="shared" si="66"/>
        <v>California</v>
      </c>
      <c r="N748" t="str">
        <f t="shared" si="67"/>
        <v>F</v>
      </c>
      <c r="O748" t="str">
        <f t="shared" si="68"/>
        <v>Bachelor</v>
      </c>
      <c r="P748" t="str">
        <f t="shared" si="69"/>
        <v>Personal</v>
      </c>
      <c r="Q748">
        <f t="shared" si="70"/>
        <v>2</v>
      </c>
      <c r="R748">
        <f t="shared" ca="1" si="71"/>
        <v>30</v>
      </c>
    </row>
    <row r="749" spans="1:18" x14ac:dyDescent="0.35">
      <c r="A749" t="s">
        <v>788</v>
      </c>
      <c r="B749" t="s">
        <v>102</v>
      </c>
      <c r="C749" t="s">
        <v>21</v>
      </c>
      <c r="D749" t="s">
        <v>31</v>
      </c>
      <c r="E749" s="5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 s="4">
        <v>626.11625900000001</v>
      </c>
      <c r="L749" s="2">
        <v>35626.116259000002</v>
      </c>
      <c r="M749" t="str">
        <f t="shared" si="66"/>
        <v>Washington</v>
      </c>
      <c r="N749" t="str">
        <f t="shared" si="67"/>
        <v>F</v>
      </c>
      <c r="O749" t="str">
        <f t="shared" si="68"/>
        <v>High School or Below</v>
      </c>
      <c r="P749" t="str">
        <f t="shared" si="69"/>
        <v>Personal</v>
      </c>
      <c r="Q749">
        <f t="shared" si="70"/>
        <v>4</v>
      </c>
      <c r="R749">
        <f t="shared" ca="1" si="71"/>
        <v>29</v>
      </c>
    </row>
    <row r="750" spans="1:18" x14ac:dyDescent="0.35">
      <c r="A750" t="s">
        <v>789</v>
      </c>
      <c r="B750" t="s">
        <v>23</v>
      </c>
      <c r="C750" t="s">
        <v>21</v>
      </c>
      <c r="D750" t="s">
        <v>2</v>
      </c>
      <c r="E750" s="5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 s="4">
        <v>56.60333</v>
      </c>
      <c r="L750" s="2">
        <v>35056.603329999998</v>
      </c>
      <c r="M750" t="str">
        <f t="shared" si="66"/>
        <v>Nevada</v>
      </c>
      <c r="N750" t="str">
        <f t="shared" si="67"/>
        <v>F</v>
      </c>
      <c r="O750" t="str">
        <f t="shared" si="68"/>
        <v>Master</v>
      </c>
      <c r="P750" t="str">
        <f t="shared" si="69"/>
        <v>Personal</v>
      </c>
      <c r="Q750">
        <f t="shared" si="70"/>
        <v>4</v>
      </c>
      <c r="R750">
        <f t="shared" ca="1" si="71"/>
        <v>30</v>
      </c>
    </row>
    <row r="751" spans="1:18" x14ac:dyDescent="0.35">
      <c r="A751" t="s">
        <v>790</v>
      </c>
      <c r="B751" t="s">
        <v>33</v>
      </c>
      <c r="C751" t="s">
        <v>21</v>
      </c>
      <c r="D751" t="s">
        <v>35</v>
      </c>
      <c r="E751" s="5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 s="4">
        <v>784.65781000000004</v>
      </c>
      <c r="L751" s="2">
        <v>35784.657809999997</v>
      </c>
      <c r="M751" t="str">
        <f t="shared" si="66"/>
        <v>Oregon</v>
      </c>
      <c r="N751" t="str">
        <f t="shared" si="67"/>
        <v>F</v>
      </c>
      <c r="O751" t="str">
        <f t="shared" si="68"/>
        <v>College</v>
      </c>
      <c r="P751" t="str">
        <f t="shared" si="69"/>
        <v>Special</v>
      </c>
      <c r="Q751">
        <f t="shared" si="70"/>
        <v>4</v>
      </c>
      <c r="R751">
        <f t="shared" ca="1" si="71"/>
        <v>28</v>
      </c>
    </row>
    <row r="752" spans="1:18" x14ac:dyDescent="0.3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 s="4">
        <v>441.6</v>
      </c>
      <c r="L752" s="2">
        <v>35441.599999999999</v>
      </c>
      <c r="M752" t="str">
        <f t="shared" si="66"/>
        <v>California</v>
      </c>
      <c r="N752" t="str">
        <f t="shared" si="67"/>
        <v>M</v>
      </c>
      <c r="O752" t="str">
        <f t="shared" si="68"/>
        <v>College</v>
      </c>
      <c r="P752" t="str">
        <f t="shared" si="69"/>
        <v>Personal</v>
      </c>
      <c r="Q752">
        <f t="shared" si="70"/>
        <v>4</v>
      </c>
      <c r="R752">
        <f t="shared" ca="1" si="71"/>
        <v>29</v>
      </c>
    </row>
    <row r="753" spans="1:18" x14ac:dyDescent="0.35">
      <c r="A753" t="s">
        <v>792</v>
      </c>
      <c r="B753" t="s">
        <v>102</v>
      </c>
      <c r="C753" t="s">
        <v>21</v>
      </c>
      <c r="D753" t="s">
        <v>31</v>
      </c>
      <c r="E753" s="5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 s="4">
        <v>547.20000000000005</v>
      </c>
      <c r="L753" s="2">
        <v>35547.199999999997</v>
      </c>
      <c r="M753" t="str">
        <f t="shared" si="66"/>
        <v>Washington</v>
      </c>
      <c r="N753" t="str">
        <f t="shared" si="67"/>
        <v>F</v>
      </c>
      <c r="O753" t="str">
        <f t="shared" si="68"/>
        <v>High School or Below</v>
      </c>
      <c r="P753" t="str">
        <f t="shared" si="69"/>
        <v>Personal</v>
      </c>
      <c r="Q753">
        <f t="shared" si="70"/>
        <v>2</v>
      </c>
      <c r="R753">
        <f t="shared" ca="1" si="71"/>
        <v>29</v>
      </c>
    </row>
    <row r="754" spans="1:18" x14ac:dyDescent="0.35">
      <c r="A754" t="s">
        <v>793</v>
      </c>
      <c r="B754" t="s">
        <v>5</v>
      </c>
      <c r="C754" t="s">
        <v>21</v>
      </c>
      <c r="D754" t="s">
        <v>35</v>
      </c>
      <c r="E754" s="5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 s="4">
        <v>86.277720000000002</v>
      </c>
      <c r="L754" s="2">
        <v>35086.277719999998</v>
      </c>
      <c r="M754" t="str">
        <f t="shared" si="66"/>
        <v>Arizona</v>
      </c>
      <c r="N754" t="str">
        <f t="shared" si="67"/>
        <v>F</v>
      </c>
      <c r="O754" t="str">
        <f t="shared" si="68"/>
        <v>College</v>
      </c>
      <c r="P754" t="str">
        <f t="shared" si="69"/>
        <v>Personal</v>
      </c>
      <c r="Q754">
        <f t="shared" si="70"/>
        <v>2</v>
      </c>
      <c r="R754">
        <f t="shared" ca="1" si="71"/>
        <v>30</v>
      </c>
    </row>
    <row r="755" spans="1:18" x14ac:dyDescent="0.35">
      <c r="A755" t="s">
        <v>794</v>
      </c>
      <c r="B755" t="s">
        <v>26</v>
      </c>
      <c r="C755" t="s">
        <v>21</v>
      </c>
      <c r="D755" t="s">
        <v>35</v>
      </c>
      <c r="E755" s="5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 s="4">
        <v>398.502948</v>
      </c>
      <c r="L755" s="2">
        <v>35398.502948000001</v>
      </c>
      <c r="M755" t="str">
        <f t="shared" si="66"/>
        <v>California</v>
      </c>
      <c r="N755" t="str">
        <f t="shared" si="67"/>
        <v>F</v>
      </c>
      <c r="O755" t="str">
        <f t="shared" si="68"/>
        <v>College</v>
      </c>
      <c r="P755" t="str">
        <f t="shared" si="69"/>
        <v>Special</v>
      </c>
      <c r="Q755">
        <f t="shared" si="70"/>
        <v>4</v>
      </c>
      <c r="R755">
        <f t="shared" ca="1" si="71"/>
        <v>29</v>
      </c>
    </row>
    <row r="756" spans="1:18" x14ac:dyDescent="0.35">
      <c r="A756" t="s">
        <v>795</v>
      </c>
      <c r="B756" t="s">
        <v>26</v>
      </c>
      <c r="C756" t="s">
        <v>21</v>
      </c>
      <c r="D756" t="s">
        <v>4</v>
      </c>
      <c r="E756" s="5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 s="4">
        <v>63.516571999999996</v>
      </c>
      <c r="L756" s="2">
        <v>35063.516572</v>
      </c>
      <c r="M756" t="str">
        <f t="shared" si="66"/>
        <v>California</v>
      </c>
      <c r="N756" t="str">
        <f t="shared" si="67"/>
        <v>F</v>
      </c>
      <c r="O756" t="str">
        <f t="shared" si="68"/>
        <v>Bachelor</v>
      </c>
      <c r="P756" t="str">
        <f t="shared" si="69"/>
        <v>Personal</v>
      </c>
      <c r="Q756">
        <f t="shared" si="70"/>
        <v>4</v>
      </c>
      <c r="R756">
        <f t="shared" ca="1" si="71"/>
        <v>30</v>
      </c>
    </row>
    <row r="757" spans="1:18" x14ac:dyDescent="0.35">
      <c r="A757" t="s">
        <v>796</v>
      </c>
      <c r="B757" t="s">
        <v>48</v>
      </c>
      <c r="C757" t="s">
        <v>21</v>
      </c>
      <c r="D757" t="s">
        <v>4</v>
      </c>
      <c r="E757" s="5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 s="4">
        <v>1300.8</v>
      </c>
      <c r="L757" s="2">
        <v>36300.800000000003</v>
      </c>
      <c r="M757" t="str">
        <f t="shared" si="66"/>
        <v>California</v>
      </c>
      <c r="N757" t="str">
        <f t="shared" si="67"/>
        <v>F</v>
      </c>
      <c r="O757" t="str">
        <f t="shared" si="68"/>
        <v>Bachelor</v>
      </c>
      <c r="P757" t="str">
        <f t="shared" si="69"/>
        <v>Personal</v>
      </c>
      <c r="Q757">
        <f t="shared" si="70"/>
        <v>4</v>
      </c>
      <c r="R757">
        <f t="shared" ca="1" si="71"/>
        <v>27</v>
      </c>
    </row>
    <row r="758" spans="1:18" x14ac:dyDescent="0.35">
      <c r="A758" t="s">
        <v>797</v>
      </c>
      <c r="B758" t="s">
        <v>23</v>
      </c>
      <c r="C758" t="s">
        <v>21</v>
      </c>
      <c r="D758" t="s">
        <v>35</v>
      </c>
      <c r="E758" s="5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 s="4">
        <v>120.015609</v>
      </c>
      <c r="L758" s="2">
        <v>35120.015609000002</v>
      </c>
      <c r="M758" t="str">
        <f t="shared" si="66"/>
        <v>Nevada</v>
      </c>
      <c r="N758" t="str">
        <f t="shared" si="67"/>
        <v>F</v>
      </c>
      <c r="O758" t="str">
        <f t="shared" si="68"/>
        <v>College</v>
      </c>
      <c r="P758" t="str">
        <f t="shared" si="69"/>
        <v>Personal</v>
      </c>
      <c r="Q758">
        <f t="shared" si="70"/>
        <v>4</v>
      </c>
      <c r="R758">
        <f t="shared" ca="1" si="71"/>
        <v>30</v>
      </c>
    </row>
    <row r="759" spans="1:18" x14ac:dyDescent="0.35">
      <c r="A759" t="s">
        <v>798</v>
      </c>
      <c r="B759" t="s">
        <v>5</v>
      </c>
      <c r="C759" t="s">
        <v>27</v>
      </c>
      <c r="D759" t="s">
        <v>31</v>
      </c>
      <c r="E759" s="5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 s="4">
        <v>1254.1378990000001</v>
      </c>
      <c r="L759" s="2">
        <v>36254.137899000001</v>
      </c>
      <c r="M759" t="str">
        <f t="shared" si="66"/>
        <v>Arizona</v>
      </c>
      <c r="N759" t="str">
        <f t="shared" si="67"/>
        <v>M</v>
      </c>
      <c r="O759" t="str">
        <f t="shared" si="68"/>
        <v>High School or Below</v>
      </c>
      <c r="P759" t="str">
        <f t="shared" si="69"/>
        <v>Corporate</v>
      </c>
      <c r="Q759">
        <f t="shared" si="70"/>
        <v>4</v>
      </c>
      <c r="R759">
        <f t="shared" ca="1" si="71"/>
        <v>27</v>
      </c>
    </row>
    <row r="760" spans="1:18" x14ac:dyDescent="0.35">
      <c r="A760" t="s">
        <v>799</v>
      </c>
      <c r="B760" t="s">
        <v>5</v>
      </c>
      <c r="C760" t="s">
        <v>21</v>
      </c>
      <c r="D760" t="s">
        <v>4</v>
      </c>
      <c r="E760" s="5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 s="4">
        <v>316.8</v>
      </c>
      <c r="L760" s="2">
        <v>35316.800000000003</v>
      </c>
      <c r="M760" t="str">
        <f t="shared" si="66"/>
        <v>Arizona</v>
      </c>
      <c r="N760" t="str">
        <f t="shared" si="67"/>
        <v>F</v>
      </c>
      <c r="O760" t="str">
        <f t="shared" si="68"/>
        <v>Bachelor</v>
      </c>
      <c r="P760" t="str">
        <f t="shared" si="69"/>
        <v>Personal</v>
      </c>
      <c r="Q760">
        <f t="shared" si="70"/>
        <v>4</v>
      </c>
      <c r="R760">
        <f t="shared" ca="1" si="71"/>
        <v>30</v>
      </c>
    </row>
    <row r="761" spans="1:18" x14ac:dyDescent="0.3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 s="4">
        <v>417.6</v>
      </c>
      <c r="L761" s="2">
        <v>35417.599999999999</v>
      </c>
      <c r="M761" t="str">
        <f t="shared" si="66"/>
        <v>Oregon</v>
      </c>
      <c r="N761" t="str">
        <f t="shared" si="67"/>
        <v>M</v>
      </c>
      <c r="O761" t="str">
        <f t="shared" si="68"/>
        <v>College</v>
      </c>
      <c r="P761" t="str">
        <f t="shared" si="69"/>
        <v>Personal</v>
      </c>
      <c r="Q761">
        <f t="shared" si="70"/>
        <v>4</v>
      </c>
      <c r="R761">
        <f t="shared" ca="1" si="71"/>
        <v>29</v>
      </c>
    </row>
    <row r="762" spans="1:18" x14ac:dyDescent="0.35">
      <c r="A762" t="s">
        <v>801</v>
      </c>
      <c r="B762" t="s">
        <v>102</v>
      </c>
      <c r="C762" t="s">
        <v>27</v>
      </c>
      <c r="D762" t="s">
        <v>31</v>
      </c>
      <c r="E762" s="5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 s="4">
        <v>798.00268900000003</v>
      </c>
      <c r="L762" s="2">
        <v>35798.002689000001</v>
      </c>
      <c r="M762" t="str">
        <f t="shared" si="66"/>
        <v>Washington</v>
      </c>
      <c r="N762" t="str">
        <f t="shared" si="67"/>
        <v>M</v>
      </c>
      <c r="O762" t="str">
        <f t="shared" si="68"/>
        <v>High School or Below</v>
      </c>
      <c r="P762" t="str">
        <f t="shared" si="69"/>
        <v>Corporate</v>
      </c>
      <c r="Q762">
        <f t="shared" si="70"/>
        <v>4</v>
      </c>
      <c r="R762">
        <f t="shared" ca="1" si="71"/>
        <v>28</v>
      </c>
    </row>
    <row r="763" spans="1:18" x14ac:dyDescent="0.35">
      <c r="A763" t="s">
        <v>802</v>
      </c>
      <c r="B763" t="s">
        <v>48</v>
      </c>
      <c r="C763" t="s">
        <v>21</v>
      </c>
      <c r="D763" t="s">
        <v>31</v>
      </c>
      <c r="E763" s="5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 s="4">
        <v>82.041684000000004</v>
      </c>
      <c r="L763" s="2">
        <v>35082.041684000003</v>
      </c>
      <c r="M763" t="str">
        <f t="shared" si="66"/>
        <v>California</v>
      </c>
      <c r="N763" t="str">
        <f t="shared" si="67"/>
        <v>F</v>
      </c>
      <c r="O763" t="str">
        <f t="shared" si="68"/>
        <v>High School or Below</v>
      </c>
      <c r="P763" t="str">
        <f t="shared" si="69"/>
        <v>Personal</v>
      </c>
      <c r="Q763">
        <f t="shared" si="70"/>
        <v>2</v>
      </c>
      <c r="R763">
        <f t="shared" ca="1" si="71"/>
        <v>30</v>
      </c>
    </row>
    <row r="764" spans="1:18" x14ac:dyDescent="0.35">
      <c r="A764" t="s">
        <v>803</v>
      </c>
      <c r="B764" t="s">
        <v>48</v>
      </c>
      <c r="C764" t="s">
        <v>21</v>
      </c>
      <c r="D764" t="s">
        <v>31</v>
      </c>
      <c r="E764" s="5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 s="4">
        <v>22.819088000000001</v>
      </c>
      <c r="L764" s="2">
        <v>35022.819087999997</v>
      </c>
      <c r="M764" t="str">
        <f t="shared" si="66"/>
        <v>California</v>
      </c>
      <c r="N764" t="str">
        <f t="shared" si="67"/>
        <v>F</v>
      </c>
      <c r="O764" t="str">
        <f t="shared" si="68"/>
        <v>High School or Below</v>
      </c>
      <c r="P764" t="str">
        <f t="shared" si="69"/>
        <v>Personal</v>
      </c>
      <c r="Q764">
        <f t="shared" si="70"/>
        <v>2</v>
      </c>
      <c r="R764">
        <f t="shared" ca="1" si="71"/>
        <v>30</v>
      </c>
    </row>
    <row r="765" spans="1:18" x14ac:dyDescent="0.35">
      <c r="A765" t="s">
        <v>804</v>
      </c>
      <c r="B765" t="s">
        <v>5</v>
      </c>
      <c r="C765" t="s">
        <v>27</v>
      </c>
      <c r="D765" t="s">
        <v>35</v>
      </c>
      <c r="E765" s="5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 s="4">
        <v>302.39999999999998</v>
      </c>
      <c r="L765" s="2">
        <v>35302.400000000001</v>
      </c>
      <c r="M765" t="str">
        <f t="shared" si="66"/>
        <v>Arizona</v>
      </c>
      <c r="N765" t="str">
        <f t="shared" si="67"/>
        <v>M</v>
      </c>
      <c r="O765" t="str">
        <f t="shared" si="68"/>
        <v>College</v>
      </c>
      <c r="P765" t="str">
        <f t="shared" si="69"/>
        <v>Corporate</v>
      </c>
      <c r="Q765">
        <f t="shared" si="70"/>
        <v>2</v>
      </c>
      <c r="R765">
        <f t="shared" ca="1" si="71"/>
        <v>30</v>
      </c>
    </row>
    <row r="766" spans="1:18" x14ac:dyDescent="0.3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 s="4">
        <v>422.4</v>
      </c>
      <c r="L766" s="2">
        <v>35422.400000000001</v>
      </c>
      <c r="M766" t="str">
        <f t="shared" si="66"/>
        <v>Nevada</v>
      </c>
      <c r="N766" t="str">
        <f t="shared" si="67"/>
        <v>M</v>
      </c>
      <c r="O766" t="str">
        <f t="shared" si="68"/>
        <v>High School or Below</v>
      </c>
      <c r="P766" t="str">
        <f t="shared" si="69"/>
        <v>Personal</v>
      </c>
      <c r="Q766">
        <f t="shared" si="70"/>
        <v>2</v>
      </c>
      <c r="R766">
        <f t="shared" ca="1" si="71"/>
        <v>29</v>
      </c>
    </row>
    <row r="767" spans="1:18" x14ac:dyDescent="0.35">
      <c r="A767" t="s">
        <v>806</v>
      </c>
      <c r="B767" t="s">
        <v>33</v>
      </c>
      <c r="C767" t="s">
        <v>21</v>
      </c>
      <c r="D767" t="s">
        <v>31</v>
      </c>
      <c r="E767" s="5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 s="4">
        <v>316.8</v>
      </c>
      <c r="L767" s="2">
        <v>35316.800000000003</v>
      </c>
      <c r="M767" t="str">
        <f t="shared" si="66"/>
        <v>Oregon</v>
      </c>
      <c r="N767" t="str">
        <f t="shared" si="67"/>
        <v>F</v>
      </c>
      <c r="O767" t="str">
        <f t="shared" si="68"/>
        <v>High School or Below</v>
      </c>
      <c r="P767" t="str">
        <f t="shared" si="69"/>
        <v>Personal</v>
      </c>
      <c r="Q767">
        <f t="shared" si="70"/>
        <v>4</v>
      </c>
      <c r="R767">
        <f t="shared" ca="1" si="71"/>
        <v>30</v>
      </c>
    </row>
    <row r="768" spans="1:18" x14ac:dyDescent="0.35">
      <c r="A768" t="s">
        <v>807</v>
      </c>
      <c r="B768" t="s">
        <v>33</v>
      </c>
      <c r="C768" t="s">
        <v>21</v>
      </c>
      <c r="D768" t="s">
        <v>4</v>
      </c>
      <c r="E768" s="5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 s="4">
        <v>639.97138800000005</v>
      </c>
      <c r="L768" s="2">
        <v>35639.971387999998</v>
      </c>
      <c r="M768" t="str">
        <f t="shared" si="66"/>
        <v>Oregon</v>
      </c>
      <c r="N768" t="str">
        <f t="shared" si="67"/>
        <v>F</v>
      </c>
      <c r="O768" t="str">
        <f t="shared" si="68"/>
        <v>Bachelor</v>
      </c>
      <c r="P768" t="str">
        <f t="shared" si="69"/>
        <v>Corporate</v>
      </c>
      <c r="Q768">
        <f t="shared" si="70"/>
        <v>2</v>
      </c>
      <c r="R768">
        <f t="shared" ca="1" si="71"/>
        <v>29</v>
      </c>
    </row>
    <row r="769" spans="1:18" x14ac:dyDescent="0.35">
      <c r="A769" t="s">
        <v>808</v>
      </c>
      <c r="B769" t="s">
        <v>48</v>
      </c>
      <c r="C769" t="s">
        <v>27</v>
      </c>
      <c r="D769" t="s">
        <v>35</v>
      </c>
      <c r="E769" s="5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 s="4">
        <v>489.6</v>
      </c>
      <c r="L769" s="2">
        <v>35489.599999999999</v>
      </c>
      <c r="M769" t="str">
        <f t="shared" si="66"/>
        <v>California</v>
      </c>
      <c r="N769" t="str">
        <f t="shared" si="67"/>
        <v>M</v>
      </c>
      <c r="O769" t="str">
        <f t="shared" si="68"/>
        <v>College</v>
      </c>
      <c r="P769" t="str">
        <f t="shared" si="69"/>
        <v>Personal</v>
      </c>
      <c r="Q769">
        <f t="shared" si="70"/>
        <v>2</v>
      </c>
      <c r="R769">
        <f t="shared" ca="1" si="71"/>
        <v>29</v>
      </c>
    </row>
    <row r="770" spans="1:18" x14ac:dyDescent="0.35">
      <c r="A770" t="s">
        <v>809</v>
      </c>
      <c r="B770" t="s">
        <v>48</v>
      </c>
      <c r="C770" t="s">
        <v>21</v>
      </c>
      <c r="D770" t="s">
        <v>35</v>
      </c>
      <c r="E770" s="5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 s="4">
        <v>312</v>
      </c>
      <c r="L770" s="2">
        <v>35312</v>
      </c>
      <c r="M770" t="str">
        <f t="shared" si="66"/>
        <v>California</v>
      </c>
      <c r="N770" t="str">
        <f t="shared" si="67"/>
        <v>F</v>
      </c>
      <c r="O770" t="str">
        <f t="shared" si="68"/>
        <v>College</v>
      </c>
      <c r="P770" t="str">
        <f t="shared" si="69"/>
        <v>Personal</v>
      </c>
      <c r="Q770">
        <f t="shared" si="70"/>
        <v>4</v>
      </c>
      <c r="R770">
        <f t="shared" ca="1" si="71"/>
        <v>30</v>
      </c>
    </row>
    <row r="771" spans="1:18" x14ac:dyDescent="0.35">
      <c r="A771" t="s">
        <v>810</v>
      </c>
      <c r="B771" t="s">
        <v>33</v>
      </c>
      <c r="C771" t="s">
        <v>27</v>
      </c>
      <c r="D771" t="s">
        <v>4</v>
      </c>
      <c r="E771" s="5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 s="4">
        <v>468</v>
      </c>
      <c r="L771" s="2">
        <v>35468</v>
      </c>
      <c r="M771" t="str">
        <f t="shared" ref="M771:M834" si="72">IF(OR(B771="California",B771="Cali"),"California",IF(OR(B771="Arizona",B771="AZ"),"Arizona",IF(OR(B771="Washington",B771="WA"),"Washington",B771)))</f>
        <v>Oregon</v>
      </c>
      <c r="N771" t="str">
        <f t="shared" ref="N771:N834" si="73">IF(OR(C771="F",C771="Femal",C771="female"),"F",IF(OR(C771="M",C771="Male"),"M","NA"))</f>
        <v>M</v>
      </c>
      <c r="O771" t="str">
        <f t="shared" ref="O771:O834" si="74">IF(OR(D771="Bachelor",D771="Bachelors"),"Bachelor",D771)</f>
        <v>Bachelor</v>
      </c>
      <c r="P771" t="str">
        <f t="shared" ref="P771:P834" si="75">LEFT(I771,FIND(" ",I771)-1)</f>
        <v>Corporate</v>
      </c>
      <c r="Q771">
        <f t="shared" ref="Q771:Q834" si="76">IF(OR(J771="Luxury Car",J771="Two-Door Car",J771="Sports Car"),2,IF(OR(J771="Luxury SUV",J771="SUV",J771="Four-Door Car"),4,"NA"))</f>
        <v>4</v>
      </c>
      <c r="R771">
        <f t="shared" ref="R771:R834" ca="1" si="77">DATEDIF(L771,TODAY(),"Y")</f>
        <v>29</v>
      </c>
    </row>
    <row r="772" spans="1:18" x14ac:dyDescent="0.35">
      <c r="A772" t="s">
        <v>811</v>
      </c>
      <c r="B772" t="s">
        <v>102</v>
      </c>
      <c r="C772" t="s">
        <v>21</v>
      </c>
      <c r="D772" t="s">
        <v>35</v>
      </c>
      <c r="E772" s="5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 s="4">
        <v>511.497882</v>
      </c>
      <c r="L772" s="2">
        <v>35511.497882000003</v>
      </c>
      <c r="M772" t="str">
        <f t="shared" si="72"/>
        <v>Washington</v>
      </c>
      <c r="N772" t="str">
        <f t="shared" si="73"/>
        <v>F</v>
      </c>
      <c r="O772" t="str">
        <f t="shared" si="74"/>
        <v>College</v>
      </c>
      <c r="P772" t="str">
        <f t="shared" si="75"/>
        <v>Personal</v>
      </c>
      <c r="Q772">
        <f t="shared" si="76"/>
        <v>2</v>
      </c>
      <c r="R772">
        <f t="shared" ca="1" si="77"/>
        <v>29</v>
      </c>
    </row>
    <row r="773" spans="1:18" x14ac:dyDescent="0.35">
      <c r="A773" t="s">
        <v>812</v>
      </c>
      <c r="B773" t="s">
        <v>48</v>
      </c>
      <c r="C773" t="s">
        <v>21</v>
      </c>
      <c r="D773" t="s">
        <v>4</v>
      </c>
      <c r="E773" s="5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 s="4">
        <v>494.4</v>
      </c>
      <c r="L773" s="2">
        <v>35494.400000000001</v>
      </c>
      <c r="M773" t="str">
        <f t="shared" si="72"/>
        <v>California</v>
      </c>
      <c r="N773" t="str">
        <f t="shared" si="73"/>
        <v>F</v>
      </c>
      <c r="O773" t="str">
        <f t="shared" si="74"/>
        <v>Bachelor</v>
      </c>
      <c r="P773" t="str">
        <f t="shared" si="75"/>
        <v>Personal</v>
      </c>
      <c r="Q773">
        <f t="shared" si="76"/>
        <v>2</v>
      </c>
      <c r="R773">
        <f t="shared" ca="1" si="77"/>
        <v>29</v>
      </c>
    </row>
    <row r="774" spans="1:18" x14ac:dyDescent="0.35">
      <c r="A774" t="s">
        <v>813</v>
      </c>
      <c r="B774" t="s">
        <v>23</v>
      </c>
      <c r="C774" t="s">
        <v>21</v>
      </c>
      <c r="D774" t="s">
        <v>4</v>
      </c>
      <c r="E774" s="5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 s="4">
        <v>239.540223</v>
      </c>
      <c r="L774" s="2">
        <v>35239.540223000004</v>
      </c>
      <c r="M774" t="str">
        <f t="shared" si="72"/>
        <v>Nevada</v>
      </c>
      <c r="N774" t="str">
        <f t="shared" si="73"/>
        <v>F</v>
      </c>
      <c r="O774" t="str">
        <f t="shared" si="74"/>
        <v>Bachelor</v>
      </c>
      <c r="P774" t="str">
        <f t="shared" si="75"/>
        <v>Personal</v>
      </c>
      <c r="Q774">
        <f t="shared" si="76"/>
        <v>4</v>
      </c>
      <c r="R774">
        <f t="shared" ca="1" si="77"/>
        <v>30</v>
      </c>
    </row>
    <row r="775" spans="1:18" x14ac:dyDescent="0.35">
      <c r="A775" t="s">
        <v>814</v>
      </c>
      <c r="B775" t="s">
        <v>48</v>
      </c>
      <c r="C775" t="s">
        <v>21</v>
      </c>
      <c r="D775" t="s">
        <v>35</v>
      </c>
      <c r="E775" s="5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 s="4">
        <v>518.18036400000005</v>
      </c>
      <c r="L775" s="2">
        <v>35518.180364</v>
      </c>
      <c r="M775" t="str">
        <f t="shared" si="72"/>
        <v>California</v>
      </c>
      <c r="N775" t="str">
        <f t="shared" si="73"/>
        <v>F</v>
      </c>
      <c r="O775" t="str">
        <f t="shared" si="74"/>
        <v>College</v>
      </c>
      <c r="P775" t="str">
        <f t="shared" si="75"/>
        <v>Personal</v>
      </c>
      <c r="Q775">
        <f t="shared" si="76"/>
        <v>4</v>
      </c>
      <c r="R775">
        <f t="shared" ca="1" si="77"/>
        <v>29</v>
      </c>
    </row>
    <row r="776" spans="1:18" x14ac:dyDescent="0.35">
      <c r="A776" t="s">
        <v>815</v>
      </c>
      <c r="B776" t="s">
        <v>5</v>
      </c>
      <c r="C776" t="s">
        <v>27</v>
      </c>
      <c r="D776" t="s">
        <v>4</v>
      </c>
      <c r="E776" s="5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 s="4">
        <v>715.25236600000005</v>
      </c>
      <c r="L776" s="2">
        <v>35715.252366000001</v>
      </c>
      <c r="M776" t="str">
        <f t="shared" si="72"/>
        <v>Arizona</v>
      </c>
      <c r="N776" t="str">
        <f t="shared" si="73"/>
        <v>M</v>
      </c>
      <c r="O776" t="str">
        <f t="shared" si="74"/>
        <v>Bachelor</v>
      </c>
      <c r="P776" t="str">
        <f t="shared" si="75"/>
        <v>Personal</v>
      </c>
      <c r="Q776">
        <f t="shared" si="76"/>
        <v>2</v>
      </c>
      <c r="R776">
        <f t="shared" ca="1" si="77"/>
        <v>28</v>
      </c>
    </row>
    <row r="777" spans="1:18" x14ac:dyDescent="0.35">
      <c r="A777" t="s">
        <v>816</v>
      </c>
      <c r="B777" t="s">
        <v>33</v>
      </c>
      <c r="C777" t="s">
        <v>27</v>
      </c>
      <c r="D777" t="s">
        <v>4</v>
      </c>
      <c r="E777" s="5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 s="4">
        <v>926.4</v>
      </c>
      <c r="L777" s="2">
        <v>35926.400000000001</v>
      </c>
      <c r="M777" t="str">
        <f t="shared" si="72"/>
        <v>Oregon</v>
      </c>
      <c r="N777" t="str">
        <f t="shared" si="73"/>
        <v>M</v>
      </c>
      <c r="O777" t="str">
        <f t="shared" si="74"/>
        <v>Bachelor</v>
      </c>
      <c r="P777" t="str">
        <f t="shared" si="75"/>
        <v>Corporate</v>
      </c>
      <c r="Q777">
        <f t="shared" si="76"/>
        <v>2</v>
      </c>
      <c r="R777">
        <f t="shared" ca="1" si="77"/>
        <v>28</v>
      </c>
    </row>
    <row r="778" spans="1:18" x14ac:dyDescent="0.35">
      <c r="A778" t="s">
        <v>817</v>
      </c>
      <c r="B778" t="s">
        <v>48</v>
      </c>
      <c r="C778" t="s">
        <v>21</v>
      </c>
      <c r="D778" t="s">
        <v>31</v>
      </c>
      <c r="E778" s="5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 s="4">
        <v>156.12491399999999</v>
      </c>
      <c r="L778" s="2">
        <v>35156.124914</v>
      </c>
      <c r="M778" t="str">
        <f t="shared" si="72"/>
        <v>California</v>
      </c>
      <c r="N778" t="str">
        <f t="shared" si="73"/>
        <v>F</v>
      </c>
      <c r="O778" t="str">
        <f t="shared" si="74"/>
        <v>High School or Below</v>
      </c>
      <c r="P778" t="str">
        <f t="shared" si="75"/>
        <v>Personal</v>
      </c>
      <c r="Q778">
        <f t="shared" si="76"/>
        <v>4</v>
      </c>
      <c r="R778">
        <f t="shared" ca="1" si="77"/>
        <v>30</v>
      </c>
    </row>
    <row r="779" spans="1:18" x14ac:dyDescent="0.35">
      <c r="A779" t="s">
        <v>818</v>
      </c>
      <c r="B779" t="s">
        <v>48</v>
      </c>
      <c r="C779" t="s">
        <v>27</v>
      </c>
      <c r="D779" t="s">
        <v>4</v>
      </c>
      <c r="E779" s="5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 s="4">
        <v>402.070719</v>
      </c>
      <c r="L779" s="2">
        <v>35402.070719000003</v>
      </c>
      <c r="M779" t="str">
        <f t="shared" si="72"/>
        <v>California</v>
      </c>
      <c r="N779" t="str">
        <f t="shared" si="73"/>
        <v>M</v>
      </c>
      <c r="O779" t="str">
        <f t="shared" si="74"/>
        <v>Bachelor</v>
      </c>
      <c r="P779" t="str">
        <f t="shared" si="75"/>
        <v>Corporate</v>
      </c>
      <c r="Q779">
        <f t="shared" si="76"/>
        <v>4</v>
      </c>
      <c r="R779">
        <f t="shared" ca="1" si="77"/>
        <v>29</v>
      </c>
    </row>
    <row r="780" spans="1:18" x14ac:dyDescent="0.3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 s="4">
        <v>94.814031999999997</v>
      </c>
      <c r="L780" s="2">
        <v>35094.814032000002</v>
      </c>
      <c r="M780" t="str">
        <f t="shared" si="72"/>
        <v>Oregon</v>
      </c>
      <c r="N780" t="str">
        <f t="shared" si="73"/>
        <v>M</v>
      </c>
      <c r="O780" t="str">
        <f t="shared" si="74"/>
        <v>College</v>
      </c>
      <c r="P780" t="str">
        <f t="shared" si="75"/>
        <v>Corporate</v>
      </c>
      <c r="Q780">
        <f t="shared" si="76"/>
        <v>4</v>
      </c>
      <c r="R780">
        <f t="shared" ca="1" si="77"/>
        <v>30</v>
      </c>
    </row>
    <row r="781" spans="1:18" x14ac:dyDescent="0.35">
      <c r="A781" t="s">
        <v>820</v>
      </c>
      <c r="B781" t="s">
        <v>48</v>
      </c>
      <c r="C781" t="s">
        <v>21</v>
      </c>
      <c r="D781" t="s">
        <v>31</v>
      </c>
      <c r="E781" s="5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 s="4">
        <v>456</v>
      </c>
      <c r="L781" s="2">
        <v>35456</v>
      </c>
      <c r="M781" t="str">
        <f t="shared" si="72"/>
        <v>California</v>
      </c>
      <c r="N781" t="str">
        <f t="shared" si="73"/>
        <v>F</v>
      </c>
      <c r="O781" t="str">
        <f t="shared" si="74"/>
        <v>High School or Below</v>
      </c>
      <c r="P781" t="str">
        <f t="shared" si="75"/>
        <v>Personal</v>
      </c>
      <c r="Q781">
        <f t="shared" si="76"/>
        <v>4</v>
      </c>
      <c r="R781">
        <f t="shared" ca="1" si="77"/>
        <v>29</v>
      </c>
    </row>
    <row r="782" spans="1:18" x14ac:dyDescent="0.35">
      <c r="A782" t="s">
        <v>821</v>
      </c>
      <c r="B782" t="s">
        <v>33</v>
      </c>
      <c r="C782" t="s">
        <v>27</v>
      </c>
      <c r="D782" t="s">
        <v>4</v>
      </c>
      <c r="E782" s="5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 s="4">
        <v>523.20000000000005</v>
      </c>
      <c r="L782" s="2">
        <v>35523.199999999997</v>
      </c>
      <c r="M782" t="str">
        <f t="shared" si="72"/>
        <v>Oregon</v>
      </c>
      <c r="N782" t="str">
        <f t="shared" si="73"/>
        <v>M</v>
      </c>
      <c r="O782" t="str">
        <f t="shared" si="74"/>
        <v>Bachelor</v>
      </c>
      <c r="P782" t="str">
        <f t="shared" si="75"/>
        <v>Personal</v>
      </c>
      <c r="Q782">
        <f t="shared" si="76"/>
        <v>4</v>
      </c>
      <c r="R782">
        <f t="shared" ca="1" si="77"/>
        <v>29</v>
      </c>
    </row>
    <row r="783" spans="1:18" x14ac:dyDescent="0.35">
      <c r="A783" t="s">
        <v>822</v>
      </c>
      <c r="B783" t="s">
        <v>33</v>
      </c>
      <c r="C783" t="s">
        <v>21</v>
      </c>
      <c r="D783" t="s">
        <v>31</v>
      </c>
      <c r="E783" s="5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 s="4">
        <v>571.20000000000005</v>
      </c>
      <c r="L783" s="2">
        <v>35571.199999999997</v>
      </c>
      <c r="M783" t="str">
        <f t="shared" si="72"/>
        <v>Oregon</v>
      </c>
      <c r="N783" t="str">
        <f t="shared" si="73"/>
        <v>F</v>
      </c>
      <c r="O783" t="str">
        <f t="shared" si="74"/>
        <v>High School or Below</v>
      </c>
      <c r="P783" t="str">
        <f t="shared" si="75"/>
        <v>Personal</v>
      </c>
      <c r="Q783">
        <f t="shared" si="76"/>
        <v>4</v>
      </c>
      <c r="R783">
        <f t="shared" ca="1" si="77"/>
        <v>29</v>
      </c>
    </row>
    <row r="784" spans="1:18" x14ac:dyDescent="0.35">
      <c r="A784" t="s">
        <v>823</v>
      </c>
      <c r="B784" t="s">
        <v>48</v>
      </c>
      <c r="C784" t="s">
        <v>21</v>
      </c>
      <c r="D784" t="s">
        <v>35</v>
      </c>
      <c r="E784" s="5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 s="4">
        <v>513.6</v>
      </c>
      <c r="L784" s="2">
        <v>35513.599999999999</v>
      </c>
      <c r="M784" t="str">
        <f t="shared" si="72"/>
        <v>California</v>
      </c>
      <c r="N784" t="str">
        <f t="shared" si="73"/>
        <v>F</v>
      </c>
      <c r="O784" t="str">
        <f t="shared" si="74"/>
        <v>College</v>
      </c>
      <c r="P784" t="str">
        <f t="shared" si="75"/>
        <v>Corporate</v>
      </c>
      <c r="Q784">
        <f t="shared" si="76"/>
        <v>4</v>
      </c>
      <c r="R784">
        <f t="shared" ca="1" si="77"/>
        <v>29</v>
      </c>
    </row>
    <row r="785" spans="1:18" x14ac:dyDescent="0.3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 s="4">
        <v>504</v>
      </c>
      <c r="L785" s="2">
        <v>35504</v>
      </c>
      <c r="M785" t="str">
        <f t="shared" si="72"/>
        <v>Nevada</v>
      </c>
      <c r="N785" t="str">
        <f t="shared" si="73"/>
        <v>M</v>
      </c>
      <c r="O785" t="str">
        <f t="shared" si="74"/>
        <v>College</v>
      </c>
      <c r="P785" t="str">
        <f t="shared" si="75"/>
        <v>Corporate</v>
      </c>
      <c r="Q785">
        <f t="shared" si="76"/>
        <v>4</v>
      </c>
      <c r="R785">
        <f t="shared" ca="1" si="77"/>
        <v>29</v>
      </c>
    </row>
    <row r="786" spans="1:18" x14ac:dyDescent="0.3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 s="4">
        <v>972</v>
      </c>
      <c r="L786" s="2">
        <v>35972</v>
      </c>
      <c r="M786" t="str">
        <f t="shared" si="72"/>
        <v>Oregon</v>
      </c>
      <c r="N786" t="str">
        <f t="shared" si="73"/>
        <v>M</v>
      </c>
      <c r="O786" t="str">
        <f t="shared" si="74"/>
        <v>College</v>
      </c>
      <c r="P786" t="str">
        <f t="shared" si="75"/>
        <v>Personal</v>
      </c>
      <c r="Q786">
        <f t="shared" si="76"/>
        <v>4</v>
      </c>
      <c r="R786">
        <f t="shared" ca="1" si="77"/>
        <v>28</v>
      </c>
    </row>
    <row r="787" spans="1:18" x14ac:dyDescent="0.35">
      <c r="A787" t="s">
        <v>826</v>
      </c>
      <c r="B787" t="s">
        <v>48</v>
      </c>
      <c r="C787" t="s">
        <v>21</v>
      </c>
      <c r="D787" t="s">
        <v>31</v>
      </c>
      <c r="E787" s="5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 s="4">
        <v>73.883043999999998</v>
      </c>
      <c r="L787" s="2">
        <v>35073.883044000002</v>
      </c>
      <c r="M787" t="str">
        <f t="shared" si="72"/>
        <v>California</v>
      </c>
      <c r="N787" t="str">
        <f t="shared" si="73"/>
        <v>F</v>
      </c>
      <c r="O787" t="str">
        <f t="shared" si="74"/>
        <v>High School or Below</v>
      </c>
      <c r="P787" t="str">
        <f t="shared" si="75"/>
        <v>Special</v>
      </c>
      <c r="Q787">
        <f t="shared" si="76"/>
        <v>4</v>
      </c>
      <c r="R787">
        <f t="shared" ca="1" si="77"/>
        <v>30</v>
      </c>
    </row>
    <row r="788" spans="1:18" x14ac:dyDescent="0.35">
      <c r="A788" t="s">
        <v>827</v>
      </c>
      <c r="B788" t="s">
        <v>5</v>
      </c>
      <c r="C788" t="s">
        <v>21</v>
      </c>
      <c r="D788" t="s">
        <v>35</v>
      </c>
      <c r="E788" s="5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 s="4">
        <v>340.8</v>
      </c>
      <c r="L788" s="2">
        <v>35340.800000000003</v>
      </c>
      <c r="M788" t="str">
        <f t="shared" si="72"/>
        <v>Arizona</v>
      </c>
      <c r="N788" t="str">
        <f t="shared" si="73"/>
        <v>F</v>
      </c>
      <c r="O788" t="str">
        <f t="shared" si="74"/>
        <v>College</v>
      </c>
      <c r="P788" t="str">
        <f t="shared" si="75"/>
        <v>Corporate</v>
      </c>
      <c r="Q788">
        <f t="shared" si="76"/>
        <v>4</v>
      </c>
      <c r="R788">
        <f t="shared" ca="1" si="77"/>
        <v>29</v>
      </c>
    </row>
    <row r="789" spans="1:18" x14ac:dyDescent="0.35">
      <c r="A789" t="s">
        <v>828</v>
      </c>
      <c r="B789" t="s">
        <v>23</v>
      </c>
      <c r="C789" t="s">
        <v>21</v>
      </c>
      <c r="D789" t="s">
        <v>2</v>
      </c>
      <c r="E789" s="5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 s="4">
        <v>574.02401799999996</v>
      </c>
      <c r="L789" s="2">
        <v>35574.024017999996</v>
      </c>
      <c r="M789" t="str">
        <f t="shared" si="72"/>
        <v>Nevada</v>
      </c>
      <c r="N789" t="str">
        <f t="shared" si="73"/>
        <v>F</v>
      </c>
      <c r="O789" t="str">
        <f t="shared" si="74"/>
        <v>Master</v>
      </c>
      <c r="P789" t="str">
        <f t="shared" si="75"/>
        <v>Personal</v>
      </c>
      <c r="Q789">
        <f t="shared" si="76"/>
        <v>2</v>
      </c>
      <c r="R789">
        <f t="shared" ca="1" si="77"/>
        <v>29</v>
      </c>
    </row>
    <row r="790" spans="1:18" x14ac:dyDescent="0.35">
      <c r="A790" t="s">
        <v>829</v>
      </c>
      <c r="B790" t="s">
        <v>33</v>
      </c>
      <c r="C790" t="s">
        <v>21</v>
      </c>
      <c r="D790" t="s">
        <v>35</v>
      </c>
      <c r="E790" s="5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 s="4">
        <v>632.71538199999998</v>
      </c>
      <c r="L790" s="2">
        <v>35632.715382000002</v>
      </c>
      <c r="M790" t="str">
        <f t="shared" si="72"/>
        <v>Oregon</v>
      </c>
      <c r="N790" t="str">
        <f t="shared" si="73"/>
        <v>F</v>
      </c>
      <c r="O790" t="str">
        <f t="shared" si="74"/>
        <v>College</v>
      </c>
      <c r="P790" t="str">
        <f t="shared" si="75"/>
        <v>Personal</v>
      </c>
      <c r="Q790">
        <f t="shared" si="76"/>
        <v>4</v>
      </c>
      <c r="R790">
        <f t="shared" ca="1" si="77"/>
        <v>29</v>
      </c>
    </row>
    <row r="791" spans="1:18" x14ac:dyDescent="0.35">
      <c r="A791" t="s">
        <v>830</v>
      </c>
      <c r="B791" t="s">
        <v>5</v>
      </c>
      <c r="C791" t="s">
        <v>27</v>
      </c>
      <c r="D791" t="s">
        <v>35</v>
      </c>
      <c r="E791" s="5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 s="4">
        <v>355.2</v>
      </c>
      <c r="L791" s="2">
        <v>35355.199999999997</v>
      </c>
      <c r="M791" t="str">
        <f t="shared" si="72"/>
        <v>Arizona</v>
      </c>
      <c r="N791" t="str">
        <f t="shared" si="73"/>
        <v>M</v>
      </c>
      <c r="O791" t="str">
        <f t="shared" si="74"/>
        <v>College</v>
      </c>
      <c r="P791" t="str">
        <f t="shared" si="75"/>
        <v>Special</v>
      </c>
      <c r="Q791">
        <f t="shared" si="76"/>
        <v>4</v>
      </c>
      <c r="R791">
        <f t="shared" ca="1" si="77"/>
        <v>29</v>
      </c>
    </row>
    <row r="792" spans="1:18" x14ac:dyDescent="0.35">
      <c r="A792" t="s">
        <v>831</v>
      </c>
      <c r="B792" t="s">
        <v>102</v>
      </c>
      <c r="C792" t="s">
        <v>27</v>
      </c>
      <c r="D792" t="s">
        <v>35</v>
      </c>
      <c r="E792" s="5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 s="4">
        <v>4.238626</v>
      </c>
      <c r="L792" s="2">
        <v>35004.238625999998</v>
      </c>
      <c r="M792" t="str">
        <f t="shared" si="72"/>
        <v>Washington</v>
      </c>
      <c r="N792" t="str">
        <f t="shared" si="73"/>
        <v>M</v>
      </c>
      <c r="O792" t="str">
        <f t="shared" si="74"/>
        <v>College</v>
      </c>
      <c r="P792" t="str">
        <f t="shared" si="75"/>
        <v>Personal</v>
      </c>
      <c r="Q792">
        <f t="shared" si="76"/>
        <v>4</v>
      </c>
      <c r="R792">
        <f t="shared" ca="1" si="77"/>
        <v>30</v>
      </c>
    </row>
    <row r="793" spans="1:18" x14ac:dyDescent="0.35">
      <c r="A793" t="s">
        <v>832</v>
      </c>
      <c r="B793" t="s">
        <v>48</v>
      </c>
      <c r="C793" t="s">
        <v>27</v>
      </c>
      <c r="D793" t="s">
        <v>35</v>
      </c>
      <c r="E793" s="5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 s="4">
        <v>42.248086999999998</v>
      </c>
      <c r="L793" s="2">
        <v>35042.248087</v>
      </c>
      <c r="M793" t="str">
        <f t="shared" si="72"/>
        <v>California</v>
      </c>
      <c r="N793" t="str">
        <f t="shared" si="73"/>
        <v>M</v>
      </c>
      <c r="O793" t="str">
        <f t="shared" si="74"/>
        <v>College</v>
      </c>
      <c r="P793" t="str">
        <f t="shared" si="75"/>
        <v>Personal</v>
      </c>
      <c r="Q793">
        <f t="shared" si="76"/>
        <v>2</v>
      </c>
      <c r="R793">
        <f t="shared" ca="1" si="77"/>
        <v>30</v>
      </c>
    </row>
    <row r="794" spans="1:18" x14ac:dyDescent="0.35">
      <c r="A794" t="s">
        <v>833</v>
      </c>
      <c r="B794" t="s">
        <v>5</v>
      </c>
      <c r="C794" t="s">
        <v>27</v>
      </c>
      <c r="D794" t="s">
        <v>35</v>
      </c>
      <c r="E794" s="5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 s="4">
        <v>739.2</v>
      </c>
      <c r="L794" s="2">
        <v>35739.199999999997</v>
      </c>
      <c r="M794" t="str">
        <f t="shared" si="72"/>
        <v>Arizona</v>
      </c>
      <c r="N794" t="str">
        <f t="shared" si="73"/>
        <v>M</v>
      </c>
      <c r="O794" t="str">
        <f t="shared" si="74"/>
        <v>College</v>
      </c>
      <c r="P794" t="str">
        <f t="shared" si="75"/>
        <v>Personal</v>
      </c>
      <c r="Q794">
        <f t="shared" si="76"/>
        <v>2</v>
      </c>
      <c r="R794">
        <f t="shared" ca="1" si="77"/>
        <v>28</v>
      </c>
    </row>
    <row r="795" spans="1:18" x14ac:dyDescent="0.35">
      <c r="A795" t="s">
        <v>834</v>
      </c>
      <c r="B795" t="s">
        <v>5</v>
      </c>
      <c r="C795" t="s">
        <v>21</v>
      </c>
      <c r="D795" t="s">
        <v>35</v>
      </c>
      <c r="E795" s="5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 s="4">
        <v>27.145150999999998</v>
      </c>
      <c r="L795" s="2">
        <v>35027.145150999997</v>
      </c>
      <c r="M795" t="str">
        <f t="shared" si="72"/>
        <v>Arizona</v>
      </c>
      <c r="N795" t="str">
        <f t="shared" si="73"/>
        <v>F</v>
      </c>
      <c r="O795" t="str">
        <f t="shared" si="74"/>
        <v>College</v>
      </c>
      <c r="P795" t="str">
        <f t="shared" si="75"/>
        <v>Personal</v>
      </c>
      <c r="Q795">
        <f t="shared" si="76"/>
        <v>2</v>
      </c>
      <c r="R795">
        <f t="shared" ca="1" si="77"/>
        <v>30</v>
      </c>
    </row>
    <row r="796" spans="1:18" x14ac:dyDescent="0.35">
      <c r="A796" t="s">
        <v>835</v>
      </c>
      <c r="B796" t="s">
        <v>5</v>
      </c>
      <c r="C796" t="s">
        <v>21</v>
      </c>
      <c r="D796" t="s">
        <v>2</v>
      </c>
      <c r="E796" s="5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 s="4">
        <v>270.00276600000001</v>
      </c>
      <c r="L796" s="2">
        <v>35270.002765999998</v>
      </c>
      <c r="M796" t="str">
        <f t="shared" si="72"/>
        <v>Arizona</v>
      </c>
      <c r="N796" t="str">
        <f t="shared" si="73"/>
        <v>F</v>
      </c>
      <c r="O796" t="str">
        <f t="shared" si="74"/>
        <v>Master</v>
      </c>
      <c r="P796" t="str">
        <f t="shared" si="75"/>
        <v>Personal</v>
      </c>
      <c r="Q796">
        <f t="shared" si="76"/>
        <v>4</v>
      </c>
      <c r="R796">
        <f t="shared" ca="1" si="77"/>
        <v>30</v>
      </c>
    </row>
    <row r="797" spans="1:18" x14ac:dyDescent="0.35">
      <c r="A797" t="s">
        <v>836</v>
      </c>
      <c r="B797" t="s">
        <v>33</v>
      </c>
      <c r="C797" t="s">
        <v>21</v>
      </c>
      <c r="D797" t="s">
        <v>31</v>
      </c>
      <c r="E797" s="5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 s="4">
        <v>292.8</v>
      </c>
      <c r="L797" s="2">
        <v>35292.800000000003</v>
      </c>
      <c r="M797" t="str">
        <f t="shared" si="72"/>
        <v>Oregon</v>
      </c>
      <c r="N797" t="str">
        <f t="shared" si="73"/>
        <v>F</v>
      </c>
      <c r="O797" t="str">
        <f t="shared" si="74"/>
        <v>High School or Below</v>
      </c>
      <c r="P797" t="str">
        <f t="shared" si="75"/>
        <v>Personal</v>
      </c>
      <c r="Q797">
        <f t="shared" si="76"/>
        <v>4</v>
      </c>
      <c r="R797">
        <f t="shared" ca="1" si="77"/>
        <v>30</v>
      </c>
    </row>
    <row r="798" spans="1:18" x14ac:dyDescent="0.35">
      <c r="A798" t="s">
        <v>837</v>
      </c>
      <c r="B798" t="s">
        <v>23</v>
      </c>
      <c r="C798" t="s">
        <v>21</v>
      </c>
      <c r="D798" t="s">
        <v>4</v>
      </c>
      <c r="E798" s="5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 s="4">
        <v>494.946438</v>
      </c>
      <c r="L798" s="2">
        <v>35494.946437999999</v>
      </c>
      <c r="M798" t="str">
        <f t="shared" si="72"/>
        <v>Nevada</v>
      </c>
      <c r="N798" t="str">
        <f t="shared" si="73"/>
        <v>F</v>
      </c>
      <c r="O798" t="str">
        <f t="shared" si="74"/>
        <v>Bachelor</v>
      </c>
      <c r="P798" t="str">
        <f t="shared" si="75"/>
        <v>Personal</v>
      </c>
      <c r="Q798">
        <f t="shared" si="76"/>
        <v>4</v>
      </c>
      <c r="R798">
        <f t="shared" ca="1" si="77"/>
        <v>29</v>
      </c>
    </row>
    <row r="799" spans="1:18" x14ac:dyDescent="0.35">
      <c r="A799" t="s">
        <v>838</v>
      </c>
      <c r="B799" t="s">
        <v>102</v>
      </c>
      <c r="C799" t="s">
        <v>21</v>
      </c>
      <c r="D799" t="s">
        <v>4</v>
      </c>
      <c r="E799" s="5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 s="4">
        <v>142.56700799999999</v>
      </c>
      <c r="L799" s="2">
        <v>35142.567007999998</v>
      </c>
      <c r="M799" t="str">
        <f t="shared" si="72"/>
        <v>Washington</v>
      </c>
      <c r="N799" t="str">
        <f t="shared" si="73"/>
        <v>F</v>
      </c>
      <c r="O799" t="str">
        <f t="shared" si="74"/>
        <v>Bachelor</v>
      </c>
      <c r="P799" t="str">
        <f t="shared" si="75"/>
        <v>Personal</v>
      </c>
      <c r="Q799">
        <f t="shared" si="76"/>
        <v>4</v>
      </c>
      <c r="R799">
        <f t="shared" ca="1" si="77"/>
        <v>30</v>
      </c>
    </row>
    <row r="800" spans="1:18" x14ac:dyDescent="0.35">
      <c r="A800" t="s">
        <v>839</v>
      </c>
      <c r="B800" t="s">
        <v>48</v>
      </c>
      <c r="C800" t="s">
        <v>27</v>
      </c>
      <c r="D800" t="s">
        <v>35</v>
      </c>
      <c r="E800" s="5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 s="4">
        <v>425.26630799999998</v>
      </c>
      <c r="L800" s="2">
        <v>35425.266307999998</v>
      </c>
      <c r="M800" t="str">
        <f t="shared" si="72"/>
        <v>California</v>
      </c>
      <c r="N800" t="str">
        <f t="shared" si="73"/>
        <v>M</v>
      </c>
      <c r="O800" t="str">
        <f t="shared" si="74"/>
        <v>College</v>
      </c>
      <c r="P800" t="str">
        <f t="shared" si="75"/>
        <v>Personal</v>
      </c>
      <c r="Q800">
        <f t="shared" si="76"/>
        <v>4</v>
      </c>
      <c r="R800">
        <f t="shared" ca="1" si="77"/>
        <v>29</v>
      </c>
    </row>
    <row r="801" spans="1:18" x14ac:dyDescent="0.3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 s="4">
        <v>312</v>
      </c>
      <c r="L801" s="2">
        <v>35312</v>
      </c>
      <c r="M801" t="str">
        <f t="shared" si="72"/>
        <v>Oregon</v>
      </c>
      <c r="N801" t="str">
        <f t="shared" si="73"/>
        <v>M</v>
      </c>
      <c r="O801" t="str">
        <f t="shared" si="74"/>
        <v>College</v>
      </c>
      <c r="P801" t="str">
        <f t="shared" si="75"/>
        <v>Personal</v>
      </c>
      <c r="Q801">
        <f t="shared" si="76"/>
        <v>2</v>
      </c>
      <c r="R801">
        <f t="shared" ca="1" si="77"/>
        <v>30</v>
      </c>
    </row>
    <row r="802" spans="1:18" x14ac:dyDescent="0.35">
      <c r="A802" t="s">
        <v>841</v>
      </c>
      <c r="B802" t="s">
        <v>33</v>
      </c>
      <c r="C802" t="s">
        <v>21</v>
      </c>
      <c r="D802" t="s">
        <v>35</v>
      </c>
      <c r="E802" s="5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 s="4">
        <v>326.39999999999998</v>
      </c>
      <c r="L802" s="2">
        <v>35326.400000000001</v>
      </c>
      <c r="M802" t="str">
        <f t="shared" si="72"/>
        <v>Oregon</v>
      </c>
      <c r="N802" t="str">
        <f t="shared" si="73"/>
        <v>F</v>
      </c>
      <c r="O802" t="str">
        <f t="shared" si="74"/>
        <v>College</v>
      </c>
      <c r="P802" t="str">
        <f t="shared" si="75"/>
        <v>Personal</v>
      </c>
      <c r="Q802">
        <f t="shared" si="76"/>
        <v>4</v>
      </c>
      <c r="R802">
        <f t="shared" ca="1" si="77"/>
        <v>29</v>
      </c>
    </row>
    <row r="803" spans="1:18" x14ac:dyDescent="0.35">
      <c r="A803" t="s">
        <v>842</v>
      </c>
      <c r="B803" t="s">
        <v>33</v>
      </c>
      <c r="C803" t="s">
        <v>21</v>
      </c>
      <c r="D803" t="s">
        <v>4</v>
      </c>
      <c r="E803" s="5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 s="4">
        <v>251.334247</v>
      </c>
      <c r="L803" s="2">
        <v>35251.334246999999</v>
      </c>
      <c r="M803" t="str">
        <f t="shared" si="72"/>
        <v>Oregon</v>
      </c>
      <c r="N803" t="str">
        <f t="shared" si="73"/>
        <v>F</v>
      </c>
      <c r="O803" t="str">
        <f t="shared" si="74"/>
        <v>Bachelor</v>
      </c>
      <c r="P803" t="str">
        <f t="shared" si="75"/>
        <v>Personal</v>
      </c>
      <c r="Q803">
        <f t="shared" si="76"/>
        <v>4</v>
      </c>
      <c r="R803">
        <f t="shared" ca="1" si="77"/>
        <v>30</v>
      </c>
    </row>
    <row r="804" spans="1:18" x14ac:dyDescent="0.35">
      <c r="A804" t="s">
        <v>843</v>
      </c>
      <c r="B804" t="s">
        <v>48</v>
      </c>
      <c r="C804" t="s">
        <v>21</v>
      </c>
      <c r="D804" t="s">
        <v>31</v>
      </c>
      <c r="E804" s="5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 s="4">
        <v>369.81870800000002</v>
      </c>
      <c r="L804" s="2">
        <v>35369.818707999999</v>
      </c>
      <c r="M804" t="str">
        <f t="shared" si="72"/>
        <v>California</v>
      </c>
      <c r="N804" t="str">
        <f t="shared" si="73"/>
        <v>F</v>
      </c>
      <c r="O804" t="str">
        <f t="shared" si="74"/>
        <v>High School or Below</v>
      </c>
      <c r="P804" t="str">
        <f t="shared" si="75"/>
        <v>Personal</v>
      </c>
      <c r="Q804">
        <f t="shared" si="76"/>
        <v>4</v>
      </c>
      <c r="R804">
        <f t="shared" ca="1" si="77"/>
        <v>29</v>
      </c>
    </row>
    <row r="805" spans="1:18" x14ac:dyDescent="0.35">
      <c r="A805" t="s">
        <v>844</v>
      </c>
      <c r="B805" t="s">
        <v>33</v>
      </c>
      <c r="C805" t="s">
        <v>21</v>
      </c>
      <c r="D805" t="s">
        <v>35</v>
      </c>
      <c r="E805" s="5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 s="4">
        <v>161.41952800000001</v>
      </c>
      <c r="L805" s="2">
        <v>35161.419527999999</v>
      </c>
      <c r="M805" t="str">
        <f t="shared" si="72"/>
        <v>Oregon</v>
      </c>
      <c r="N805" t="str">
        <f t="shared" si="73"/>
        <v>F</v>
      </c>
      <c r="O805" t="str">
        <f t="shared" si="74"/>
        <v>College</v>
      </c>
      <c r="P805" t="str">
        <f t="shared" si="75"/>
        <v>Corporate</v>
      </c>
      <c r="Q805">
        <f t="shared" si="76"/>
        <v>4</v>
      </c>
      <c r="R805">
        <f t="shared" ca="1" si="77"/>
        <v>30</v>
      </c>
    </row>
    <row r="806" spans="1:18" x14ac:dyDescent="0.35">
      <c r="A806" t="s">
        <v>845</v>
      </c>
      <c r="B806" t="s">
        <v>33</v>
      </c>
      <c r="C806" t="s">
        <v>21</v>
      </c>
      <c r="D806" t="s">
        <v>31</v>
      </c>
      <c r="E806" s="5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 s="4">
        <v>537.6</v>
      </c>
      <c r="L806" s="2">
        <v>35537.599999999999</v>
      </c>
      <c r="M806" t="str">
        <f t="shared" si="72"/>
        <v>Oregon</v>
      </c>
      <c r="N806" t="str">
        <f t="shared" si="73"/>
        <v>F</v>
      </c>
      <c r="O806" t="str">
        <f t="shared" si="74"/>
        <v>High School or Below</v>
      </c>
      <c r="P806" t="str">
        <f t="shared" si="75"/>
        <v>Corporate</v>
      </c>
      <c r="Q806">
        <f t="shared" si="76"/>
        <v>4</v>
      </c>
      <c r="R806">
        <f t="shared" ca="1" si="77"/>
        <v>29</v>
      </c>
    </row>
    <row r="807" spans="1:18" x14ac:dyDescent="0.3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 s="4">
        <v>292.8</v>
      </c>
      <c r="L807" s="2">
        <v>35292.800000000003</v>
      </c>
      <c r="M807" t="str">
        <f t="shared" si="72"/>
        <v>Nevada</v>
      </c>
      <c r="N807" t="str">
        <f t="shared" si="73"/>
        <v>M</v>
      </c>
      <c r="O807" t="str">
        <f t="shared" si="74"/>
        <v>High School or Below</v>
      </c>
      <c r="P807" t="str">
        <f t="shared" si="75"/>
        <v>Special</v>
      </c>
      <c r="Q807">
        <f t="shared" si="76"/>
        <v>4</v>
      </c>
      <c r="R807">
        <f t="shared" ca="1" si="77"/>
        <v>30</v>
      </c>
    </row>
    <row r="808" spans="1:18" x14ac:dyDescent="0.35">
      <c r="A808" t="s">
        <v>847</v>
      </c>
      <c r="B808" t="s">
        <v>48</v>
      </c>
      <c r="C808" t="s">
        <v>21</v>
      </c>
      <c r="D808" t="s">
        <v>31</v>
      </c>
      <c r="E808" s="5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 s="4">
        <v>312</v>
      </c>
      <c r="L808" s="2">
        <v>35312</v>
      </c>
      <c r="M808" t="str">
        <f t="shared" si="72"/>
        <v>California</v>
      </c>
      <c r="N808" t="str">
        <f t="shared" si="73"/>
        <v>F</v>
      </c>
      <c r="O808" t="str">
        <f t="shared" si="74"/>
        <v>High School or Below</v>
      </c>
      <c r="P808" t="str">
        <f t="shared" si="75"/>
        <v>Personal</v>
      </c>
      <c r="Q808">
        <f t="shared" si="76"/>
        <v>4</v>
      </c>
      <c r="R808">
        <f t="shared" ca="1" si="77"/>
        <v>30</v>
      </c>
    </row>
    <row r="809" spans="1:18" x14ac:dyDescent="0.35">
      <c r="A809" t="s">
        <v>848</v>
      </c>
      <c r="B809" t="s">
        <v>5</v>
      </c>
      <c r="C809" t="s">
        <v>27</v>
      </c>
      <c r="D809" t="s">
        <v>4</v>
      </c>
      <c r="E809" s="5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 s="4">
        <v>255.999709</v>
      </c>
      <c r="L809" s="2">
        <v>35255.999709000003</v>
      </c>
      <c r="M809" t="str">
        <f t="shared" si="72"/>
        <v>Arizona</v>
      </c>
      <c r="N809" t="str">
        <f t="shared" si="73"/>
        <v>M</v>
      </c>
      <c r="O809" t="str">
        <f t="shared" si="74"/>
        <v>Bachelor</v>
      </c>
      <c r="P809" t="str">
        <f t="shared" si="75"/>
        <v>Corporate</v>
      </c>
      <c r="Q809">
        <f t="shared" si="76"/>
        <v>4</v>
      </c>
      <c r="R809">
        <f t="shared" ca="1" si="77"/>
        <v>30</v>
      </c>
    </row>
    <row r="810" spans="1:18" x14ac:dyDescent="0.35">
      <c r="A810" t="s">
        <v>849</v>
      </c>
      <c r="B810" t="s">
        <v>5</v>
      </c>
      <c r="C810" t="s">
        <v>21</v>
      </c>
      <c r="D810" t="s">
        <v>4</v>
      </c>
      <c r="E810" s="5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 s="4">
        <v>484.8</v>
      </c>
      <c r="L810" s="2">
        <v>35484.800000000003</v>
      </c>
      <c r="M810" t="str">
        <f t="shared" si="72"/>
        <v>Arizona</v>
      </c>
      <c r="N810" t="str">
        <f t="shared" si="73"/>
        <v>F</v>
      </c>
      <c r="O810" t="str">
        <f t="shared" si="74"/>
        <v>Bachelor</v>
      </c>
      <c r="P810" t="str">
        <f t="shared" si="75"/>
        <v>Special</v>
      </c>
      <c r="Q810">
        <f t="shared" si="76"/>
        <v>4</v>
      </c>
      <c r="R810">
        <f t="shared" ca="1" si="77"/>
        <v>29</v>
      </c>
    </row>
    <row r="811" spans="1:18" x14ac:dyDescent="0.35">
      <c r="A811" t="s">
        <v>850</v>
      </c>
      <c r="B811" t="s">
        <v>48</v>
      </c>
      <c r="C811" t="s">
        <v>21</v>
      </c>
      <c r="D811" t="s">
        <v>4</v>
      </c>
      <c r="E811" s="5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 s="4">
        <v>61.769564000000003</v>
      </c>
      <c r="L811" s="2">
        <v>35061.769564000002</v>
      </c>
      <c r="M811" t="str">
        <f t="shared" si="72"/>
        <v>California</v>
      </c>
      <c r="N811" t="str">
        <f t="shared" si="73"/>
        <v>F</v>
      </c>
      <c r="O811" t="str">
        <f t="shared" si="74"/>
        <v>Bachelor</v>
      </c>
      <c r="P811" t="str">
        <f t="shared" si="75"/>
        <v>Special</v>
      </c>
      <c r="Q811">
        <f t="shared" si="76"/>
        <v>4</v>
      </c>
      <c r="R811">
        <f t="shared" ca="1" si="77"/>
        <v>30</v>
      </c>
    </row>
    <row r="812" spans="1:18" x14ac:dyDescent="0.35">
      <c r="A812" t="s">
        <v>851</v>
      </c>
      <c r="B812" t="s">
        <v>33</v>
      </c>
      <c r="C812" t="s">
        <v>27</v>
      </c>
      <c r="D812" t="s">
        <v>4</v>
      </c>
      <c r="E812" s="5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 s="4">
        <v>1310.4000000000001</v>
      </c>
      <c r="L812" s="2">
        <v>36310.400000000001</v>
      </c>
      <c r="M812" t="str">
        <f t="shared" si="72"/>
        <v>Oregon</v>
      </c>
      <c r="N812" t="str">
        <f t="shared" si="73"/>
        <v>M</v>
      </c>
      <c r="O812" t="str">
        <f t="shared" si="74"/>
        <v>Bachelor</v>
      </c>
      <c r="P812" t="str">
        <f t="shared" si="75"/>
        <v>Personal</v>
      </c>
      <c r="Q812">
        <f t="shared" si="76"/>
        <v>2</v>
      </c>
      <c r="R812">
        <f t="shared" ca="1" si="77"/>
        <v>27</v>
      </c>
    </row>
    <row r="813" spans="1:18" x14ac:dyDescent="0.35">
      <c r="A813" t="s">
        <v>852</v>
      </c>
      <c r="B813" t="s">
        <v>102</v>
      </c>
      <c r="C813" t="s">
        <v>27</v>
      </c>
      <c r="D813" t="s">
        <v>4</v>
      </c>
      <c r="E813" s="5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 s="4">
        <v>250.00142399999999</v>
      </c>
      <c r="L813" s="2">
        <v>35250.001424000002</v>
      </c>
      <c r="M813" t="str">
        <f t="shared" si="72"/>
        <v>Washington</v>
      </c>
      <c r="N813" t="str">
        <f t="shared" si="73"/>
        <v>M</v>
      </c>
      <c r="O813" t="str">
        <f t="shared" si="74"/>
        <v>Bachelor</v>
      </c>
      <c r="P813" t="str">
        <f t="shared" si="75"/>
        <v>Personal</v>
      </c>
      <c r="Q813">
        <f t="shared" si="76"/>
        <v>4</v>
      </c>
      <c r="R813">
        <f t="shared" ca="1" si="77"/>
        <v>30</v>
      </c>
    </row>
    <row r="814" spans="1:18" x14ac:dyDescent="0.35">
      <c r="A814" t="s">
        <v>853</v>
      </c>
      <c r="B814" t="s">
        <v>5</v>
      </c>
      <c r="C814" t="s">
        <v>27</v>
      </c>
      <c r="D814" t="s">
        <v>80</v>
      </c>
      <c r="E814" s="5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 s="4">
        <v>141.79942199999999</v>
      </c>
      <c r="L814" s="2">
        <v>35141.799421999996</v>
      </c>
      <c r="M814" t="str">
        <f t="shared" si="72"/>
        <v>Arizona</v>
      </c>
      <c r="N814" t="str">
        <f t="shared" si="73"/>
        <v>M</v>
      </c>
      <c r="O814" t="str">
        <f t="shared" si="74"/>
        <v>Doctor</v>
      </c>
      <c r="P814" t="str">
        <f t="shared" si="75"/>
        <v>Personal</v>
      </c>
      <c r="Q814">
        <f t="shared" si="76"/>
        <v>4</v>
      </c>
      <c r="R814">
        <f t="shared" ca="1" si="77"/>
        <v>30</v>
      </c>
    </row>
    <row r="815" spans="1:18" x14ac:dyDescent="0.35">
      <c r="A815" t="s">
        <v>854</v>
      </c>
      <c r="B815" t="s">
        <v>5</v>
      </c>
      <c r="C815" t="s">
        <v>27</v>
      </c>
      <c r="D815" t="s">
        <v>31</v>
      </c>
      <c r="E815" s="5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 s="4">
        <v>321.60000000000002</v>
      </c>
      <c r="L815" s="2">
        <v>35321.599999999999</v>
      </c>
      <c r="M815" t="str">
        <f t="shared" si="72"/>
        <v>Arizona</v>
      </c>
      <c r="N815" t="str">
        <f t="shared" si="73"/>
        <v>M</v>
      </c>
      <c r="O815" t="str">
        <f t="shared" si="74"/>
        <v>High School or Below</v>
      </c>
      <c r="P815" t="str">
        <f t="shared" si="75"/>
        <v>Personal</v>
      </c>
      <c r="Q815">
        <f t="shared" si="76"/>
        <v>2</v>
      </c>
      <c r="R815">
        <f t="shared" ca="1" si="77"/>
        <v>29</v>
      </c>
    </row>
    <row r="816" spans="1:18" x14ac:dyDescent="0.35">
      <c r="A816" t="s">
        <v>855</v>
      </c>
      <c r="B816" t="s">
        <v>102</v>
      </c>
      <c r="C816" t="s">
        <v>27</v>
      </c>
      <c r="D816" t="s">
        <v>31</v>
      </c>
      <c r="E816" s="5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 s="4">
        <v>49.797015999999999</v>
      </c>
      <c r="L816" s="2">
        <v>35049.797015999997</v>
      </c>
      <c r="M816" t="str">
        <f t="shared" si="72"/>
        <v>Washington</v>
      </c>
      <c r="N816" t="str">
        <f t="shared" si="73"/>
        <v>M</v>
      </c>
      <c r="O816" t="str">
        <f t="shared" si="74"/>
        <v>High School or Below</v>
      </c>
      <c r="P816" t="str">
        <f t="shared" si="75"/>
        <v>Special</v>
      </c>
      <c r="Q816">
        <f t="shared" si="76"/>
        <v>4</v>
      </c>
      <c r="R816">
        <f t="shared" ca="1" si="77"/>
        <v>30</v>
      </c>
    </row>
    <row r="817" spans="1:18" x14ac:dyDescent="0.35">
      <c r="A817" t="s">
        <v>856</v>
      </c>
      <c r="B817" t="s">
        <v>48</v>
      </c>
      <c r="C817" t="s">
        <v>27</v>
      </c>
      <c r="D817" t="s">
        <v>2</v>
      </c>
      <c r="E817" s="5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 s="4">
        <v>372.17559199999999</v>
      </c>
      <c r="L817" s="2">
        <v>35372.175592</v>
      </c>
      <c r="M817" t="str">
        <f t="shared" si="72"/>
        <v>California</v>
      </c>
      <c r="N817" t="str">
        <f t="shared" si="73"/>
        <v>M</v>
      </c>
      <c r="O817" t="str">
        <f t="shared" si="74"/>
        <v>Master</v>
      </c>
      <c r="P817" t="str">
        <f t="shared" si="75"/>
        <v>Personal</v>
      </c>
      <c r="Q817">
        <f t="shared" si="76"/>
        <v>4</v>
      </c>
      <c r="R817">
        <f t="shared" ca="1" si="77"/>
        <v>29</v>
      </c>
    </row>
    <row r="818" spans="1:18" x14ac:dyDescent="0.35">
      <c r="A818" t="s">
        <v>857</v>
      </c>
      <c r="B818" t="s">
        <v>33</v>
      </c>
      <c r="C818" t="s">
        <v>21</v>
      </c>
      <c r="D818" t="s">
        <v>35</v>
      </c>
      <c r="E818" s="5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 s="4">
        <v>542.14385000000004</v>
      </c>
      <c r="L818" s="2">
        <v>35542.14385</v>
      </c>
      <c r="M818" t="str">
        <f t="shared" si="72"/>
        <v>Oregon</v>
      </c>
      <c r="N818" t="str">
        <f t="shared" si="73"/>
        <v>F</v>
      </c>
      <c r="O818" t="str">
        <f t="shared" si="74"/>
        <v>College</v>
      </c>
      <c r="P818" t="str">
        <f t="shared" si="75"/>
        <v>Personal</v>
      </c>
      <c r="Q818">
        <f t="shared" si="76"/>
        <v>4</v>
      </c>
      <c r="R818">
        <f t="shared" ca="1" si="77"/>
        <v>29</v>
      </c>
    </row>
    <row r="819" spans="1:18" x14ac:dyDescent="0.35">
      <c r="A819" t="s">
        <v>858</v>
      </c>
      <c r="B819" t="s">
        <v>48</v>
      </c>
      <c r="C819" t="s">
        <v>27</v>
      </c>
      <c r="D819" t="s">
        <v>4</v>
      </c>
      <c r="E819" s="5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 s="4">
        <v>1360.8</v>
      </c>
      <c r="L819" s="2">
        <v>36360.800000000003</v>
      </c>
      <c r="M819" t="str">
        <f t="shared" si="72"/>
        <v>California</v>
      </c>
      <c r="N819" t="str">
        <f t="shared" si="73"/>
        <v>M</v>
      </c>
      <c r="O819" t="str">
        <f t="shared" si="74"/>
        <v>Bachelor</v>
      </c>
      <c r="P819" t="str">
        <f t="shared" si="75"/>
        <v>Personal</v>
      </c>
      <c r="Q819">
        <f t="shared" si="76"/>
        <v>2</v>
      </c>
      <c r="R819">
        <f t="shared" ca="1" si="77"/>
        <v>27</v>
      </c>
    </row>
    <row r="820" spans="1:18" x14ac:dyDescent="0.35">
      <c r="A820" t="s">
        <v>859</v>
      </c>
      <c r="B820" t="s">
        <v>48</v>
      </c>
      <c r="C820" t="s">
        <v>27</v>
      </c>
      <c r="D820" t="s">
        <v>35</v>
      </c>
      <c r="E820" s="5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 s="4">
        <v>504</v>
      </c>
      <c r="L820" s="2">
        <v>35504</v>
      </c>
      <c r="M820" t="str">
        <f t="shared" si="72"/>
        <v>California</v>
      </c>
      <c r="N820" t="str">
        <f t="shared" si="73"/>
        <v>M</v>
      </c>
      <c r="O820" t="str">
        <f t="shared" si="74"/>
        <v>College</v>
      </c>
      <c r="P820" t="str">
        <f t="shared" si="75"/>
        <v>Personal</v>
      </c>
      <c r="Q820">
        <f t="shared" si="76"/>
        <v>4</v>
      </c>
      <c r="R820">
        <f t="shared" ca="1" si="77"/>
        <v>29</v>
      </c>
    </row>
    <row r="821" spans="1:18" x14ac:dyDescent="0.35">
      <c r="A821" t="s">
        <v>860</v>
      </c>
      <c r="B821" t="s">
        <v>33</v>
      </c>
      <c r="C821" t="s">
        <v>21</v>
      </c>
      <c r="D821" t="s">
        <v>4</v>
      </c>
      <c r="E821" s="5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 s="4">
        <v>768</v>
      </c>
      <c r="L821" s="2">
        <v>35768</v>
      </c>
      <c r="M821" t="str">
        <f t="shared" si="72"/>
        <v>Oregon</v>
      </c>
      <c r="N821" t="str">
        <f t="shared" si="73"/>
        <v>F</v>
      </c>
      <c r="O821" t="str">
        <f t="shared" si="74"/>
        <v>Bachelor</v>
      </c>
      <c r="P821" t="str">
        <f t="shared" si="75"/>
        <v>Personal</v>
      </c>
      <c r="Q821">
        <f t="shared" si="76"/>
        <v>4</v>
      </c>
      <c r="R821">
        <f t="shared" ca="1" si="77"/>
        <v>28</v>
      </c>
    </row>
    <row r="822" spans="1:18" x14ac:dyDescent="0.35">
      <c r="A822" t="s">
        <v>861</v>
      </c>
      <c r="B822" t="s">
        <v>102</v>
      </c>
      <c r="C822" t="s">
        <v>21</v>
      </c>
      <c r="D822" t="s">
        <v>31</v>
      </c>
      <c r="E822" s="5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 s="4">
        <v>72.632934000000006</v>
      </c>
      <c r="L822" s="2">
        <v>35072.632934000001</v>
      </c>
      <c r="M822" t="str">
        <f t="shared" si="72"/>
        <v>Washington</v>
      </c>
      <c r="N822" t="str">
        <f t="shared" si="73"/>
        <v>F</v>
      </c>
      <c r="O822" t="str">
        <f t="shared" si="74"/>
        <v>High School or Below</v>
      </c>
      <c r="P822" t="str">
        <f t="shared" si="75"/>
        <v>Personal</v>
      </c>
      <c r="Q822">
        <f t="shared" si="76"/>
        <v>2</v>
      </c>
      <c r="R822">
        <f t="shared" ca="1" si="77"/>
        <v>30</v>
      </c>
    </row>
    <row r="823" spans="1:18" x14ac:dyDescent="0.35">
      <c r="A823" t="s">
        <v>862</v>
      </c>
      <c r="B823" t="s">
        <v>23</v>
      </c>
      <c r="C823" t="s">
        <v>21</v>
      </c>
      <c r="D823" t="s">
        <v>31</v>
      </c>
      <c r="E823" s="5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 s="4">
        <v>720.60142900000005</v>
      </c>
      <c r="L823" s="2">
        <v>35720.601429000002</v>
      </c>
      <c r="M823" t="str">
        <f t="shared" si="72"/>
        <v>Nevada</v>
      </c>
      <c r="N823" t="str">
        <f t="shared" si="73"/>
        <v>F</v>
      </c>
      <c r="O823" t="str">
        <f t="shared" si="74"/>
        <v>High School or Below</v>
      </c>
      <c r="P823" t="str">
        <f t="shared" si="75"/>
        <v>Personal</v>
      </c>
      <c r="Q823">
        <f t="shared" si="76"/>
        <v>2</v>
      </c>
      <c r="R823">
        <f t="shared" ca="1" si="77"/>
        <v>28</v>
      </c>
    </row>
    <row r="824" spans="1:18" x14ac:dyDescent="0.35">
      <c r="A824" t="s">
        <v>863</v>
      </c>
      <c r="B824" t="s">
        <v>33</v>
      </c>
      <c r="C824" t="s">
        <v>27</v>
      </c>
      <c r="D824" t="s">
        <v>4</v>
      </c>
      <c r="E824" s="5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 s="4">
        <v>576</v>
      </c>
      <c r="L824" s="2">
        <v>35576</v>
      </c>
      <c r="M824" t="str">
        <f t="shared" si="72"/>
        <v>Oregon</v>
      </c>
      <c r="N824" t="str">
        <f t="shared" si="73"/>
        <v>M</v>
      </c>
      <c r="O824" t="str">
        <f t="shared" si="74"/>
        <v>Bachelor</v>
      </c>
      <c r="P824" t="str">
        <f t="shared" si="75"/>
        <v>Personal</v>
      </c>
      <c r="Q824">
        <f t="shared" si="76"/>
        <v>4</v>
      </c>
      <c r="R824">
        <f t="shared" ca="1" si="77"/>
        <v>29</v>
      </c>
    </row>
    <row r="825" spans="1:18" x14ac:dyDescent="0.35">
      <c r="A825" t="s">
        <v>864</v>
      </c>
      <c r="B825" t="s">
        <v>33</v>
      </c>
      <c r="C825" t="s">
        <v>21</v>
      </c>
      <c r="D825" t="s">
        <v>80</v>
      </c>
      <c r="E825" s="5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 s="4">
        <v>481.02578599999998</v>
      </c>
      <c r="L825" s="2">
        <v>35481.025785999998</v>
      </c>
      <c r="M825" t="str">
        <f t="shared" si="72"/>
        <v>Oregon</v>
      </c>
      <c r="N825" t="str">
        <f t="shared" si="73"/>
        <v>F</v>
      </c>
      <c r="O825" t="str">
        <f t="shared" si="74"/>
        <v>Doctor</v>
      </c>
      <c r="P825" t="str">
        <f t="shared" si="75"/>
        <v>Personal</v>
      </c>
      <c r="Q825">
        <f t="shared" si="76"/>
        <v>4</v>
      </c>
      <c r="R825">
        <f t="shared" ca="1" si="77"/>
        <v>29</v>
      </c>
    </row>
    <row r="826" spans="1:18" x14ac:dyDescent="0.35">
      <c r="A826" t="s">
        <v>865</v>
      </c>
      <c r="B826" t="s">
        <v>48</v>
      </c>
      <c r="C826" t="s">
        <v>21</v>
      </c>
      <c r="D826" t="s">
        <v>31</v>
      </c>
      <c r="E826" s="5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 s="4">
        <v>466.17673100000002</v>
      </c>
      <c r="L826" s="2">
        <v>35466.176731</v>
      </c>
      <c r="M826" t="str">
        <f t="shared" si="72"/>
        <v>California</v>
      </c>
      <c r="N826" t="str">
        <f t="shared" si="73"/>
        <v>F</v>
      </c>
      <c r="O826" t="str">
        <f t="shared" si="74"/>
        <v>High School or Below</v>
      </c>
      <c r="P826" t="str">
        <f t="shared" si="75"/>
        <v>Corporate</v>
      </c>
      <c r="Q826">
        <f t="shared" si="76"/>
        <v>4</v>
      </c>
      <c r="R826">
        <f t="shared" ca="1" si="77"/>
        <v>29</v>
      </c>
    </row>
    <row r="827" spans="1:18" x14ac:dyDescent="0.35">
      <c r="A827" t="s">
        <v>866</v>
      </c>
      <c r="B827" t="s">
        <v>48</v>
      </c>
      <c r="C827" t="s">
        <v>27</v>
      </c>
      <c r="D827" t="s">
        <v>4</v>
      </c>
      <c r="E827" s="5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 s="4">
        <v>159.26647299999999</v>
      </c>
      <c r="L827" s="2">
        <v>35159.266473000003</v>
      </c>
      <c r="M827" t="str">
        <f t="shared" si="72"/>
        <v>California</v>
      </c>
      <c r="N827" t="str">
        <f t="shared" si="73"/>
        <v>M</v>
      </c>
      <c r="O827" t="str">
        <f t="shared" si="74"/>
        <v>Bachelor</v>
      </c>
      <c r="P827" t="str">
        <f t="shared" si="75"/>
        <v>Personal</v>
      </c>
      <c r="Q827">
        <f t="shared" si="76"/>
        <v>4</v>
      </c>
      <c r="R827">
        <f t="shared" ca="1" si="77"/>
        <v>30</v>
      </c>
    </row>
    <row r="828" spans="1:18" x14ac:dyDescent="0.35">
      <c r="A828" t="s">
        <v>867</v>
      </c>
      <c r="B828" t="s">
        <v>48</v>
      </c>
      <c r="C828" t="s">
        <v>21</v>
      </c>
      <c r="D828" t="s">
        <v>2</v>
      </c>
      <c r="E828" s="5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 s="4">
        <v>547.20000000000005</v>
      </c>
      <c r="L828" s="2">
        <v>35547.199999999997</v>
      </c>
      <c r="M828" t="str">
        <f t="shared" si="72"/>
        <v>California</v>
      </c>
      <c r="N828" t="str">
        <f t="shared" si="73"/>
        <v>F</v>
      </c>
      <c r="O828" t="str">
        <f t="shared" si="74"/>
        <v>Master</v>
      </c>
      <c r="P828" t="str">
        <f t="shared" si="75"/>
        <v>Corporate</v>
      </c>
      <c r="Q828">
        <f t="shared" si="76"/>
        <v>4</v>
      </c>
      <c r="R828">
        <f t="shared" ca="1" si="77"/>
        <v>29</v>
      </c>
    </row>
    <row r="829" spans="1:18" x14ac:dyDescent="0.35">
      <c r="A829" t="s">
        <v>868</v>
      </c>
      <c r="B829" t="s">
        <v>23</v>
      </c>
      <c r="C829" t="s">
        <v>21</v>
      </c>
      <c r="D829" t="s">
        <v>80</v>
      </c>
      <c r="E829" s="5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 s="4">
        <v>41.283166999999999</v>
      </c>
      <c r="L829" s="2">
        <v>35041.283167000001</v>
      </c>
      <c r="M829" t="str">
        <f t="shared" si="72"/>
        <v>Nevada</v>
      </c>
      <c r="N829" t="str">
        <f t="shared" si="73"/>
        <v>F</v>
      </c>
      <c r="O829" t="str">
        <f t="shared" si="74"/>
        <v>Doctor</v>
      </c>
      <c r="P829" t="str">
        <f t="shared" si="75"/>
        <v>Personal</v>
      </c>
      <c r="Q829">
        <f t="shared" si="76"/>
        <v>4</v>
      </c>
      <c r="R829">
        <f t="shared" ca="1" si="77"/>
        <v>30</v>
      </c>
    </row>
    <row r="830" spans="1:18" x14ac:dyDescent="0.3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 s="4">
        <v>503.80832900000001</v>
      </c>
      <c r="L830" s="2">
        <v>35503.808329</v>
      </c>
      <c r="M830" t="str">
        <f t="shared" si="72"/>
        <v>Nevada</v>
      </c>
      <c r="N830" t="str">
        <f t="shared" si="73"/>
        <v>M</v>
      </c>
      <c r="O830" t="str">
        <f t="shared" si="74"/>
        <v>High School or Below</v>
      </c>
      <c r="P830" t="str">
        <f t="shared" si="75"/>
        <v>Corporate</v>
      </c>
      <c r="Q830">
        <f t="shared" si="76"/>
        <v>4</v>
      </c>
      <c r="R830">
        <f t="shared" ca="1" si="77"/>
        <v>29</v>
      </c>
    </row>
    <row r="831" spans="1:18" x14ac:dyDescent="0.35">
      <c r="A831" t="s">
        <v>870</v>
      </c>
      <c r="B831" t="s">
        <v>33</v>
      </c>
      <c r="C831" t="s">
        <v>21</v>
      </c>
      <c r="D831" t="s">
        <v>35</v>
      </c>
      <c r="E831" s="5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 s="4">
        <v>859.59941100000003</v>
      </c>
      <c r="L831" s="2">
        <v>35859.599411000003</v>
      </c>
      <c r="M831" t="str">
        <f t="shared" si="72"/>
        <v>Oregon</v>
      </c>
      <c r="N831" t="str">
        <f t="shared" si="73"/>
        <v>F</v>
      </c>
      <c r="O831" t="str">
        <f t="shared" si="74"/>
        <v>College</v>
      </c>
      <c r="P831" t="str">
        <f t="shared" si="75"/>
        <v>Corporate</v>
      </c>
      <c r="Q831">
        <f t="shared" si="76"/>
        <v>4</v>
      </c>
      <c r="R831">
        <f t="shared" ca="1" si="77"/>
        <v>28</v>
      </c>
    </row>
    <row r="832" spans="1:18" x14ac:dyDescent="0.35">
      <c r="A832" t="s">
        <v>871</v>
      </c>
      <c r="B832" t="s">
        <v>48</v>
      </c>
      <c r="C832" t="s">
        <v>21</v>
      </c>
      <c r="D832" t="s">
        <v>2</v>
      </c>
      <c r="E832" s="5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 s="4">
        <v>305.65378500000003</v>
      </c>
      <c r="L832" s="2">
        <v>35305.653785000002</v>
      </c>
      <c r="M832" t="str">
        <f t="shared" si="72"/>
        <v>California</v>
      </c>
      <c r="N832" t="str">
        <f t="shared" si="73"/>
        <v>F</v>
      </c>
      <c r="O832" t="str">
        <f t="shared" si="74"/>
        <v>Master</v>
      </c>
      <c r="P832" t="str">
        <f t="shared" si="75"/>
        <v>Corporate</v>
      </c>
      <c r="Q832">
        <f t="shared" si="76"/>
        <v>4</v>
      </c>
      <c r="R832">
        <f t="shared" ca="1" si="77"/>
        <v>30</v>
      </c>
    </row>
    <row r="833" spans="1:18" x14ac:dyDescent="0.35">
      <c r="A833" t="s">
        <v>872</v>
      </c>
      <c r="B833" t="s">
        <v>33</v>
      </c>
      <c r="C833" t="s">
        <v>21</v>
      </c>
      <c r="D833" t="s">
        <v>35</v>
      </c>
      <c r="E833" s="5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 s="4">
        <v>278.90284600000001</v>
      </c>
      <c r="L833" s="2">
        <v>35278.902845999997</v>
      </c>
      <c r="M833" t="str">
        <f t="shared" si="72"/>
        <v>Oregon</v>
      </c>
      <c r="N833" t="str">
        <f t="shared" si="73"/>
        <v>F</v>
      </c>
      <c r="O833" t="str">
        <f t="shared" si="74"/>
        <v>College</v>
      </c>
      <c r="P833" t="str">
        <f t="shared" si="75"/>
        <v>Personal</v>
      </c>
      <c r="Q833">
        <f t="shared" si="76"/>
        <v>4</v>
      </c>
      <c r="R833">
        <f t="shared" ca="1" si="77"/>
        <v>30</v>
      </c>
    </row>
    <row r="834" spans="1:18" x14ac:dyDescent="0.3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 s="4">
        <v>1416</v>
      </c>
      <c r="L834" s="2">
        <v>36416</v>
      </c>
      <c r="M834" t="str">
        <f t="shared" si="72"/>
        <v>Oregon</v>
      </c>
      <c r="N834" t="str">
        <f t="shared" si="73"/>
        <v>M</v>
      </c>
      <c r="O834" t="str">
        <f t="shared" si="74"/>
        <v>College</v>
      </c>
      <c r="P834" t="str">
        <f t="shared" si="75"/>
        <v>Personal</v>
      </c>
      <c r="Q834">
        <f t="shared" si="76"/>
        <v>2</v>
      </c>
      <c r="R834">
        <f t="shared" ca="1" si="77"/>
        <v>26</v>
      </c>
    </row>
    <row r="835" spans="1:18" x14ac:dyDescent="0.35">
      <c r="A835" t="s">
        <v>874</v>
      </c>
      <c r="B835" t="s">
        <v>48</v>
      </c>
      <c r="C835" t="s">
        <v>27</v>
      </c>
      <c r="D835" t="s">
        <v>35</v>
      </c>
      <c r="E835" s="5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 s="4">
        <v>139.963594</v>
      </c>
      <c r="L835" s="2">
        <v>35139.963594000001</v>
      </c>
      <c r="M835" t="str">
        <f t="shared" ref="M835:M898" si="78">IF(OR(B835="California",B835="Cali"),"California",IF(OR(B835="Arizona",B835="AZ"),"Arizona",IF(OR(B835="Washington",B835="WA"),"Washington",B835)))</f>
        <v>California</v>
      </c>
      <c r="N835" t="str">
        <f t="shared" ref="N835:N898" si="79">IF(OR(C835="F",C835="Femal",C835="female"),"F",IF(OR(C835="M",C835="Male"),"M","NA"))</f>
        <v>M</v>
      </c>
      <c r="O835" t="str">
        <f t="shared" ref="O835:O898" si="80">IF(OR(D835="Bachelor",D835="Bachelors"),"Bachelor",D835)</f>
        <v>College</v>
      </c>
      <c r="P835" t="str">
        <f t="shared" ref="P835:P898" si="81">LEFT(I835,FIND(" ",I835)-1)</f>
        <v>Personal</v>
      </c>
      <c r="Q835">
        <f t="shared" ref="Q835:Q898" si="82">IF(OR(J835="Luxury Car",J835="Two-Door Car",J835="Sports Car"),2,IF(OR(J835="Luxury SUV",J835="SUV",J835="Four-Door Car"),4,"NA"))</f>
        <v>4</v>
      </c>
      <c r="R835">
        <f t="shared" ref="R835:R898" ca="1" si="83">DATEDIF(L835,TODAY(),"Y")</f>
        <v>30</v>
      </c>
    </row>
    <row r="836" spans="1:18" x14ac:dyDescent="0.35">
      <c r="A836" t="s">
        <v>875</v>
      </c>
      <c r="B836" t="s">
        <v>102</v>
      </c>
      <c r="C836" t="s">
        <v>27</v>
      </c>
      <c r="D836" t="s">
        <v>35</v>
      </c>
      <c r="E836" s="5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 s="4">
        <v>734.4</v>
      </c>
      <c r="L836" s="2">
        <v>35734.400000000001</v>
      </c>
      <c r="M836" t="str">
        <f t="shared" si="78"/>
        <v>Washington</v>
      </c>
      <c r="N836" t="str">
        <f t="shared" si="79"/>
        <v>M</v>
      </c>
      <c r="O836" t="str">
        <f t="shared" si="80"/>
        <v>College</v>
      </c>
      <c r="P836" t="str">
        <f t="shared" si="81"/>
        <v>Personal</v>
      </c>
      <c r="Q836">
        <f t="shared" si="82"/>
        <v>4</v>
      </c>
      <c r="R836">
        <f t="shared" ca="1" si="83"/>
        <v>28</v>
      </c>
    </row>
    <row r="837" spans="1:18" x14ac:dyDescent="0.35">
      <c r="A837" t="s">
        <v>876</v>
      </c>
      <c r="B837" t="s">
        <v>5</v>
      </c>
      <c r="C837" t="s">
        <v>27</v>
      </c>
      <c r="D837" t="s">
        <v>2</v>
      </c>
      <c r="E837" s="5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 s="4">
        <v>174.04156599999999</v>
      </c>
      <c r="L837" s="2">
        <v>35174.041566</v>
      </c>
      <c r="M837" t="str">
        <f t="shared" si="78"/>
        <v>Arizona</v>
      </c>
      <c r="N837" t="str">
        <f t="shared" si="79"/>
        <v>M</v>
      </c>
      <c r="O837" t="str">
        <f t="shared" si="80"/>
        <v>Master</v>
      </c>
      <c r="P837" t="str">
        <f t="shared" si="81"/>
        <v>Personal</v>
      </c>
      <c r="Q837">
        <f t="shared" si="82"/>
        <v>4</v>
      </c>
      <c r="R837">
        <f t="shared" ca="1" si="83"/>
        <v>30</v>
      </c>
    </row>
    <row r="838" spans="1:18" x14ac:dyDescent="0.35">
      <c r="A838" t="s">
        <v>877</v>
      </c>
      <c r="B838" t="s">
        <v>5</v>
      </c>
      <c r="C838" t="s">
        <v>27</v>
      </c>
      <c r="D838" t="s">
        <v>2</v>
      </c>
      <c r="E838" s="5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 s="4">
        <v>532.79999999999995</v>
      </c>
      <c r="L838" s="2">
        <v>35532.800000000003</v>
      </c>
      <c r="M838" t="str">
        <f t="shared" si="78"/>
        <v>Arizona</v>
      </c>
      <c r="N838" t="str">
        <f t="shared" si="79"/>
        <v>M</v>
      </c>
      <c r="O838" t="str">
        <f t="shared" si="80"/>
        <v>Master</v>
      </c>
      <c r="P838" t="str">
        <f t="shared" si="81"/>
        <v>Personal</v>
      </c>
      <c r="Q838">
        <f t="shared" si="82"/>
        <v>4</v>
      </c>
      <c r="R838">
        <f t="shared" ca="1" si="83"/>
        <v>29</v>
      </c>
    </row>
    <row r="839" spans="1:18" x14ac:dyDescent="0.35">
      <c r="A839" t="s">
        <v>878</v>
      </c>
      <c r="B839" t="s">
        <v>5</v>
      </c>
      <c r="C839" t="s">
        <v>21</v>
      </c>
      <c r="D839" t="s">
        <v>31</v>
      </c>
      <c r="E839" s="5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 s="4">
        <v>321.60000000000002</v>
      </c>
      <c r="L839" s="2">
        <v>35321.599999999999</v>
      </c>
      <c r="M839" t="str">
        <f t="shared" si="78"/>
        <v>Arizona</v>
      </c>
      <c r="N839" t="str">
        <f t="shared" si="79"/>
        <v>F</v>
      </c>
      <c r="O839" t="str">
        <f t="shared" si="80"/>
        <v>High School or Below</v>
      </c>
      <c r="P839" t="str">
        <f t="shared" si="81"/>
        <v>Personal</v>
      </c>
      <c r="Q839">
        <f t="shared" si="82"/>
        <v>2</v>
      </c>
      <c r="R839">
        <f t="shared" ca="1" si="83"/>
        <v>29</v>
      </c>
    </row>
    <row r="840" spans="1:18" x14ac:dyDescent="0.35">
      <c r="A840" t="s">
        <v>879</v>
      </c>
      <c r="B840" t="s">
        <v>48</v>
      </c>
      <c r="C840" t="s">
        <v>27</v>
      </c>
      <c r="D840" t="s">
        <v>4</v>
      </c>
      <c r="E840" s="5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 s="4">
        <v>37.299864999999997</v>
      </c>
      <c r="L840" s="2">
        <v>35037.299865000001</v>
      </c>
      <c r="M840" t="str">
        <f t="shared" si="78"/>
        <v>California</v>
      </c>
      <c r="N840" t="str">
        <f t="shared" si="79"/>
        <v>M</v>
      </c>
      <c r="O840" t="str">
        <f t="shared" si="80"/>
        <v>Bachelor</v>
      </c>
      <c r="P840" t="str">
        <f t="shared" si="81"/>
        <v>Personal</v>
      </c>
      <c r="Q840">
        <f t="shared" si="82"/>
        <v>4</v>
      </c>
      <c r="R840">
        <f t="shared" ca="1" si="83"/>
        <v>30</v>
      </c>
    </row>
    <row r="841" spans="1:18" x14ac:dyDescent="0.35">
      <c r="A841" t="s">
        <v>880</v>
      </c>
      <c r="B841" t="s">
        <v>33</v>
      </c>
      <c r="C841" t="s">
        <v>21</v>
      </c>
      <c r="D841" t="s">
        <v>35</v>
      </c>
      <c r="E841" s="5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 s="4">
        <v>95.816515999999993</v>
      </c>
      <c r="L841" s="2">
        <v>35095.816515999999</v>
      </c>
      <c r="M841" t="str">
        <f t="shared" si="78"/>
        <v>Oregon</v>
      </c>
      <c r="N841" t="str">
        <f t="shared" si="79"/>
        <v>F</v>
      </c>
      <c r="O841" t="str">
        <f t="shared" si="80"/>
        <v>College</v>
      </c>
      <c r="P841" t="str">
        <f t="shared" si="81"/>
        <v>Personal</v>
      </c>
      <c r="Q841">
        <f t="shared" si="82"/>
        <v>4</v>
      </c>
      <c r="R841">
        <f t="shared" ca="1" si="83"/>
        <v>30</v>
      </c>
    </row>
    <row r="842" spans="1:18" x14ac:dyDescent="0.35">
      <c r="A842" t="s">
        <v>881</v>
      </c>
      <c r="B842" t="s">
        <v>48</v>
      </c>
      <c r="C842" t="s">
        <v>27</v>
      </c>
      <c r="D842" t="s">
        <v>35</v>
      </c>
      <c r="E842" s="5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 s="4">
        <v>1008</v>
      </c>
      <c r="L842" s="2">
        <v>36008</v>
      </c>
      <c r="M842" t="str">
        <f t="shared" si="78"/>
        <v>California</v>
      </c>
      <c r="N842" t="str">
        <f t="shared" si="79"/>
        <v>M</v>
      </c>
      <c r="O842" t="str">
        <f t="shared" si="80"/>
        <v>College</v>
      </c>
      <c r="P842" t="str">
        <f t="shared" si="81"/>
        <v>Personal</v>
      </c>
      <c r="Q842">
        <f t="shared" si="82"/>
        <v>4</v>
      </c>
      <c r="R842">
        <f t="shared" ca="1" si="83"/>
        <v>28</v>
      </c>
    </row>
    <row r="843" spans="1:18" x14ac:dyDescent="0.35">
      <c r="A843" t="s">
        <v>882</v>
      </c>
      <c r="B843" t="s">
        <v>48</v>
      </c>
      <c r="C843" t="s">
        <v>21</v>
      </c>
      <c r="D843" t="s">
        <v>4</v>
      </c>
      <c r="E843" s="5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 s="4">
        <v>513.6</v>
      </c>
      <c r="L843" s="2">
        <v>35513.599999999999</v>
      </c>
      <c r="M843" t="str">
        <f t="shared" si="78"/>
        <v>California</v>
      </c>
      <c r="N843" t="str">
        <f t="shared" si="79"/>
        <v>F</v>
      </c>
      <c r="O843" t="str">
        <f t="shared" si="80"/>
        <v>Bachelor</v>
      </c>
      <c r="P843" t="str">
        <f t="shared" si="81"/>
        <v>Personal</v>
      </c>
      <c r="Q843">
        <f t="shared" si="82"/>
        <v>4</v>
      </c>
      <c r="R843">
        <f t="shared" ca="1" si="83"/>
        <v>29</v>
      </c>
    </row>
    <row r="844" spans="1:18" x14ac:dyDescent="0.35">
      <c r="A844" t="s">
        <v>883</v>
      </c>
      <c r="B844" t="s">
        <v>48</v>
      </c>
      <c r="C844" t="s">
        <v>21</v>
      </c>
      <c r="D844" t="s">
        <v>31</v>
      </c>
      <c r="E844" s="5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 s="4">
        <v>446.4</v>
      </c>
      <c r="L844" s="2">
        <v>35446.400000000001</v>
      </c>
      <c r="M844" t="str">
        <f t="shared" si="78"/>
        <v>California</v>
      </c>
      <c r="N844" t="str">
        <f t="shared" si="79"/>
        <v>F</v>
      </c>
      <c r="O844" t="str">
        <f t="shared" si="80"/>
        <v>High School or Below</v>
      </c>
      <c r="P844" t="str">
        <f t="shared" si="81"/>
        <v>Personal</v>
      </c>
      <c r="Q844">
        <f t="shared" si="82"/>
        <v>4</v>
      </c>
      <c r="R844">
        <f t="shared" ca="1" si="83"/>
        <v>29</v>
      </c>
    </row>
    <row r="845" spans="1:18" x14ac:dyDescent="0.35">
      <c r="A845" t="s">
        <v>884</v>
      </c>
      <c r="B845" t="s">
        <v>48</v>
      </c>
      <c r="C845" t="s">
        <v>27</v>
      </c>
      <c r="D845" t="s">
        <v>4</v>
      </c>
      <c r="E845" s="5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 s="4">
        <v>72.205361999999994</v>
      </c>
      <c r="L845" s="2">
        <v>35072.205362000001</v>
      </c>
      <c r="M845" t="str">
        <f t="shared" si="78"/>
        <v>California</v>
      </c>
      <c r="N845" t="str">
        <f t="shared" si="79"/>
        <v>M</v>
      </c>
      <c r="O845" t="str">
        <f t="shared" si="80"/>
        <v>Bachelor</v>
      </c>
      <c r="P845" t="str">
        <f t="shared" si="81"/>
        <v>Personal</v>
      </c>
      <c r="Q845">
        <f t="shared" si="82"/>
        <v>4</v>
      </c>
      <c r="R845">
        <f t="shared" ca="1" si="83"/>
        <v>30</v>
      </c>
    </row>
    <row r="846" spans="1:18" x14ac:dyDescent="0.35">
      <c r="A846" t="s">
        <v>885</v>
      </c>
      <c r="B846" t="s">
        <v>48</v>
      </c>
      <c r="C846" t="s">
        <v>27</v>
      </c>
      <c r="D846" t="s">
        <v>31</v>
      </c>
      <c r="E846" s="5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 s="4">
        <v>292.8</v>
      </c>
      <c r="L846" s="2">
        <v>35292.800000000003</v>
      </c>
      <c r="M846" t="str">
        <f t="shared" si="78"/>
        <v>California</v>
      </c>
      <c r="N846" t="str">
        <f t="shared" si="79"/>
        <v>M</v>
      </c>
      <c r="O846" t="str">
        <f t="shared" si="80"/>
        <v>High School or Below</v>
      </c>
      <c r="P846" t="str">
        <f t="shared" si="81"/>
        <v>Corporate</v>
      </c>
      <c r="Q846">
        <f t="shared" si="82"/>
        <v>4</v>
      </c>
      <c r="R846">
        <f t="shared" ca="1" si="83"/>
        <v>30</v>
      </c>
    </row>
    <row r="847" spans="1:18" x14ac:dyDescent="0.35">
      <c r="A847" t="s">
        <v>886</v>
      </c>
      <c r="B847" t="s">
        <v>5</v>
      </c>
      <c r="C847" t="s">
        <v>21</v>
      </c>
      <c r="D847" t="s">
        <v>31</v>
      </c>
      <c r="E847" s="5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 s="4">
        <v>331.2</v>
      </c>
      <c r="L847" s="2">
        <v>35331.199999999997</v>
      </c>
      <c r="M847" t="str">
        <f t="shared" si="78"/>
        <v>Arizona</v>
      </c>
      <c r="N847" t="str">
        <f t="shared" si="79"/>
        <v>F</v>
      </c>
      <c r="O847" t="str">
        <f t="shared" si="80"/>
        <v>High School or Below</v>
      </c>
      <c r="P847" t="str">
        <f t="shared" si="81"/>
        <v>Personal</v>
      </c>
      <c r="Q847">
        <f t="shared" si="82"/>
        <v>4</v>
      </c>
      <c r="R847">
        <f t="shared" ca="1" si="83"/>
        <v>29</v>
      </c>
    </row>
    <row r="848" spans="1:18" x14ac:dyDescent="0.35">
      <c r="A848" t="s">
        <v>887</v>
      </c>
      <c r="B848" t="s">
        <v>48</v>
      </c>
      <c r="C848" t="s">
        <v>21</v>
      </c>
      <c r="D848" t="s">
        <v>2</v>
      </c>
      <c r="E848" s="5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 s="4">
        <v>475.2</v>
      </c>
      <c r="L848" s="2">
        <v>35475.199999999997</v>
      </c>
      <c r="M848" t="str">
        <f t="shared" si="78"/>
        <v>California</v>
      </c>
      <c r="N848" t="str">
        <f t="shared" si="79"/>
        <v>F</v>
      </c>
      <c r="O848" t="str">
        <f t="shared" si="80"/>
        <v>Master</v>
      </c>
      <c r="P848" t="str">
        <f t="shared" si="81"/>
        <v>Personal</v>
      </c>
      <c r="Q848">
        <f t="shared" si="82"/>
        <v>4</v>
      </c>
      <c r="R848">
        <f t="shared" ca="1" si="83"/>
        <v>29</v>
      </c>
    </row>
    <row r="849" spans="1:18" x14ac:dyDescent="0.35">
      <c r="A849" t="s">
        <v>888</v>
      </c>
      <c r="B849" t="s">
        <v>48</v>
      </c>
      <c r="C849" t="s">
        <v>21</v>
      </c>
      <c r="D849" t="s">
        <v>35</v>
      </c>
      <c r="E849" s="5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 s="4">
        <v>331.2</v>
      </c>
      <c r="L849" s="2">
        <v>35331.199999999997</v>
      </c>
      <c r="M849" t="str">
        <f t="shared" si="78"/>
        <v>California</v>
      </c>
      <c r="N849" t="str">
        <f t="shared" si="79"/>
        <v>F</v>
      </c>
      <c r="O849" t="str">
        <f t="shared" si="80"/>
        <v>College</v>
      </c>
      <c r="P849" t="str">
        <f t="shared" si="81"/>
        <v>Personal</v>
      </c>
      <c r="Q849">
        <f t="shared" si="82"/>
        <v>4</v>
      </c>
      <c r="R849">
        <f t="shared" ca="1" si="83"/>
        <v>29</v>
      </c>
    </row>
    <row r="850" spans="1:18" x14ac:dyDescent="0.3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 s="4">
        <v>331.2</v>
      </c>
      <c r="L850" s="2">
        <v>35331.199999999997</v>
      </c>
      <c r="M850" t="str">
        <f t="shared" si="78"/>
        <v>Oregon</v>
      </c>
      <c r="N850" t="str">
        <f t="shared" si="79"/>
        <v>M</v>
      </c>
      <c r="O850" t="str">
        <f t="shared" si="80"/>
        <v>College</v>
      </c>
      <c r="P850" t="str">
        <f t="shared" si="81"/>
        <v>Personal</v>
      </c>
      <c r="Q850">
        <f t="shared" si="82"/>
        <v>4</v>
      </c>
      <c r="R850">
        <f t="shared" ca="1" si="83"/>
        <v>29</v>
      </c>
    </row>
    <row r="851" spans="1:18" x14ac:dyDescent="0.35">
      <c r="A851" t="s">
        <v>890</v>
      </c>
      <c r="B851" t="s">
        <v>48</v>
      </c>
      <c r="C851" t="s">
        <v>21</v>
      </c>
      <c r="D851" t="s">
        <v>4</v>
      </c>
      <c r="E851" s="5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 s="4">
        <v>401.59210899999999</v>
      </c>
      <c r="L851" s="2">
        <v>35401.592108999997</v>
      </c>
      <c r="M851" t="str">
        <f t="shared" si="78"/>
        <v>California</v>
      </c>
      <c r="N851" t="str">
        <f t="shared" si="79"/>
        <v>F</v>
      </c>
      <c r="O851" t="str">
        <f t="shared" si="80"/>
        <v>Bachelor</v>
      </c>
      <c r="P851" t="str">
        <f t="shared" si="81"/>
        <v>Personal</v>
      </c>
      <c r="Q851">
        <f t="shared" si="82"/>
        <v>2</v>
      </c>
      <c r="R851">
        <f t="shared" ca="1" si="83"/>
        <v>29</v>
      </c>
    </row>
    <row r="852" spans="1:18" x14ac:dyDescent="0.35">
      <c r="A852" t="s">
        <v>891</v>
      </c>
      <c r="B852" t="s">
        <v>33</v>
      </c>
      <c r="C852" t="s">
        <v>27</v>
      </c>
      <c r="D852" t="s">
        <v>4</v>
      </c>
      <c r="E852" s="5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 s="4">
        <v>253.18356800000001</v>
      </c>
      <c r="L852" s="2">
        <v>35253.183568</v>
      </c>
      <c r="M852" t="str">
        <f t="shared" si="78"/>
        <v>Oregon</v>
      </c>
      <c r="N852" t="str">
        <f t="shared" si="79"/>
        <v>M</v>
      </c>
      <c r="O852" t="str">
        <f t="shared" si="80"/>
        <v>Bachelor</v>
      </c>
      <c r="P852" t="str">
        <f t="shared" si="81"/>
        <v>Personal</v>
      </c>
      <c r="Q852">
        <f t="shared" si="82"/>
        <v>4</v>
      </c>
      <c r="R852">
        <f t="shared" ca="1" si="83"/>
        <v>30</v>
      </c>
    </row>
    <row r="853" spans="1:18" x14ac:dyDescent="0.35">
      <c r="A853" t="s">
        <v>892</v>
      </c>
      <c r="B853" t="s">
        <v>48</v>
      </c>
      <c r="C853" t="s">
        <v>27</v>
      </c>
      <c r="D853" t="s">
        <v>35</v>
      </c>
      <c r="E853" s="5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 s="4">
        <v>643.20000000000005</v>
      </c>
      <c r="L853" s="2">
        <v>35643.199999999997</v>
      </c>
      <c r="M853" t="str">
        <f t="shared" si="78"/>
        <v>California</v>
      </c>
      <c r="N853" t="str">
        <f t="shared" si="79"/>
        <v>M</v>
      </c>
      <c r="O853" t="str">
        <f t="shared" si="80"/>
        <v>College</v>
      </c>
      <c r="P853" t="str">
        <f t="shared" si="81"/>
        <v>Personal</v>
      </c>
      <c r="Q853">
        <f t="shared" si="82"/>
        <v>4</v>
      </c>
      <c r="R853">
        <f t="shared" ca="1" si="83"/>
        <v>29</v>
      </c>
    </row>
    <row r="854" spans="1:18" x14ac:dyDescent="0.3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 s="4">
        <v>799.673766</v>
      </c>
      <c r="L854" s="2">
        <v>35799.673766</v>
      </c>
      <c r="M854" t="str">
        <f t="shared" si="78"/>
        <v>Oregon</v>
      </c>
      <c r="N854" t="str">
        <f t="shared" si="79"/>
        <v>M</v>
      </c>
      <c r="O854" t="str">
        <f t="shared" si="80"/>
        <v>College</v>
      </c>
      <c r="P854" t="str">
        <f t="shared" si="81"/>
        <v>Corporate</v>
      </c>
      <c r="Q854">
        <f t="shared" si="82"/>
        <v>4</v>
      </c>
      <c r="R854">
        <f t="shared" ca="1" si="83"/>
        <v>28</v>
      </c>
    </row>
    <row r="855" spans="1:18" x14ac:dyDescent="0.35">
      <c r="A855" t="s">
        <v>894</v>
      </c>
      <c r="B855" t="s">
        <v>102</v>
      </c>
      <c r="C855" t="s">
        <v>27</v>
      </c>
      <c r="D855" t="s">
        <v>35</v>
      </c>
      <c r="E855" s="5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 s="4">
        <v>727.2</v>
      </c>
      <c r="L855" s="2">
        <v>35727.199999999997</v>
      </c>
      <c r="M855" t="str">
        <f t="shared" si="78"/>
        <v>Washington</v>
      </c>
      <c r="N855" t="str">
        <f t="shared" si="79"/>
        <v>M</v>
      </c>
      <c r="O855" t="str">
        <f t="shared" si="80"/>
        <v>College</v>
      </c>
      <c r="P855" t="str">
        <f t="shared" si="81"/>
        <v>Personal</v>
      </c>
      <c r="Q855">
        <f t="shared" si="82"/>
        <v>4</v>
      </c>
      <c r="R855">
        <f t="shared" ca="1" si="83"/>
        <v>28</v>
      </c>
    </row>
    <row r="856" spans="1:18" x14ac:dyDescent="0.35">
      <c r="A856" t="s">
        <v>895</v>
      </c>
      <c r="B856" t="s">
        <v>48</v>
      </c>
      <c r="C856" t="s">
        <v>27</v>
      </c>
      <c r="D856" t="s">
        <v>80</v>
      </c>
      <c r="E856" s="5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 s="4">
        <v>91.834667999999994</v>
      </c>
      <c r="L856" s="2">
        <v>35091.834668000003</v>
      </c>
      <c r="M856" t="str">
        <f t="shared" si="78"/>
        <v>California</v>
      </c>
      <c r="N856" t="str">
        <f t="shared" si="79"/>
        <v>M</v>
      </c>
      <c r="O856" t="str">
        <f t="shared" si="80"/>
        <v>Doctor</v>
      </c>
      <c r="P856" t="str">
        <f t="shared" si="81"/>
        <v>Personal</v>
      </c>
      <c r="Q856">
        <f t="shared" si="82"/>
        <v>4</v>
      </c>
      <c r="R856">
        <f t="shared" ca="1" si="83"/>
        <v>30</v>
      </c>
    </row>
    <row r="857" spans="1:18" x14ac:dyDescent="0.35">
      <c r="A857" t="s">
        <v>896</v>
      </c>
      <c r="B857" t="s">
        <v>48</v>
      </c>
      <c r="C857" t="s">
        <v>27</v>
      </c>
      <c r="D857" t="s">
        <v>4</v>
      </c>
      <c r="E857" s="5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 s="4">
        <v>27.987867000000001</v>
      </c>
      <c r="L857" s="2">
        <v>35027.987867000003</v>
      </c>
      <c r="M857" t="str">
        <f t="shared" si="78"/>
        <v>California</v>
      </c>
      <c r="N857" t="str">
        <f t="shared" si="79"/>
        <v>M</v>
      </c>
      <c r="O857" t="str">
        <f t="shared" si="80"/>
        <v>Bachelor</v>
      </c>
      <c r="P857" t="str">
        <f t="shared" si="81"/>
        <v>Personal</v>
      </c>
      <c r="Q857">
        <f t="shared" si="82"/>
        <v>4</v>
      </c>
      <c r="R857">
        <f t="shared" ca="1" si="83"/>
        <v>30</v>
      </c>
    </row>
    <row r="858" spans="1:18" x14ac:dyDescent="0.35">
      <c r="A858" t="s">
        <v>897</v>
      </c>
      <c r="B858" t="s">
        <v>3</v>
      </c>
      <c r="C858" t="s">
        <v>21</v>
      </c>
      <c r="D858" t="s">
        <v>35</v>
      </c>
      <c r="E858" s="5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 s="4">
        <v>166.77296000000001</v>
      </c>
      <c r="L858" s="2">
        <v>35166.772960000002</v>
      </c>
      <c r="M858" t="str">
        <f t="shared" si="78"/>
        <v>Washington</v>
      </c>
      <c r="N858" t="str">
        <f t="shared" si="79"/>
        <v>F</v>
      </c>
      <c r="O858" t="str">
        <f t="shared" si="80"/>
        <v>College</v>
      </c>
      <c r="P858" t="str">
        <f t="shared" si="81"/>
        <v>Corporate</v>
      </c>
      <c r="Q858">
        <f t="shared" si="82"/>
        <v>4</v>
      </c>
      <c r="R858">
        <f t="shared" ca="1" si="83"/>
        <v>30</v>
      </c>
    </row>
    <row r="859" spans="1:18" x14ac:dyDescent="0.35">
      <c r="A859" t="s">
        <v>898</v>
      </c>
      <c r="B859" t="s">
        <v>48</v>
      </c>
      <c r="C859" t="s">
        <v>21</v>
      </c>
      <c r="D859" t="s">
        <v>2</v>
      </c>
      <c r="E859" s="5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 s="4">
        <v>270.56399499999998</v>
      </c>
      <c r="L859" s="2">
        <v>35270.563994999997</v>
      </c>
      <c r="M859" t="str">
        <f t="shared" si="78"/>
        <v>California</v>
      </c>
      <c r="N859" t="str">
        <f t="shared" si="79"/>
        <v>F</v>
      </c>
      <c r="O859" t="str">
        <f t="shared" si="80"/>
        <v>Master</v>
      </c>
      <c r="P859" t="str">
        <f t="shared" si="81"/>
        <v>Personal</v>
      </c>
      <c r="Q859">
        <f t="shared" si="82"/>
        <v>4</v>
      </c>
      <c r="R859">
        <f t="shared" ca="1" si="83"/>
        <v>30</v>
      </c>
    </row>
    <row r="860" spans="1:18" x14ac:dyDescent="0.35">
      <c r="A860" t="s">
        <v>899</v>
      </c>
      <c r="B860" t="s">
        <v>48</v>
      </c>
      <c r="C860" t="s">
        <v>21</v>
      </c>
      <c r="D860" t="s">
        <v>35</v>
      </c>
      <c r="E860" s="5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 s="4">
        <v>292.8</v>
      </c>
      <c r="L860" s="2">
        <v>35292.800000000003</v>
      </c>
      <c r="M860" t="str">
        <f t="shared" si="78"/>
        <v>California</v>
      </c>
      <c r="N860" t="str">
        <f t="shared" si="79"/>
        <v>F</v>
      </c>
      <c r="O860" t="str">
        <f t="shared" si="80"/>
        <v>College</v>
      </c>
      <c r="P860" t="str">
        <f t="shared" si="81"/>
        <v>Personal</v>
      </c>
      <c r="Q860">
        <f t="shared" si="82"/>
        <v>2</v>
      </c>
      <c r="R860">
        <f t="shared" ca="1" si="83"/>
        <v>30</v>
      </c>
    </row>
    <row r="861" spans="1:18" x14ac:dyDescent="0.35">
      <c r="A861" t="s">
        <v>900</v>
      </c>
      <c r="B861" t="s">
        <v>33</v>
      </c>
      <c r="C861" t="s">
        <v>27</v>
      </c>
      <c r="D861" t="s">
        <v>2</v>
      </c>
      <c r="E861" s="5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 s="4">
        <v>158.077504</v>
      </c>
      <c r="L861" s="2">
        <v>35158.077504000001</v>
      </c>
      <c r="M861" t="str">
        <f t="shared" si="78"/>
        <v>Oregon</v>
      </c>
      <c r="N861" t="str">
        <f t="shared" si="79"/>
        <v>M</v>
      </c>
      <c r="O861" t="str">
        <f t="shared" si="80"/>
        <v>Master</v>
      </c>
      <c r="P861" t="str">
        <f t="shared" si="81"/>
        <v>Personal</v>
      </c>
      <c r="Q861">
        <f t="shared" si="82"/>
        <v>2</v>
      </c>
      <c r="R861">
        <f t="shared" ca="1" si="83"/>
        <v>30</v>
      </c>
    </row>
    <row r="862" spans="1:18" x14ac:dyDescent="0.35">
      <c r="A862" t="s">
        <v>901</v>
      </c>
      <c r="B862" t="s">
        <v>5</v>
      </c>
      <c r="C862" t="s">
        <v>21</v>
      </c>
      <c r="D862" t="s">
        <v>4</v>
      </c>
      <c r="E862" s="5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 s="4">
        <v>667.2</v>
      </c>
      <c r="L862" s="2">
        <v>35667.199999999997</v>
      </c>
      <c r="M862" t="str">
        <f t="shared" si="78"/>
        <v>Arizona</v>
      </c>
      <c r="N862" t="str">
        <f t="shared" si="79"/>
        <v>F</v>
      </c>
      <c r="O862" t="str">
        <f t="shared" si="80"/>
        <v>Bachelor</v>
      </c>
      <c r="P862" t="str">
        <f t="shared" si="81"/>
        <v>Personal</v>
      </c>
      <c r="Q862">
        <f t="shared" si="82"/>
        <v>4</v>
      </c>
      <c r="R862">
        <f t="shared" ca="1" si="83"/>
        <v>29</v>
      </c>
    </row>
    <row r="863" spans="1:18" x14ac:dyDescent="0.35">
      <c r="A863" t="s">
        <v>902</v>
      </c>
      <c r="B863" t="s">
        <v>3</v>
      </c>
      <c r="C863" t="s">
        <v>271</v>
      </c>
      <c r="D863" t="s">
        <v>31</v>
      </c>
      <c r="E863" s="5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 s="4">
        <v>178.00652400000001</v>
      </c>
      <c r="L863" s="2">
        <v>35178.006523999997</v>
      </c>
      <c r="M863" t="str">
        <f t="shared" si="78"/>
        <v>Washington</v>
      </c>
      <c r="N863" t="str">
        <f t="shared" si="79"/>
        <v>M</v>
      </c>
      <c r="O863" t="str">
        <f t="shared" si="80"/>
        <v>High School or Below</v>
      </c>
      <c r="P863" t="str">
        <f t="shared" si="81"/>
        <v>Personal</v>
      </c>
      <c r="Q863">
        <f t="shared" si="82"/>
        <v>2</v>
      </c>
      <c r="R863">
        <f t="shared" ca="1" si="83"/>
        <v>30</v>
      </c>
    </row>
    <row r="864" spans="1:18" x14ac:dyDescent="0.35">
      <c r="A864" t="s">
        <v>903</v>
      </c>
      <c r="B864" t="s">
        <v>48</v>
      </c>
      <c r="C864" t="s">
        <v>21</v>
      </c>
      <c r="D864" t="s">
        <v>35</v>
      </c>
      <c r="E864" s="5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 s="4">
        <v>404.26569599999999</v>
      </c>
      <c r="L864" s="2">
        <v>35404.265696000002</v>
      </c>
      <c r="M864" t="str">
        <f t="shared" si="78"/>
        <v>California</v>
      </c>
      <c r="N864" t="str">
        <f t="shared" si="79"/>
        <v>F</v>
      </c>
      <c r="O864" t="str">
        <f t="shared" si="80"/>
        <v>College</v>
      </c>
      <c r="P864" t="str">
        <f t="shared" si="81"/>
        <v>Personal</v>
      </c>
      <c r="Q864">
        <f t="shared" si="82"/>
        <v>4</v>
      </c>
      <c r="R864">
        <f t="shared" ca="1" si="83"/>
        <v>29</v>
      </c>
    </row>
    <row r="865" spans="1:18" x14ac:dyDescent="0.35">
      <c r="A865" t="s">
        <v>904</v>
      </c>
      <c r="B865" t="s">
        <v>33</v>
      </c>
      <c r="C865" t="s">
        <v>21</v>
      </c>
      <c r="D865" t="s">
        <v>35</v>
      </c>
      <c r="E865" s="5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 s="4">
        <v>18.918935000000001</v>
      </c>
      <c r="L865" s="2">
        <v>35018.918935000002</v>
      </c>
      <c r="M865" t="str">
        <f t="shared" si="78"/>
        <v>Oregon</v>
      </c>
      <c r="N865" t="str">
        <f t="shared" si="79"/>
        <v>F</v>
      </c>
      <c r="O865" t="str">
        <f t="shared" si="80"/>
        <v>College</v>
      </c>
      <c r="P865" t="str">
        <f t="shared" si="81"/>
        <v>Personal</v>
      </c>
      <c r="Q865">
        <f t="shared" si="82"/>
        <v>2</v>
      </c>
      <c r="R865">
        <f t="shared" ca="1" si="83"/>
        <v>30</v>
      </c>
    </row>
    <row r="866" spans="1:18" x14ac:dyDescent="0.3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 s="4">
        <v>513.81840299999999</v>
      </c>
      <c r="L866" s="2">
        <v>35513.818402999997</v>
      </c>
      <c r="M866" t="str">
        <f t="shared" si="78"/>
        <v>Oregon</v>
      </c>
      <c r="N866" t="str">
        <f t="shared" si="79"/>
        <v>M</v>
      </c>
      <c r="O866" t="str">
        <f t="shared" si="80"/>
        <v>High School or Below</v>
      </c>
      <c r="P866" t="str">
        <f t="shared" si="81"/>
        <v>Personal</v>
      </c>
      <c r="Q866">
        <f t="shared" si="82"/>
        <v>4</v>
      </c>
      <c r="R866">
        <f t="shared" ca="1" si="83"/>
        <v>29</v>
      </c>
    </row>
    <row r="867" spans="1:18" x14ac:dyDescent="0.35">
      <c r="A867" t="s">
        <v>906</v>
      </c>
      <c r="B867" t="s">
        <v>48</v>
      </c>
      <c r="C867" t="s">
        <v>27</v>
      </c>
      <c r="D867" t="s">
        <v>35</v>
      </c>
      <c r="E867" s="5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 s="4">
        <v>268.47180200000003</v>
      </c>
      <c r="L867" s="2">
        <v>35268.471802</v>
      </c>
      <c r="M867" t="str">
        <f t="shared" si="78"/>
        <v>California</v>
      </c>
      <c r="N867" t="str">
        <f t="shared" si="79"/>
        <v>M</v>
      </c>
      <c r="O867" t="str">
        <f t="shared" si="80"/>
        <v>College</v>
      </c>
      <c r="P867" t="str">
        <f t="shared" si="81"/>
        <v>Corporate</v>
      </c>
      <c r="Q867">
        <f t="shared" si="82"/>
        <v>4</v>
      </c>
      <c r="R867">
        <f t="shared" ca="1" si="83"/>
        <v>30</v>
      </c>
    </row>
    <row r="868" spans="1:18" x14ac:dyDescent="0.35">
      <c r="A868" t="s">
        <v>907</v>
      </c>
      <c r="B868" t="s">
        <v>5</v>
      </c>
      <c r="C868" t="s">
        <v>27</v>
      </c>
      <c r="D868" t="s">
        <v>4</v>
      </c>
      <c r="E868" s="5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 s="4">
        <v>131.828507</v>
      </c>
      <c r="L868" s="2">
        <v>35131.828506999998</v>
      </c>
      <c r="M868" t="str">
        <f t="shared" si="78"/>
        <v>Arizona</v>
      </c>
      <c r="N868" t="str">
        <f t="shared" si="79"/>
        <v>M</v>
      </c>
      <c r="O868" t="str">
        <f t="shared" si="80"/>
        <v>Bachelor</v>
      </c>
      <c r="P868" t="str">
        <f t="shared" si="81"/>
        <v>Personal</v>
      </c>
      <c r="Q868">
        <f t="shared" si="82"/>
        <v>4</v>
      </c>
      <c r="R868">
        <f t="shared" ca="1" si="83"/>
        <v>30</v>
      </c>
    </row>
    <row r="869" spans="1:18" x14ac:dyDescent="0.35">
      <c r="A869" t="s">
        <v>908</v>
      </c>
      <c r="B869" t="s">
        <v>23</v>
      </c>
      <c r="C869" t="s">
        <v>21</v>
      </c>
      <c r="D869" t="s">
        <v>31</v>
      </c>
      <c r="E869" s="5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 s="4">
        <v>628.79999999999995</v>
      </c>
      <c r="L869" s="2">
        <v>35628.800000000003</v>
      </c>
      <c r="M869" t="str">
        <f t="shared" si="78"/>
        <v>Nevada</v>
      </c>
      <c r="N869" t="str">
        <f t="shared" si="79"/>
        <v>F</v>
      </c>
      <c r="O869" t="str">
        <f t="shared" si="80"/>
        <v>High School or Below</v>
      </c>
      <c r="P869" t="str">
        <f t="shared" si="81"/>
        <v>Personal</v>
      </c>
      <c r="Q869">
        <f t="shared" si="82"/>
        <v>4</v>
      </c>
      <c r="R869">
        <f t="shared" ca="1" si="83"/>
        <v>29</v>
      </c>
    </row>
    <row r="870" spans="1:18" x14ac:dyDescent="0.35">
      <c r="A870" t="s">
        <v>909</v>
      </c>
      <c r="B870" t="s">
        <v>23</v>
      </c>
      <c r="C870" t="s">
        <v>21</v>
      </c>
      <c r="D870" t="s">
        <v>31</v>
      </c>
      <c r="E870" s="5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 s="4">
        <v>374.4</v>
      </c>
      <c r="L870" s="2">
        <v>35374.400000000001</v>
      </c>
      <c r="M870" t="str">
        <f t="shared" si="78"/>
        <v>Nevada</v>
      </c>
      <c r="N870" t="str">
        <f t="shared" si="79"/>
        <v>F</v>
      </c>
      <c r="O870" t="str">
        <f t="shared" si="80"/>
        <v>High School or Below</v>
      </c>
      <c r="P870" t="str">
        <f t="shared" si="81"/>
        <v>Personal</v>
      </c>
      <c r="Q870">
        <f t="shared" si="82"/>
        <v>4</v>
      </c>
      <c r="R870">
        <f t="shared" ca="1" si="83"/>
        <v>29</v>
      </c>
    </row>
    <row r="871" spans="1:18" x14ac:dyDescent="0.35">
      <c r="A871" t="s">
        <v>910</v>
      </c>
      <c r="B871" t="s">
        <v>3</v>
      </c>
      <c r="C871" t="s">
        <v>21</v>
      </c>
      <c r="D871" t="s">
        <v>35</v>
      </c>
      <c r="E871" s="5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 s="4">
        <v>178.98678799999999</v>
      </c>
      <c r="L871" s="2">
        <v>35178.986788000002</v>
      </c>
      <c r="M871" t="str">
        <f t="shared" si="78"/>
        <v>Washington</v>
      </c>
      <c r="N871" t="str">
        <f t="shared" si="79"/>
        <v>F</v>
      </c>
      <c r="O871" t="str">
        <f t="shared" si="80"/>
        <v>College</v>
      </c>
      <c r="P871" t="str">
        <f t="shared" si="81"/>
        <v>Personal</v>
      </c>
      <c r="Q871">
        <f t="shared" si="82"/>
        <v>4</v>
      </c>
      <c r="R871">
        <f t="shared" ca="1" si="83"/>
        <v>30</v>
      </c>
    </row>
    <row r="872" spans="1:18" x14ac:dyDescent="0.35">
      <c r="A872" t="s">
        <v>911</v>
      </c>
      <c r="B872" t="s">
        <v>33</v>
      </c>
      <c r="C872" t="s">
        <v>27</v>
      </c>
      <c r="D872" t="s">
        <v>2</v>
      </c>
      <c r="E872" s="5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 s="4">
        <v>392.23569800000001</v>
      </c>
      <c r="L872" s="2">
        <v>35392.235697999997</v>
      </c>
      <c r="M872" t="str">
        <f t="shared" si="78"/>
        <v>Oregon</v>
      </c>
      <c r="N872" t="str">
        <f t="shared" si="79"/>
        <v>M</v>
      </c>
      <c r="O872" t="str">
        <f t="shared" si="80"/>
        <v>Master</v>
      </c>
      <c r="P872" t="str">
        <f t="shared" si="81"/>
        <v>Personal</v>
      </c>
      <c r="Q872">
        <f t="shared" si="82"/>
        <v>2</v>
      </c>
      <c r="R872">
        <f t="shared" ca="1" si="83"/>
        <v>29</v>
      </c>
    </row>
    <row r="873" spans="1:18" x14ac:dyDescent="0.35">
      <c r="A873" t="s">
        <v>912</v>
      </c>
      <c r="B873" t="s">
        <v>5</v>
      </c>
      <c r="C873" t="s">
        <v>27</v>
      </c>
      <c r="D873" t="s">
        <v>31</v>
      </c>
      <c r="E873" s="5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 s="4">
        <v>873.6</v>
      </c>
      <c r="L873" s="2">
        <v>35873.599999999999</v>
      </c>
      <c r="M873" t="str">
        <f t="shared" si="78"/>
        <v>Arizona</v>
      </c>
      <c r="N873" t="str">
        <f t="shared" si="79"/>
        <v>M</v>
      </c>
      <c r="O873" t="str">
        <f t="shared" si="80"/>
        <v>High School or Below</v>
      </c>
      <c r="P873" t="str">
        <f t="shared" si="81"/>
        <v>Personal</v>
      </c>
      <c r="Q873">
        <f t="shared" si="82"/>
        <v>4</v>
      </c>
      <c r="R873">
        <f t="shared" ca="1" si="83"/>
        <v>28</v>
      </c>
    </row>
    <row r="874" spans="1:18" x14ac:dyDescent="0.35">
      <c r="A874" t="s">
        <v>913</v>
      </c>
      <c r="B874" t="s">
        <v>5</v>
      </c>
      <c r="C874" t="s">
        <v>27</v>
      </c>
      <c r="D874" t="s">
        <v>4</v>
      </c>
      <c r="E874" s="5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 s="4">
        <v>0.38210699999999997</v>
      </c>
      <c r="L874" s="2">
        <v>35000.382106999998</v>
      </c>
      <c r="M874" t="str">
        <f t="shared" si="78"/>
        <v>Arizona</v>
      </c>
      <c r="N874" t="str">
        <f t="shared" si="79"/>
        <v>M</v>
      </c>
      <c r="O874" t="str">
        <f t="shared" si="80"/>
        <v>Bachelor</v>
      </c>
      <c r="P874" t="str">
        <f t="shared" si="81"/>
        <v>Personal</v>
      </c>
      <c r="Q874">
        <f t="shared" si="82"/>
        <v>2</v>
      </c>
      <c r="R874">
        <f t="shared" ca="1" si="83"/>
        <v>30</v>
      </c>
    </row>
    <row r="875" spans="1:18" x14ac:dyDescent="0.35">
      <c r="A875" t="s">
        <v>914</v>
      </c>
      <c r="B875" t="s">
        <v>3</v>
      </c>
      <c r="C875" t="s">
        <v>27</v>
      </c>
      <c r="D875" t="s">
        <v>35</v>
      </c>
      <c r="E875" s="5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 s="4">
        <v>187.36358300000001</v>
      </c>
      <c r="L875" s="2">
        <v>35187.363582999998</v>
      </c>
      <c r="M875" t="str">
        <f t="shared" si="78"/>
        <v>Washington</v>
      </c>
      <c r="N875" t="str">
        <f t="shared" si="79"/>
        <v>M</v>
      </c>
      <c r="O875" t="str">
        <f t="shared" si="80"/>
        <v>College</v>
      </c>
      <c r="P875" t="str">
        <f t="shared" si="81"/>
        <v>Corporate</v>
      </c>
      <c r="Q875">
        <f t="shared" si="82"/>
        <v>2</v>
      </c>
      <c r="R875">
        <f t="shared" ca="1" si="83"/>
        <v>30</v>
      </c>
    </row>
    <row r="876" spans="1:18" x14ac:dyDescent="0.35">
      <c r="A876" t="s">
        <v>915</v>
      </c>
      <c r="B876" t="s">
        <v>48</v>
      </c>
      <c r="C876" t="s">
        <v>27</v>
      </c>
      <c r="D876" t="s">
        <v>31</v>
      </c>
      <c r="E876" s="5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 s="4">
        <v>350.4</v>
      </c>
      <c r="L876" s="2">
        <v>35350.400000000001</v>
      </c>
      <c r="M876" t="str">
        <f t="shared" si="78"/>
        <v>California</v>
      </c>
      <c r="N876" t="str">
        <f t="shared" si="79"/>
        <v>M</v>
      </c>
      <c r="O876" t="str">
        <f t="shared" si="80"/>
        <v>High School or Below</v>
      </c>
      <c r="P876" t="str">
        <f t="shared" si="81"/>
        <v>Personal</v>
      </c>
      <c r="Q876">
        <f t="shared" si="82"/>
        <v>4</v>
      </c>
      <c r="R876">
        <f t="shared" ca="1" si="83"/>
        <v>29</v>
      </c>
    </row>
    <row r="877" spans="1:18" x14ac:dyDescent="0.3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 s="4">
        <v>379.2</v>
      </c>
      <c r="L877" s="2">
        <v>35379.199999999997</v>
      </c>
      <c r="M877" t="str">
        <f t="shared" si="78"/>
        <v>Oregon</v>
      </c>
      <c r="N877" t="str">
        <f t="shared" si="79"/>
        <v>M</v>
      </c>
      <c r="O877" t="str">
        <f t="shared" si="80"/>
        <v>College</v>
      </c>
      <c r="P877" t="str">
        <f t="shared" si="81"/>
        <v>Personal</v>
      </c>
      <c r="Q877">
        <f t="shared" si="82"/>
        <v>4</v>
      </c>
      <c r="R877">
        <f t="shared" ca="1" si="83"/>
        <v>29</v>
      </c>
    </row>
    <row r="878" spans="1:18" x14ac:dyDescent="0.35">
      <c r="A878" t="s">
        <v>917</v>
      </c>
      <c r="B878" t="s">
        <v>48</v>
      </c>
      <c r="C878" t="s">
        <v>27</v>
      </c>
      <c r="D878" t="s">
        <v>35</v>
      </c>
      <c r="E878" s="5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 s="4">
        <v>297.60000000000002</v>
      </c>
      <c r="L878" s="2">
        <v>35297.599999999999</v>
      </c>
      <c r="M878" t="str">
        <f t="shared" si="78"/>
        <v>California</v>
      </c>
      <c r="N878" t="str">
        <f t="shared" si="79"/>
        <v>M</v>
      </c>
      <c r="O878" t="str">
        <f t="shared" si="80"/>
        <v>College</v>
      </c>
      <c r="P878" t="str">
        <f t="shared" si="81"/>
        <v>Personal</v>
      </c>
      <c r="Q878">
        <f t="shared" si="82"/>
        <v>4</v>
      </c>
      <c r="R878">
        <f t="shared" ca="1" si="83"/>
        <v>30</v>
      </c>
    </row>
    <row r="879" spans="1:18" x14ac:dyDescent="0.35">
      <c r="A879" t="s">
        <v>918</v>
      </c>
      <c r="B879" t="s">
        <v>5</v>
      </c>
      <c r="C879" t="s">
        <v>27</v>
      </c>
      <c r="D879" t="s">
        <v>2</v>
      </c>
      <c r="E879" s="5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 s="4">
        <v>571.20000000000005</v>
      </c>
      <c r="L879" s="2">
        <v>35571.199999999997</v>
      </c>
      <c r="M879" t="str">
        <f t="shared" si="78"/>
        <v>Arizona</v>
      </c>
      <c r="N879" t="str">
        <f t="shared" si="79"/>
        <v>M</v>
      </c>
      <c r="O879" t="str">
        <f t="shared" si="80"/>
        <v>Master</v>
      </c>
      <c r="P879" t="str">
        <f t="shared" si="81"/>
        <v>Personal</v>
      </c>
      <c r="Q879">
        <f t="shared" si="82"/>
        <v>2</v>
      </c>
      <c r="R879">
        <f t="shared" ca="1" si="83"/>
        <v>29</v>
      </c>
    </row>
    <row r="880" spans="1:18" x14ac:dyDescent="0.35">
      <c r="A880" t="s">
        <v>919</v>
      </c>
      <c r="B880" t="s">
        <v>48</v>
      </c>
      <c r="C880" t="s">
        <v>27</v>
      </c>
      <c r="D880" t="s">
        <v>4</v>
      </c>
      <c r="E880" s="5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 s="4">
        <v>350.85398700000002</v>
      </c>
      <c r="L880" s="2">
        <v>35350.853987000002</v>
      </c>
      <c r="M880" t="str">
        <f t="shared" si="78"/>
        <v>California</v>
      </c>
      <c r="N880" t="str">
        <f t="shared" si="79"/>
        <v>M</v>
      </c>
      <c r="O880" t="str">
        <f t="shared" si="80"/>
        <v>Bachelor</v>
      </c>
      <c r="P880" t="str">
        <f t="shared" si="81"/>
        <v>Personal</v>
      </c>
      <c r="Q880">
        <f t="shared" si="82"/>
        <v>4</v>
      </c>
      <c r="R880">
        <f t="shared" ca="1" si="83"/>
        <v>29</v>
      </c>
    </row>
    <row r="881" spans="1:18" x14ac:dyDescent="0.35">
      <c r="A881" t="s">
        <v>920</v>
      </c>
      <c r="B881" t="s">
        <v>33</v>
      </c>
      <c r="C881" t="s">
        <v>21</v>
      </c>
      <c r="D881" t="s">
        <v>35</v>
      </c>
      <c r="E881" s="5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 s="4">
        <v>217.97316799999999</v>
      </c>
      <c r="L881" s="2">
        <v>35217.973167999997</v>
      </c>
      <c r="M881" t="str">
        <f t="shared" si="78"/>
        <v>Oregon</v>
      </c>
      <c r="N881" t="str">
        <f t="shared" si="79"/>
        <v>F</v>
      </c>
      <c r="O881" t="str">
        <f t="shared" si="80"/>
        <v>College</v>
      </c>
      <c r="P881" t="str">
        <f t="shared" si="81"/>
        <v>Corporate</v>
      </c>
      <c r="Q881">
        <f t="shared" si="82"/>
        <v>4</v>
      </c>
      <c r="R881">
        <f t="shared" ca="1" si="83"/>
        <v>30</v>
      </c>
    </row>
    <row r="882" spans="1:18" x14ac:dyDescent="0.35">
      <c r="A882" t="s">
        <v>921</v>
      </c>
      <c r="B882" t="s">
        <v>5</v>
      </c>
      <c r="C882" t="s">
        <v>27</v>
      </c>
      <c r="D882" t="s">
        <v>4</v>
      </c>
      <c r="E882" s="5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 s="4">
        <v>441.6</v>
      </c>
      <c r="L882" s="2">
        <v>35441.599999999999</v>
      </c>
      <c r="M882" t="str">
        <f t="shared" si="78"/>
        <v>Arizona</v>
      </c>
      <c r="N882" t="str">
        <f t="shared" si="79"/>
        <v>M</v>
      </c>
      <c r="O882" t="str">
        <f t="shared" si="80"/>
        <v>Bachelor</v>
      </c>
      <c r="P882" t="str">
        <f t="shared" si="81"/>
        <v>Personal</v>
      </c>
      <c r="Q882">
        <f t="shared" si="82"/>
        <v>4</v>
      </c>
      <c r="R882">
        <f t="shared" ca="1" si="83"/>
        <v>29</v>
      </c>
    </row>
    <row r="883" spans="1:18" x14ac:dyDescent="0.35">
      <c r="A883" t="s">
        <v>922</v>
      </c>
      <c r="B883" t="s">
        <v>5</v>
      </c>
      <c r="C883" t="s">
        <v>21</v>
      </c>
      <c r="D883" t="s">
        <v>31</v>
      </c>
      <c r="E883" s="5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 s="4">
        <v>25.934063999999999</v>
      </c>
      <c r="L883" s="2">
        <v>35025.934064000001</v>
      </c>
      <c r="M883" t="str">
        <f t="shared" si="78"/>
        <v>Arizona</v>
      </c>
      <c r="N883" t="str">
        <f t="shared" si="79"/>
        <v>F</v>
      </c>
      <c r="O883" t="str">
        <f t="shared" si="80"/>
        <v>High School or Below</v>
      </c>
      <c r="P883" t="str">
        <f t="shared" si="81"/>
        <v>Personal</v>
      </c>
      <c r="Q883">
        <f t="shared" si="82"/>
        <v>4</v>
      </c>
      <c r="R883">
        <f t="shared" ca="1" si="83"/>
        <v>30</v>
      </c>
    </row>
    <row r="884" spans="1:18" x14ac:dyDescent="0.35">
      <c r="A884" t="s">
        <v>923</v>
      </c>
      <c r="B884" t="s">
        <v>5</v>
      </c>
      <c r="C884" t="s">
        <v>21</v>
      </c>
      <c r="D884" t="s">
        <v>31</v>
      </c>
      <c r="E884" s="5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 s="4">
        <v>475.2</v>
      </c>
      <c r="L884" s="2">
        <v>35475.199999999997</v>
      </c>
      <c r="M884" t="str">
        <f t="shared" si="78"/>
        <v>Arizona</v>
      </c>
      <c r="N884" t="str">
        <f t="shared" si="79"/>
        <v>F</v>
      </c>
      <c r="O884" t="str">
        <f t="shared" si="80"/>
        <v>High School or Below</v>
      </c>
      <c r="P884" t="str">
        <f t="shared" si="81"/>
        <v>Personal</v>
      </c>
      <c r="Q884">
        <f t="shared" si="82"/>
        <v>4</v>
      </c>
      <c r="R884">
        <f t="shared" ca="1" si="83"/>
        <v>29</v>
      </c>
    </row>
    <row r="885" spans="1:18" x14ac:dyDescent="0.3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 s="4">
        <v>297.60000000000002</v>
      </c>
      <c r="L885" s="2">
        <v>35297.599999999999</v>
      </c>
      <c r="M885" t="str">
        <f t="shared" si="78"/>
        <v>Oregon</v>
      </c>
      <c r="N885" t="str">
        <f t="shared" si="79"/>
        <v>M</v>
      </c>
      <c r="O885" t="str">
        <f t="shared" si="80"/>
        <v>High School or Below</v>
      </c>
      <c r="P885" t="str">
        <f t="shared" si="81"/>
        <v>Personal</v>
      </c>
      <c r="Q885">
        <f t="shared" si="82"/>
        <v>4</v>
      </c>
      <c r="R885">
        <f t="shared" ca="1" si="83"/>
        <v>30</v>
      </c>
    </row>
    <row r="886" spans="1:18" x14ac:dyDescent="0.35">
      <c r="A886" t="s">
        <v>925</v>
      </c>
      <c r="B886" t="s">
        <v>3</v>
      </c>
      <c r="C886" t="s">
        <v>21</v>
      </c>
      <c r="D886" t="s">
        <v>31</v>
      </c>
      <c r="E886" s="5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 s="4">
        <v>188.93839700000001</v>
      </c>
      <c r="L886" s="2">
        <v>35188.938396999998</v>
      </c>
      <c r="M886" t="str">
        <f t="shared" si="78"/>
        <v>Washington</v>
      </c>
      <c r="N886" t="str">
        <f t="shared" si="79"/>
        <v>F</v>
      </c>
      <c r="O886" t="str">
        <f t="shared" si="80"/>
        <v>High School or Below</v>
      </c>
      <c r="P886" t="str">
        <f t="shared" si="81"/>
        <v>Special</v>
      </c>
      <c r="Q886">
        <f t="shared" si="82"/>
        <v>2</v>
      </c>
      <c r="R886">
        <f t="shared" ca="1" si="83"/>
        <v>30</v>
      </c>
    </row>
    <row r="887" spans="1:18" x14ac:dyDescent="0.35">
      <c r="A887" t="s">
        <v>926</v>
      </c>
      <c r="B887" t="s">
        <v>23</v>
      </c>
      <c r="C887" t="s">
        <v>21</v>
      </c>
      <c r="D887" t="s">
        <v>35</v>
      </c>
      <c r="E887" s="5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 s="4">
        <v>628.79999999999995</v>
      </c>
      <c r="L887" s="2">
        <v>35628.800000000003</v>
      </c>
      <c r="M887" t="str">
        <f t="shared" si="78"/>
        <v>Nevada</v>
      </c>
      <c r="N887" t="str">
        <f t="shared" si="79"/>
        <v>F</v>
      </c>
      <c r="O887" t="str">
        <f t="shared" si="80"/>
        <v>College</v>
      </c>
      <c r="P887" t="str">
        <f t="shared" si="81"/>
        <v>Corporate</v>
      </c>
      <c r="Q887">
        <f t="shared" si="82"/>
        <v>2</v>
      </c>
      <c r="R887">
        <f t="shared" ca="1" si="83"/>
        <v>29</v>
      </c>
    </row>
    <row r="888" spans="1:18" x14ac:dyDescent="0.35">
      <c r="A888" t="s">
        <v>927</v>
      </c>
      <c r="B888" t="s">
        <v>5</v>
      </c>
      <c r="C888" t="s">
        <v>27</v>
      </c>
      <c r="D888" t="s">
        <v>31</v>
      </c>
      <c r="E888" s="5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 s="4">
        <v>321.60000000000002</v>
      </c>
      <c r="L888" s="2">
        <v>35321.599999999999</v>
      </c>
      <c r="M888" t="str">
        <f t="shared" si="78"/>
        <v>Arizona</v>
      </c>
      <c r="N888" t="str">
        <f t="shared" si="79"/>
        <v>M</v>
      </c>
      <c r="O888" t="str">
        <f t="shared" si="80"/>
        <v>High School or Below</v>
      </c>
      <c r="P888" t="str">
        <f t="shared" si="81"/>
        <v>Personal</v>
      </c>
      <c r="Q888">
        <f t="shared" si="82"/>
        <v>4</v>
      </c>
      <c r="R888">
        <f t="shared" ca="1" si="83"/>
        <v>29</v>
      </c>
    </row>
    <row r="889" spans="1:18" x14ac:dyDescent="0.35">
      <c r="A889" t="s">
        <v>928</v>
      </c>
      <c r="B889" t="s">
        <v>48</v>
      </c>
      <c r="C889" t="s">
        <v>27</v>
      </c>
      <c r="D889" t="s">
        <v>31</v>
      </c>
      <c r="E889" s="5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 s="4">
        <v>153.205591</v>
      </c>
      <c r="L889" s="2">
        <v>35153.205590999998</v>
      </c>
      <c r="M889" t="str">
        <f t="shared" si="78"/>
        <v>California</v>
      </c>
      <c r="N889" t="str">
        <f t="shared" si="79"/>
        <v>M</v>
      </c>
      <c r="O889" t="str">
        <f t="shared" si="80"/>
        <v>High School or Below</v>
      </c>
      <c r="P889" t="str">
        <f t="shared" si="81"/>
        <v>Corporate</v>
      </c>
      <c r="Q889">
        <f t="shared" si="82"/>
        <v>4</v>
      </c>
      <c r="R889">
        <f t="shared" ca="1" si="83"/>
        <v>30</v>
      </c>
    </row>
    <row r="890" spans="1:18" x14ac:dyDescent="0.35">
      <c r="A890" t="s">
        <v>929</v>
      </c>
      <c r="B890" t="s">
        <v>5</v>
      </c>
      <c r="C890" t="s">
        <v>27</v>
      </c>
      <c r="D890" t="s">
        <v>4</v>
      </c>
      <c r="E890" s="5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 s="4">
        <v>2893.2396779999999</v>
      </c>
      <c r="L890" s="2">
        <v>37893.239677999998</v>
      </c>
      <c r="M890" t="str">
        <f t="shared" si="78"/>
        <v>Arizona</v>
      </c>
      <c r="N890" t="str">
        <f t="shared" si="79"/>
        <v>M</v>
      </c>
      <c r="O890" t="str">
        <f t="shared" si="80"/>
        <v>Bachelor</v>
      </c>
      <c r="P890" t="str">
        <f t="shared" si="81"/>
        <v>Personal</v>
      </c>
      <c r="Q890">
        <f t="shared" si="82"/>
        <v>4</v>
      </c>
      <c r="R890">
        <f t="shared" ca="1" si="83"/>
        <v>22</v>
      </c>
    </row>
    <row r="891" spans="1:18" x14ac:dyDescent="0.35">
      <c r="A891" t="s">
        <v>930</v>
      </c>
      <c r="B891" t="s">
        <v>48</v>
      </c>
      <c r="C891" t="s">
        <v>21</v>
      </c>
      <c r="D891" t="s">
        <v>35</v>
      </c>
      <c r="E891" s="5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 s="4">
        <v>629.53273100000001</v>
      </c>
      <c r="L891" s="2">
        <v>35629.532730999999</v>
      </c>
      <c r="M891" t="str">
        <f t="shared" si="78"/>
        <v>California</v>
      </c>
      <c r="N891" t="str">
        <f t="shared" si="79"/>
        <v>F</v>
      </c>
      <c r="O891" t="str">
        <f t="shared" si="80"/>
        <v>College</v>
      </c>
      <c r="P891" t="str">
        <f t="shared" si="81"/>
        <v>Corporate</v>
      </c>
      <c r="Q891">
        <f t="shared" si="82"/>
        <v>4</v>
      </c>
      <c r="R891">
        <f t="shared" ca="1" si="83"/>
        <v>29</v>
      </c>
    </row>
    <row r="892" spans="1:18" x14ac:dyDescent="0.35">
      <c r="A892" t="s">
        <v>931</v>
      </c>
      <c r="B892" t="s">
        <v>48</v>
      </c>
      <c r="C892" t="s">
        <v>21</v>
      </c>
      <c r="D892" t="s">
        <v>4</v>
      </c>
      <c r="E892" s="5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 s="4">
        <v>361.28475700000001</v>
      </c>
      <c r="L892" s="2">
        <v>35361.284757000001</v>
      </c>
      <c r="M892" t="str">
        <f t="shared" si="78"/>
        <v>California</v>
      </c>
      <c r="N892" t="str">
        <f t="shared" si="79"/>
        <v>F</v>
      </c>
      <c r="O892" t="str">
        <f t="shared" si="80"/>
        <v>Bachelor</v>
      </c>
      <c r="P892" t="str">
        <f t="shared" si="81"/>
        <v>Personal</v>
      </c>
      <c r="Q892">
        <f t="shared" si="82"/>
        <v>4</v>
      </c>
      <c r="R892">
        <f t="shared" ca="1" si="83"/>
        <v>29</v>
      </c>
    </row>
    <row r="893" spans="1:18" x14ac:dyDescent="0.35">
      <c r="A893" t="s">
        <v>932</v>
      </c>
      <c r="B893" t="s">
        <v>48</v>
      </c>
      <c r="C893" t="s">
        <v>21</v>
      </c>
      <c r="D893" t="s">
        <v>4</v>
      </c>
      <c r="E893" s="5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 s="4">
        <v>1185.9883010000001</v>
      </c>
      <c r="L893" s="2">
        <v>36185.988300999998</v>
      </c>
      <c r="M893" t="str">
        <f t="shared" si="78"/>
        <v>California</v>
      </c>
      <c r="N893" t="str">
        <f t="shared" si="79"/>
        <v>F</v>
      </c>
      <c r="O893" t="str">
        <f t="shared" si="80"/>
        <v>Bachelor</v>
      </c>
      <c r="P893" t="str">
        <f t="shared" si="81"/>
        <v>Corporate</v>
      </c>
      <c r="Q893">
        <f t="shared" si="82"/>
        <v>4</v>
      </c>
      <c r="R893">
        <f t="shared" ca="1" si="83"/>
        <v>27</v>
      </c>
    </row>
    <row r="894" spans="1:18" x14ac:dyDescent="0.35">
      <c r="A894" t="s">
        <v>933</v>
      </c>
      <c r="B894" t="s">
        <v>5</v>
      </c>
      <c r="C894" t="s">
        <v>21</v>
      </c>
      <c r="D894" t="s">
        <v>31</v>
      </c>
      <c r="E894" s="5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 s="4">
        <v>460.8</v>
      </c>
      <c r="L894" s="2">
        <v>35460.800000000003</v>
      </c>
      <c r="M894" t="str">
        <f t="shared" si="78"/>
        <v>Arizona</v>
      </c>
      <c r="N894" t="str">
        <f t="shared" si="79"/>
        <v>F</v>
      </c>
      <c r="O894" t="str">
        <f t="shared" si="80"/>
        <v>High School or Below</v>
      </c>
      <c r="P894" t="str">
        <f t="shared" si="81"/>
        <v>Personal</v>
      </c>
      <c r="Q894">
        <f t="shared" si="82"/>
        <v>4</v>
      </c>
      <c r="R894">
        <f t="shared" ca="1" si="83"/>
        <v>29</v>
      </c>
    </row>
    <row r="895" spans="1:18" x14ac:dyDescent="0.35">
      <c r="A895" t="s">
        <v>934</v>
      </c>
      <c r="B895" t="s">
        <v>5</v>
      </c>
      <c r="C895" t="s">
        <v>27</v>
      </c>
      <c r="D895" t="s">
        <v>4</v>
      </c>
      <c r="E895" s="5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 s="4">
        <v>86.461582000000007</v>
      </c>
      <c r="L895" s="2">
        <v>35086.461582000004</v>
      </c>
      <c r="M895" t="str">
        <f t="shared" si="78"/>
        <v>Arizona</v>
      </c>
      <c r="N895" t="str">
        <f t="shared" si="79"/>
        <v>M</v>
      </c>
      <c r="O895" t="str">
        <f t="shared" si="80"/>
        <v>Bachelor</v>
      </c>
      <c r="P895" t="str">
        <f t="shared" si="81"/>
        <v>Special</v>
      </c>
      <c r="Q895">
        <f t="shared" si="82"/>
        <v>4</v>
      </c>
      <c r="R895">
        <f t="shared" ca="1" si="83"/>
        <v>30</v>
      </c>
    </row>
    <row r="896" spans="1:18" x14ac:dyDescent="0.35">
      <c r="A896" t="s">
        <v>935</v>
      </c>
      <c r="B896" t="s">
        <v>33</v>
      </c>
      <c r="C896" t="s">
        <v>27</v>
      </c>
      <c r="D896" t="s">
        <v>4</v>
      </c>
      <c r="E896" s="5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 s="4">
        <v>340.8</v>
      </c>
      <c r="L896" s="2">
        <v>35340.800000000003</v>
      </c>
      <c r="M896" t="str">
        <f t="shared" si="78"/>
        <v>Oregon</v>
      </c>
      <c r="N896" t="str">
        <f t="shared" si="79"/>
        <v>M</v>
      </c>
      <c r="O896" t="str">
        <f t="shared" si="80"/>
        <v>Bachelor</v>
      </c>
      <c r="P896" t="str">
        <f t="shared" si="81"/>
        <v>Corporate</v>
      </c>
      <c r="Q896">
        <f t="shared" si="82"/>
        <v>4</v>
      </c>
      <c r="R896">
        <f t="shared" ca="1" si="83"/>
        <v>29</v>
      </c>
    </row>
    <row r="897" spans="1:18" x14ac:dyDescent="0.35">
      <c r="A897" t="s">
        <v>936</v>
      </c>
      <c r="B897" t="s">
        <v>48</v>
      </c>
      <c r="C897" t="s">
        <v>27</v>
      </c>
      <c r="D897" t="s">
        <v>31</v>
      </c>
      <c r="E897" s="5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 s="4">
        <v>425.80011200000001</v>
      </c>
      <c r="L897" s="2">
        <v>35425.800111999997</v>
      </c>
      <c r="M897" t="str">
        <f t="shared" si="78"/>
        <v>California</v>
      </c>
      <c r="N897" t="str">
        <f t="shared" si="79"/>
        <v>M</v>
      </c>
      <c r="O897" t="str">
        <f t="shared" si="80"/>
        <v>High School or Below</v>
      </c>
      <c r="P897" t="str">
        <f t="shared" si="81"/>
        <v>Personal</v>
      </c>
      <c r="Q897">
        <f t="shared" si="82"/>
        <v>4</v>
      </c>
      <c r="R897">
        <f t="shared" ca="1" si="83"/>
        <v>29</v>
      </c>
    </row>
    <row r="898" spans="1:18" x14ac:dyDescent="0.35">
      <c r="A898" t="s">
        <v>937</v>
      </c>
      <c r="B898" t="s">
        <v>3</v>
      </c>
      <c r="C898" t="s">
        <v>27</v>
      </c>
      <c r="D898" t="s">
        <v>4</v>
      </c>
      <c r="E898" s="5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 s="4">
        <v>190.43446</v>
      </c>
      <c r="L898" s="2">
        <v>35190.434459999997</v>
      </c>
      <c r="M898" t="str">
        <f t="shared" si="78"/>
        <v>Washington</v>
      </c>
      <c r="N898" t="str">
        <f t="shared" si="79"/>
        <v>M</v>
      </c>
      <c r="O898" t="str">
        <f t="shared" si="80"/>
        <v>Bachelor</v>
      </c>
      <c r="P898" t="str">
        <f t="shared" si="81"/>
        <v>Personal</v>
      </c>
      <c r="Q898">
        <f t="shared" si="82"/>
        <v>4</v>
      </c>
      <c r="R898">
        <f t="shared" ca="1" si="83"/>
        <v>30</v>
      </c>
    </row>
    <row r="899" spans="1:18" x14ac:dyDescent="0.35">
      <c r="A899" t="s">
        <v>938</v>
      </c>
      <c r="B899" t="s">
        <v>3</v>
      </c>
      <c r="C899" t="s">
        <v>21</v>
      </c>
      <c r="D899" t="s">
        <v>31</v>
      </c>
      <c r="E899" s="5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 s="4">
        <v>193.505325</v>
      </c>
      <c r="L899" s="2">
        <v>35193.505324999998</v>
      </c>
      <c r="M899" t="str">
        <f t="shared" ref="M899:M962" si="84">IF(OR(B899="California",B899="Cali"),"California",IF(OR(B899="Arizona",B899="AZ"),"Arizona",IF(OR(B899="Washington",B899="WA"),"Washington",B899)))</f>
        <v>Washington</v>
      </c>
      <c r="N899" t="str">
        <f t="shared" ref="N899:N962" si="85">IF(OR(C899="F",C899="Femal",C899="female"),"F",IF(OR(C899="M",C899="Male"),"M","NA"))</f>
        <v>F</v>
      </c>
      <c r="O899" t="str">
        <f t="shared" ref="O899:O962" si="86">IF(OR(D899="Bachelor",D899="Bachelors"),"Bachelor",D899)</f>
        <v>High School or Below</v>
      </c>
      <c r="P899" t="str">
        <f t="shared" ref="P899:P962" si="87">LEFT(I899,FIND(" ",I899)-1)</f>
        <v>Corporate</v>
      </c>
      <c r="Q899">
        <f t="shared" ref="Q899:Q962" si="88">IF(OR(J899="Luxury Car",J899="Two-Door Car",J899="Sports Car"),2,IF(OR(J899="Luxury SUV",J899="SUV",J899="Four-Door Car"),4,"NA"))</f>
        <v>4</v>
      </c>
      <c r="R899">
        <f t="shared" ref="R899:R962" ca="1" si="89">DATEDIF(L899,TODAY(),"Y")</f>
        <v>30</v>
      </c>
    </row>
    <row r="900" spans="1:18" x14ac:dyDescent="0.35">
      <c r="A900" t="s">
        <v>939</v>
      </c>
      <c r="B900" t="s">
        <v>23</v>
      </c>
      <c r="C900" t="s">
        <v>21</v>
      </c>
      <c r="D900" t="s">
        <v>2</v>
      </c>
      <c r="E900" s="5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 s="4">
        <v>24.087774</v>
      </c>
      <c r="L900" s="2">
        <v>35024.087774</v>
      </c>
      <c r="M900" t="str">
        <f t="shared" si="84"/>
        <v>Nevada</v>
      </c>
      <c r="N900" t="str">
        <f t="shared" si="85"/>
        <v>F</v>
      </c>
      <c r="O900" t="str">
        <f t="shared" si="86"/>
        <v>Master</v>
      </c>
      <c r="P900" t="str">
        <f t="shared" si="87"/>
        <v>Corporate</v>
      </c>
      <c r="Q900">
        <f t="shared" si="88"/>
        <v>2</v>
      </c>
      <c r="R900">
        <f t="shared" ca="1" si="89"/>
        <v>30</v>
      </c>
    </row>
    <row r="901" spans="1:18" x14ac:dyDescent="0.35">
      <c r="A901" t="s">
        <v>940</v>
      </c>
      <c r="B901" t="s">
        <v>48</v>
      </c>
      <c r="C901" t="s">
        <v>21</v>
      </c>
      <c r="D901" t="s">
        <v>4</v>
      </c>
      <c r="E901" s="5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 s="4">
        <v>302.39999999999998</v>
      </c>
      <c r="L901" s="2">
        <v>35302.400000000001</v>
      </c>
      <c r="M901" t="str">
        <f t="shared" si="84"/>
        <v>California</v>
      </c>
      <c r="N901" t="str">
        <f t="shared" si="85"/>
        <v>F</v>
      </c>
      <c r="O901" t="str">
        <f t="shared" si="86"/>
        <v>Bachelor</v>
      </c>
      <c r="P901" t="str">
        <f t="shared" si="87"/>
        <v>Personal</v>
      </c>
      <c r="Q901">
        <f t="shared" si="88"/>
        <v>4</v>
      </c>
      <c r="R901">
        <f t="shared" ca="1" si="89"/>
        <v>30</v>
      </c>
    </row>
    <row r="902" spans="1:18" x14ac:dyDescent="0.35">
      <c r="A902" t="s">
        <v>941</v>
      </c>
      <c r="B902" t="s">
        <v>5</v>
      </c>
      <c r="C902" t="s">
        <v>21</v>
      </c>
      <c r="D902" t="s">
        <v>31</v>
      </c>
      <c r="E902" s="5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 s="4">
        <v>219.28870599999999</v>
      </c>
      <c r="L902" s="2">
        <v>35219.288705999999</v>
      </c>
      <c r="M902" t="str">
        <f t="shared" si="84"/>
        <v>Arizona</v>
      </c>
      <c r="N902" t="str">
        <f t="shared" si="85"/>
        <v>F</v>
      </c>
      <c r="O902" t="str">
        <f t="shared" si="86"/>
        <v>High School or Below</v>
      </c>
      <c r="P902" t="str">
        <f t="shared" si="87"/>
        <v>Special</v>
      </c>
      <c r="Q902">
        <f t="shared" si="88"/>
        <v>4</v>
      </c>
      <c r="R902">
        <f t="shared" ca="1" si="89"/>
        <v>30</v>
      </c>
    </row>
    <row r="903" spans="1:18" x14ac:dyDescent="0.35">
      <c r="A903" t="s">
        <v>942</v>
      </c>
      <c r="B903" t="s">
        <v>48</v>
      </c>
      <c r="C903" t="s">
        <v>21</v>
      </c>
      <c r="D903" t="s">
        <v>4</v>
      </c>
      <c r="E903" s="5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 s="4">
        <v>881.36095899999998</v>
      </c>
      <c r="L903" s="2">
        <v>35881.360958999998</v>
      </c>
      <c r="M903" t="str">
        <f t="shared" si="84"/>
        <v>California</v>
      </c>
      <c r="N903" t="str">
        <f t="shared" si="85"/>
        <v>F</v>
      </c>
      <c r="O903" t="str">
        <f t="shared" si="86"/>
        <v>Bachelor</v>
      </c>
      <c r="P903" t="str">
        <f t="shared" si="87"/>
        <v>Personal</v>
      </c>
      <c r="Q903">
        <f t="shared" si="88"/>
        <v>4</v>
      </c>
      <c r="R903">
        <f t="shared" ca="1" si="89"/>
        <v>28</v>
      </c>
    </row>
    <row r="904" spans="1:18" x14ac:dyDescent="0.3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 s="4">
        <v>26.951626999999998</v>
      </c>
      <c r="L904" s="2">
        <v>35026.951627000002</v>
      </c>
      <c r="M904" t="str">
        <f t="shared" si="84"/>
        <v>Oregon</v>
      </c>
      <c r="N904" t="str">
        <f t="shared" si="85"/>
        <v>M</v>
      </c>
      <c r="O904" t="str">
        <f t="shared" si="86"/>
        <v>Doctor</v>
      </c>
      <c r="P904" t="str">
        <f t="shared" si="87"/>
        <v>Personal</v>
      </c>
      <c r="Q904">
        <f t="shared" si="88"/>
        <v>2</v>
      </c>
      <c r="R904">
        <f t="shared" ca="1" si="89"/>
        <v>30</v>
      </c>
    </row>
    <row r="905" spans="1:18" x14ac:dyDescent="0.35">
      <c r="A905" t="s">
        <v>944</v>
      </c>
      <c r="B905" t="s">
        <v>33</v>
      </c>
      <c r="C905" t="s">
        <v>21</v>
      </c>
      <c r="D905" t="s">
        <v>4</v>
      </c>
      <c r="E905" s="5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 s="4">
        <v>466.12254100000001</v>
      </c>
      <c r="L905" s="2">
        <v>35466.122540999997</v>
      </c>
      <c r="M905" t="str">
        <f t="shared" si="84"/>
        <v>Oregon</v>
      </c>
      <c r="N905" t="str">
        <f t="shared" si="85"/>
        <v>F</v>
      </c>
      <c r="O905" t="str">
        <f t="shared" si="86"/>
        <v>Bachelor</v>
      </c>
      <c r="P905" t="str">
        <f t="shared" si="87"/>
        <v>Personal</v>
      </c>
      <c r="Q905">
        <f t="shared" si="88"/>
        <v>4</v>
      </c>
      <c r="R905">
        <f t="shared" ca="1" si="89"/>
        <v>29</v>
      </c>
    </row>
    <row r="906" spans="1:18" x14ac:dyDescent="0.35">
      <c r="A906" t="s">
        <v>945</v>
      </c>
      <c r="B906" t="s">
        <v>5</v>
      </c>
      <c r="C906" t="s">
        <v>27</v>
      </c>
      <c r="D906" t="s">
        <v>31</v>
      </c>
      <c r="E906" s="5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 s="4">
        <v>475.2</v>
      </c>
      <c r="L906" s="2">
        <v>35475.199999999997</v>
      </c>
      <c r="M906" t="str">
        <f t="shared" si="84"/>
        <v>Arizona</v>
      </c>
      <c r="N906" t="str">
        <f t="shared" si="85"/>
        <v>M</v>
      </c>
      <c r="O906" t="str">
        <f t="shared" si="86"/>
        <v>High School or Below</v>
      </c>
      <c r="P906" t="str">
        <f t="shared" si="87"/>
        <v>Personal</v>
      </c>
      <c r="Q906">
        <f t="shared" si="88"/>
        <v>2</v>
      </c>
      <c r="R906">
        <f t="shared" ca="1" si="89"/>
        <v>29</v>
      </c>
    </row>
    <row r="907" spans="1:18" x14ac:dyDescent="0.35">
      <c r="A907" t="s">
        <v>946</v>
      </c>
      <c r="B907" t="s">
        <v>48</v>
      </c>
      <c r="C907" t="s">
        <v>27</v>
      </c>
      <c r="D907" t="s">
        <v>35</v>
      </c>
      <c r="E907" s="5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 s="4">
        <v>607.09565499999997</v>
      </c>
      <c r="L907" s="2">
        <v>35607.095654999997</v>
      </c>
      <c r="M907" t="str">
        <f t="shared" si="84"/>
        <v>California</v>
      </c>
      <c r="N907" t="str">
        <f t="shared" si="85"/>
        <v>M</v>
      </c>
      <c r="O907" t="str">
        <f t="shared" si="86"/>
        <v>College</v>
      </c>
      <c r="P907" t="str">
        <f t="shared" si="87"/>
        <v>Personal</v>
      </c>
      <c r="Q907">
        <f t="shared" si="88"/>
        <v>4</v>
      </c>
      <c r="R907">
        <f t="shared" ca="1" si="89"/>
        <v>29</v>
      </c>
    </row>
    <row r="908" spans="1:18" x14ac:dyDescent="0.35">
      <c r="A908" t="s">
        <v>947</v>
      </c>
      <c r="B908" t="s">
        <v>5</v>
      </c>
      <c r="C908" t="s">
        <v>21</v>
      </c>
      <c r="D908" t="s">
        <v>35</v>
      </c>
      <c r="E908" s="5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 s="4">
        <v>331.2</v>
      </c>
      <c r="L908" s="2">
        <v>35331.199999999997</v>
      </c>
      <c r="M908" t="str">
        <f t="shared" si="84"/>
        <v>Arizona</v>
      </c>
      <c r="N908" t="str">
        <f t="shared" si="85"/>
        <v>F</v>
      </c>
      <c r="O908" t="str">
        <f t="shared" si="86"/>
        <v>College</v>
      </c>
      <c r="P908" t="str">
        <f t="shared" si="87"/>
        <v>Corporate</v>
      </c>
      <c r="Q908">
        <f t="shared" si="88"/>
        <v>4</v>
      </c>
      <c r="R908">
        <f t="shared" ca="1" si="89"/>
        <v>29</v>
      </c>
    </row>
    <row r="909" spans="1:18" x14ac:dyDescent="0.35">
      <c r="A909" t="s">
        <v>948</v>
      </c>
      <c r="B909" t="s">
        <v>48</v>
      </c>
      <c r="C909" t="s">
        <v>21</v>
      </c>
      <c r="D909" t="s">
        <v>35</v>
      </c>
      <c r="E909" s="5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 s="4">
        <v>290.38170700000001</v>
      </c>
      <c r="L909" s="2">
        <v>35290.381707</v>
      </c>
      <c r="M909" t="str">
        <f t="shared" si="84"/>
        <v>California</v>
      </c>
      <c r="N909" t="str">
        <f t="shared" si="85"/>
        <v>F</v>
      </c>
      <c r="O909" t="str">
        <f t="shared" si="86"/>
        <v>College</v>
      </c>
      <c r="P909" t="str">
        <f t="shared" si="87"/>
        <v>Personal</v>
      </c>
      <c r="Q909">
        <f t="shared" si="88"/>
        <v>4</v>
      </c>
      <c r="R909">
        <f t="shared" ca="1" si="89"/>
        <v>30</v>
      </c>
    </row>
    <row r="910" spans="1:18" x14ac:dyDescent="0.35">
      <c r="A910" t="s">
        <v>949</v>
      </c>
      <c r="B910" t="s">
        <v>5</v>
      </c>
      <c r="C910" t="s">
        <v>21</v>
      </c>
      <c r="D910" t="s">
        <v>31</v>
      </c>
      <c r="E910" s="5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 s="4">
        <v>558.09935700000005</v>
      </c>
      <c r="L910" s="2">
        <v>35558.099356999999</v>
      </c>
      <c r="M910" t="str">
        <f t="shared" si="84"/>
        <v>Arizona</v>
      </c>
      <c r="N910" t="str">
        <f t="shared" si="85"/>
        <v>F</v>
      </c>
      <c r="O910" t="str">
        <f t="shared" si="86"/>
        <v>High School or Below</v>
      </c>
      <c r="P910" t="str">
        <f t="shared" si="87"/>
        <v>Personal</v>
      </c>
      <c r="Q910">
        <f t="shared" si="88"/>
        <v>4</v>
      </c>
      <c r="R910">
        <f t="shared" ca="1" si="89"/>
        <v>29</v>
      </c>
    </row>
    <row r="911" spans="1:18" x14ac:dyDescent="0.35">
      <c r="A911" t="s">
        <v>950</v>
      </c>
      <c r="B911" t="s">
        <v>23</v>
      </c>
      <c r="C911" t="s">
        <v>21</v>
      </c>
      <c r="D911" t="s">
        <v>4</v>
      </c>
      <c r="E911" s="5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 s="4">
        <v>336</v>
      </c>
      <c r="L911" s="2">
        <v>35336</v>
      </c>
      <c r="M911" t="str">
        <f t="shared" si="84"/>
        <v>Nevada</v>
      </c>
      <c r="N911" t="str">
        <f t="shared" si="85"/>
        <v>F</v>
      </c>
      <c r="O911" t="str">
        <f t="shared" si="86"/>
        <v>Bachelor</v>
      </c>
      <c r="P911" t="str">
        <f t="shared" si="87"/>
        <v>Corporate</v>
      </c>
      <c r="Q911">
        <f t="shared" si="88"/>
        <v>4</v>
      </c>
      <c r="R911">
        <f t="shared" ca="1" si="89"/>
        <v>29</v>
      </c>
    </row>
    <row r="912" spans="1:18" x14ac:dyDescent="0.35">
      <c r="A912" t="s">
        <v>951</v>
      </c>
      <c r="B912" t="s">
        <v>33</v>
      </c>
      <c r="C912" t="s">
        <v>27</v>
      </c>
      <c r="D912" t="s">
        <v>4</v>
      </c>
      <c r="E912" s="5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 s="4">
        <v>828</v>
      </c>
      <c r="L912" s="2">
        <v>35828</v>
      </c>
      <c r="M912" t="str">
        <f t="shared" si="84"/>
        <v>Oregon</v>
      </c>
      <c r="N912" t="str">
        <f t="shared" si="85"/>
        <v>M</v>
      </c>
      <c r="O912" t="str">
        <f t="shared" si="86"/>
        <v>Bachelor</v>
      </c>
      <c r="P912" t="str">
        <f t="shared" si="87"/>
        <v>Personal</v>
      </c>
      <c r="Q912">
        <f t="shared" si="88"/>
        <v>4</v>
      </c>
      <c r="R912">
        <f t="shared" ca="1" si="89"/>
        <v>28</v>
      </c>
    </row>
    <row r="913" spans="1:18" x14ac:dyDescent="0.35">
      <c r="A913" t="s">
        <v>952</v>
      </c>
      <c r="B913" t="s">
        <v>5</v>
      </c>
      <c r="C913" t="s">
        <v>21</v>
      </c>
      <c r="D913" t="s">
        <v>31</v>
      </c>
      <c r="E913" s="5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 s="4">
        <v>540.51411499999995</v>
      </c>
      <c r="L913" s="2">
        <v>35540.514114999998</v>
      </c>
      <c r="M913" t="str">
        <f t="shared" si="84"/>
        <v>Arizona</v>
      </c>
      <c r="N913" t="str">
        <f t="shared" si="85"/>
        <v>F</v>
      </c>
      <c r="O913" t="str">
        <f t="shared" si="86"/>
        <v>High School or Below</v>
      </c>
      <c r="P913" t="str">
        <f t="shared" si="87"/>
        <v>Corporate</v>
      </c>
      <c r="Q913">
        <f t="shared" si="88"/>
        <v>4</v>
      </c>
      <c r="R913">
        <f t="shared" ca="1" si="89"/>
        <v>29</v>
      </c>
    </row>
    <row r="914" spans="1:18" x14ac:dyDescent="0.35">
      <c r="A914" t="s">
        <v>953</v>
      </c>
      <c r="B914" t="s">
        <v>5</v>
      </c>
      <c r="C914" t="s">
        <v>21</v>
      </c>
      <c r="D914" t="s">
        <v>4</v>
      </c>
      <c r="E914" s="5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 s="4">
        <v>100.04983199999999</v>
      </c>
      <c r="L914" s="2">
        <v>35100.049831999997</v>
      </c>
      <c r="M914" t="str">
        <f t="shared" si="84"/>
        <v>Arizona</v>
      </c>
      <c r="N914" t="str">
        <f t="shared" si="85"/>
        <v>F</v>
      </c>
      <c r="O914" t="str">
        <f t="shared" si="86"/>
        <v>Bachelor</v>
      </c>
      <c r="P914" t="str">
        <f t="shared" si="87"/>
        <v>Personal</v>
      </c>
      <c r="Q914">
        <f t="shared" si="88"/>
        <v>4</v>
      </c>
      <c r="R914">
        <f t="shared" ca="1" si="89"/>
        <v>30</v>
      </c>
    </row>
    <row r="915" spans="1:18" x14ac:dyDescent="0.35">
      <c r="A915" t="s">
        <v>954</v>
      </c>
      <c r="B915" t="s">
        <v>48</v>
      </c>
      <c r="C915" t="s">
        <v>21</v>
      </c>
      <c r="D915" t="s">
        <v>35</v>
      </c>
      <c r="E915" s="5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 s="4">
        <v>59.861963000000003</v>
      </c>
      <c r="L915" s="2">
        <v>35059.861963000003</v>
      </c>
      <c r="M915" t="str">
        <f t="shared" si="84"/>
        <v>California</v>
      </c>
      <c r="N915" t="str">
        <f t="shared" si="85"/>
        <v>F</v>
      </c>
      <c r="O915" t="str">
        <f t="shared" si="86"/>
        <v>College</v>
      </c>
      <c r="P915" t="str">
        <f t="shared" si="87"/>
        <v>Personal</v>
      </c>
      <c r="Q915">
        <f t="shared" si="88"/>
        <v>4</v>
      </c>
      <c r="R915">
        <f t="shared" ca="1" si="89"/>
        <v>30</v>
      </c>
    </row>
    <row r="916" spans="1:18" x14ac:dyDescent="0.35">
      <c r="A916" t="s">
        <v>955</v>
      </c>
      <c r="B916" t="s">
        <v>3</v>
      </c>
      <c r="C916" t="s">
        <v>21</v>
      </c>
      <c r="D916" t="s">
        <v>35</v>
      </c>
      <c r="E916" s="5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 s="4">
        <v>193.57032000000001</v>
      </c>
      <c r="L916" s="2">
        <v>35193.570319999999</v>
      </c>
      <c r="M916" t="str">
        <f t="shared" si="84"/>
        <v>Washington</v>
      </c>
      <c r="N916" t="str">
        <f t="shared" si="85"/>
        <v>F</v>
      </c>
      <c r="O916" t="str">
        <f t="shared" si="86"/>
        <v>College</v>
      </c>
      <c r="P916" t="str">
        <f t="shared" si="87"/>
        <v>Corporate</v>
      </c>
      <c r="Q916">
        <f t="shared" si="88"/>
        <v>4</v>
      </c>
      <c r="R916">
        <f t="shared" ca="1" si="89"/>
        <v>30</v>
      </c>
    </row>
    <row r="917" spans="1:18" x14ac:dyDescent="0.35">
      <c r="A917" t="s">
        <v>956</v>
      </c>
      <c r="B917" t="s">
        <v>3</v>
      </c>
      <c r="C917" t="s">
        <v>27</v>
      </c>
      <c r="D917" t="s">
        <v>35</v>
      </c>
      <c r="E917" s="5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 s="4">
        <v>199.79727</v>
      </c>
      <c r="L917" s="2">
        <v>35199.797270000003</v>
      </c>
      <c r="M917" t="str">
        <f t="shared" si="84"/>
        <v>Washington</v>
      </c>
      <c r="N917" t="str">
        <f t="shared" si="85"/>
        <v>M</v>
      </c>
      <c r="O917" t="str">
        <f t="shared" si="86"/>
        <v>College</v>
      </c>
      <c r="P917" t="str">
        <f t="shared" si="87"/>
        <v>Corporate</v>
      </c>
      <c r="Q917">
        <f t="shared" si="88"/>
        <v>4</v>
      </c>
      <c r="R917">
        <f t="shared" ca="1" si="89"/>
        <v>30</v>
      </c>
    </row>
    <row r="918" spans="1:18" x14ac:dyDescent="0.35">
      <c r="A918" t="s">
        <v>957</v>
      </c>
      <c r="B918" t="s">
        <v>33</v>
      </c>
      <c r="C918" t="s">
        <v>21</v>
      </c>
      <c r="D918" t="s">
        <v>35</v>
      </c>
      <c r="E918" s="5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 s="4">
        <v>53.084752999999999</v>
      </c>
      <c r="L918" s="2">
        <v>35053.084753000003</v>
      </c>
      <c r="M918" t="str">
        <f t="shared" si="84"/>
        <v>Oregon</v>
      </c>
      <c r="N918" t="str">
        <f t="shared" si="85"/>
        <v>F</v>
      </c>
      <c r="O918" t="str">
        <f t="shared" si="86"/>
        <v>College</v>
      </c>
      <c r="P918" t="str">
        <f t="shared" si="87"/>
        <v>Special</v>
      </c>
      <c r="Q918">
        <f t="shared" si="88"/>
        <v>4</v>
      </c>
      <c r="R918">
        <f t="shared" ca="1" si="89"/>
        <v>30</v>
      </c>
    </row>
    <row r="919" spans="1:18" x14ac:dyDescent="0.35">
      <c r="A919" t="s">
        <v>958</v>
      </c>
      <c r="B919" t="s">
        <v>5</v>
      </c>
      <c r="C919" t="s">
        <v>21</v>
      </c>
      <c r="D919" t="s">
        <v>31</v>
      </c>
      <c r="E919" s="5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 s="4">
        <v>256.43803000000003</v>
      </c>
      <c r="L919" s="2">
        <v>35256.438029999998</v>
      </c>
      <c r="M919" t="str">
        <f t="shared" si="84"/>
        <v>Arizona</v>
      </c>
      <c r="N919" t="str">
        <f t="shared" si="85"/>
        <v>F</v>
      </c>
      <c r="O919" t="str">
        <f t="shared" si="86"/>
        <v>High School or Below</v>
      </c>
      <c r="P919" t="str">
        <f t="shared" si="87"/>
        <v>Special</v>
      </c>
      <c r="Q919">
        <f t="shared" si="88"/>
        <v>4</v>
      </c>
      <c r="R919">
        <f t="shared" ca="1" si="89"/>
        <v>30</v>
      </c>
    </row>
    <row r="920" spans="1:18" x14ac:dyDescent="0.35">
      <c r="A920" t="s">
        <v>959</v>
      </c>
      <c r="B920" t="s">
        <v>3</v>
      </c>
      <c r="C920" t="s">
        <v>21</v>
      </c>
      <c r="D920" t="s">
        <v>35</v>
      </c>
      <c r="E920" s="5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 s="4">
        <v>211.136067</v>
      </c>
      <c r="L920" s="2">
        <v>35211.136066999999</v>
      </c>
      <c r="M920" t="str">
        <f t="shared" si="84"/>
        <v>Washington</v>
      </c>
      <c r="N920" t="str">
        <f t="shared" si="85"/>
        <v>F</v>
      </c>
      <c r="O920" t="str">
        <f t="shared" si="86"/>
        <v>College</v>
      </c>
      <c r="P920" t="str">
        <f t="shared" si="87"/>
        <v>Personal</v>
      </c>
      <c r="Q920">
        <f t="shared" si="88"/>
        <v>4</v>
      </c>
      <c r="R920">
        <f t="shared" ca="1" si="89"/>
        <v>30</v>
      </c>
    </row>
    <row r="921" spans="1:18" x14ac:dyDescent="0.35">
      <c r="A921" t="s">
        <v>960</v>
      </c>
      <c r="B921" t="s">
        <v>48</v>
      </c>
      <c r="C921" t="s">
        <v>21</v>
      </c>
      <c r="D921" t="s">
        <v>31</v>
      </c>
      <c r="E921" s="5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 s="4">
        <v>74.350892999999999</v>
      </c>
      <c r="L921" s="2">
        <v>35074.350893000003</v>
      </c>
      <c r="M921" t="str">
        <f t="shared" si="84"/>
        <v>California</v>
      </c>
      <c r="N921" t="str">
        <f t="shared" si="85"/>
        <v>F</v>
      </c>
      <c r="O921" t="str">
        <f t="shared" si="86"/>
        <v>High School or Below</v>
      </c>
      <c r="P921" t="str">
        <f t="shared" si="87"/>
        <v>Personal</v>
      </c>
      <c r="Q921">
        <f t="shared" si="88"/>
        <v>4</v>
      </c>
      <c r="R921">
        <f t="shared" ca="1" si="89"/>
        <v>30</v>
      </c>
    </row>
    <row r="922" spans="1:18" x14ac:dyDescent="0.35">
      <c r="A922" t="s">
        <v>961</v>
      </c>
      <c r="B922" t="s">
        <v>48</v>
      </c>
      <c r="C922" t="s">
        <v>27</v>
      </c>
      <c r="D922" t="s">
        <v>4</v>
      </c>
      <c r="E922" s="5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 s="4">
        <v>621.46446800000001</v>
      </c>
      <c r="L922" s="2">
        <v>35621.464467999998</v>
      </c>
      <c r="M922" t="str">
        <f t="shared" si="84"/>
        <v>California</v>
      </c>
      <c r="N922" t="str">
        <f t="shared" si="85"/>
        <v>M</v>
      </c>
      <c r="O922" t="str">
        <f t="shared" si="86"/>
        <v>Bachelor</v>
      </c>
      <c r="P922" t="str">
        <f t="shared" si="87"/>
        <v>Corporate</v>
      </c>
      <c r="Q922">
        <f t="shared" si="88"/>
        <v>4</v>
      </c>
      <c r="R922">
        <f t="shared" ca="1" si="89"/>
        <v>29</v>
      </c>
    </row>
    <row r="923" spans="1:18" x14ac:dyDescent="0.3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 s="4">
        <v>307.2</v>
      </c>
      <c r="L923" s="2">
        <v>35307.199999999997</v>
      </c>
      <c r="M923" t="str">
        <f t="shared" si="84"/>
        <v>Oregon</v>
      </c>
      <c r="N923" t="str">
        <f t="shared" si="85"/>
        <v>M</v>
      </c>
      <c r="O923" t="str">
        <f t="shared" si="86"/>
        <v>College</v>
      </c>
      <c r="P923" t="str">
        <f t="shared" si="87"/>
        <v>Personal</v>
      </c>
      <c r="Q923">
        <f t="shared" si="88"/>
        <v>4</v>
      </c>
      <c r="R923">
        <f t="shared" ca="1" si="89"/>
        <v>30</v>
      </c>
    </row>
    <row r="924" spans="1:18" x14ac:dyDescent="0.3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 s="4">
        <v>360.05588999999998</v>
      </c>
      <c r="L924" s="2">
        <v>35360.055890000003</v>
      </c>
      <c r="M924" t="str">
        <f t="shared" si="84"/>
        <v>Oregon</v>
      </c>
      <c r="N924" t="str">
        <f t="shared" si="85"/>
        <v>M</v>
      </c>
      <c r="O924" t="str">
        <f t="shared" si="86"/>
        <v>High School or Below</v>
      </c>
      <c r="P924" t="str">
        <f t="shared" si="87"/>
        <v>Personal</v>
      </c>
      <c r="Q924">
        <f t="shared" si="88"/>
        <v>2</v>
      </c>
      <c r="R924">
        <f t="shared" ca="1" si="89"/>
        <v>29</v>
      </c>
    </row>
    <row r="925" spans="1:18" x14ac:dyDescent="0.35">
      <c r="A925" t="s">
        <v>964</v>
      </c>
      <c r="B925" t="s">
        <v>5</v>
      </c>
      <c r="C925" t="s">
        <v>21</v>
      </c>
      <c r="D925" t="s">
        <v>4</v>
      </c>
      <c r="E925" s="5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 s="4">
        <v>65.954813000000001</v>
      </c>
      <c r="L925" s="2">
        <v>35065.954812999997</v>
      </c>
      <c r="M925" t="str">
        <f t="shared" si="84"/>
        <v>Arizona</v>
      </c>
      <c r="N925" t="str">
        <f t="shared" si="85"/>
        <v>F</v>
      </c>
      <c r="O925" t="str">
        <f t="shared" si="86"/>
        <v>Bachelor</v>
      </c>
      <c r="P925" t="str">
        <f t="shared" si="87"/>
        <v>Personal</v>
      </c>
      <c r="Q925">
        <f t="shared" si="88"/>
        <v>4</v>
      </c>
      <c r="R925">
        <f t="shared" ca="1" si="89"/>
        <v>30</v>
      </c>
    </row>
    <row r="926" spans="1:18" x14ac:dyDescent="0.35">
      <c r="A926" t="s">
        <v>965</v>
      </c>
      <c r="B926" t="s">
        <v>5</v>
      </c>
      <c r="C926" t="s">
        <v>27</v>
      </c>
      <c r="D926" t="s">
        <v>35</v>
      </c>
      <c r="E926" s="5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 s="4">
        <v>407.45011799999997</v>
      </c>
      <c r="L926" s="2">
        <v>35407.450118000001</v>
      </c>
      <c r="M926" t="str">
        <f t="shared" si="84"/>
        <v>Arizona</v>
      </c>
      <c r="N926" t="str">
        <f t="shared" si="85"/>
        <v>M</v>
      </c>
      <c r="O926" t="str">
        <f t="shared" si="86"/>
        <v>College</v>
      </c>
      <c r="P926" t="str">
        <f t="shared" si="87"/>
        <v>Personal</v>
      </c>
      <c r="Q926">
        <f t="shared" si="88"/>
        <v>4</v>
      </c>
      <c r="R926">
        <f t="shared" ca="1" si="89"/>
        <v>29</v>
      </c>
    </row>
    <row r="927" spans="1:18" x14ac:dyDescent="0.35">
      <c r="A927" t="s">
        <v>966</v>
      </c>
      <c r="B927" t="s">
        <v>48</v>
      </c>
      <c r="C927" t="s">
        <v>21</v>
      </c>
      <c r="D927" t="s">
        <v>35</v>
      </c>
      <c r="E927" s="5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 s="4">
        <v>547.20000000000005</v>
      </c>
      <c r="L927" s="2">
        <v>35547.199999999997</v>
      </c>
      <c r="M927" t="str">
        <f t="shared" si="84"/>
        <v>California</v>
      </c>
      <c r="N927" t="str">
        <f t="shared" si="85"/>
        <v>F</v>
      </c>
      <c r="O927" t="str">
        <f t="shared" si="86"/>
        <v>College</v>
      </c>
      <c r="P927" t="str">
        <f t="shared" si="87"/>
        <v>Corporate</v>
      </c>
      <c r="Q927">
        <f t="shared" si="88"/>
        <v>4</v>
      </c>
      <c r="R927">
        <f t="shared" ca="1" si="89"/>
        <v>29</v>
      </c>
    </row>
    <row r="928" spans="1:18" x14ac:dyDescent="0.35">
      <c r="A928" t="s">
        <v>967</v>
      </c>
      <c r="B928" t="s">
        <v>33</v>
      </c>
      <c r="C928" t="s">
        <v>21</v>
      </c>
      <c r="D928" t="s">
        <v>35</v>
      </c>
      <c r="E928" s="5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 s="4">
        <v>1228.8</v>
      </c>
      <c r="L928" s="2">
        <v>36228.800000000003</v>
      </c>
      <c r="M928" t="str">
        <f t="shared" si="84"/>
        <v>Oregon</v>
      </c>
      <c r="N928" t="str">
        <f t="shared" si="85"/>
        <v>F</v>
      </c>
      <c r="O928" t="str">
        <f t="shared" si="86"/>
        <v>College</v>
      </c>
      <c r="P928" t="str">
        <f t="shared" si="87"/>
        <v>Personal</v>
      </c>
      <c r="Q928">
        <f t="shared" si="88"/>
        <v>2</v>
      </c>
      <c r="R928">
        <f t="shared" ca="1" si="89"/>
        <v>27</v>
      </c>
    </row>
    <row r="929" spans="1:18" x14ac:dyDescent="0.3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 s="4">
        <v>547.20000000000005</v>
      </c>
      <c r="L929" s="2">
        <v>35547.199999999997</v>
      </c>
      <c r="M929" t="str">
        <f t="shared" si="84"/>
        <v>Nevada</v>
      </c>
      <c r="N929" t="str">
        <f t="shared" si="85"/>
        <v>M</v>
      </c>
      <c r="O929" t="str">
        <f t="shared" si="86"/>
        <v>College</v>
      </c>
      <c r="P929" t="str">
        <f t="shared" si="87"/>
        <v>Special</v>
      </c>
      <c r="Q929">
        <f t="shared" si="88"/>
        <v>4</v>
      </c>
      <c r="R929">
        <f t="shared" ca="1" si="89"/>
        <v>29</v>
      </c>
    </row>
    <row r="930" spans="1:18" x14ac:dyDescent="0.3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 s="4">
        <v>806.4</v>
      </c>
      <c r="L930" s="2">
        <v>35806.400000000001</v>
      </c>
      <c r="M930" t="str">
        <f t="shared" si="84"/>
        <v>Nevada</v>
      </c>
      <c r="N930" t="str">
        <f t="shared" si="85"/>
        <v>M</v>
      </c>
      <c r="O930" t="str">
        <f t="shared" si="86"/>
        <v>High School or Below</v>
      </c>
      <c r="P930" t="str">
        <f t="shared" si="87"/>
        <v>Personal</v>
      </c>
      <c r="Q930">
        <f t="shared" si="88"/>
        <v>4</v>
      </c>
      <c r="R930">
        <f t="shared" ca="1" si="89"/>
        <v>28</v>
      </c>
    </row>
    <row r="931" spans="1:18" x14ac:dyDescent="0.35">
      <c r="A931" t="s">
        <v>970</v>
      </c>
      <c r="B931" t="s">
        <v>33</v>
      </c>
      <c r="C931" t="s">
        <v>21</v>
      </c>
      <c r="D931" t="s">
        <v>31</v>
      </c>
      <c r="E931" s="5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 s="4">
        <v>24.063693000000001</v>
      </c>
      <c r="L931" s="2">
        <v>35024.063692999996</v>
      </c>
      <c r="M931" t="str">
        <f t="shared" si="84"/>
        <v>Oregon</v>
      </c>
      <c r="N931" t="str">
        <f t="shared" si="85"/>
        <v>F</v>
      </c>
      <c r="O931" t="str">
        <f t="shared" si="86"/>
        <v>High School or Below</v>
      </c>
      <c r="P931" t="str">
        <f t="shared" si="87"/>
        <v>Personal</v>
      </c>
      <c r="Q931">
        <f t="shared" si="88"/>
        <v>4</v>
      </c>
      <c r="R931">
        <f t="shared" ca="1" si="89"/>
        <v>30</v>
      </c>
    </row>
    <row r="932" spans="1:18" x14ac:dyDescent="0.35">
      <c r="A932" t="s">
        <v>971</v>
      </c>
      <c r="B932" t="s">
        <v>48</v>
      </c>
      <c r="C932" t="s">
        <v>21</v>
      </c>
      <c r="D932" t="s">
        <v>4</v>
      </c>
      <c r="E932" s="5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 s="4">
        <v>311.32928199999998</v>
      </c>
      <c r="L932" s="2">
        <v>35311.329281999999</v>
      </c>
      <c r="M932" t="str">
        <f t="shared" si="84"/>
        <v>California</v>
      </c>
      <c r="N932" t="str">
        <f t="shared" si="85"/>
        <v>F</v>
      </c>
      <c r="O932" t="str">
        <f t="shared" si="86"/>
        <v>Bachelor</v>
      </c>
      <c r="P932" t="str">
        <f t="shared" si="87"/>
        <v>Corporate</v>
      </c>
      <c r="Q932">
        <f t="shared" si="88"/>
        <v>4</v>
      </c>
      <c r="R932">
        <f t="shared" ca="1" si="89"/>
        <v>30</v>
      </c>
    </row>
    <row r="933" spans="1:18" x14ac:dyDescent="0.35">
      <c r="A933" t="s">
        <v>972</v>
      </c>
      <c r="B933" t="s">
        <v>23</v>
      </c>
      <c r="C933" t="s">
        <v>21</v>
      </c>
      <c r="D933" t="s">
        <v>2</v>
      </c>
      <c r="E933" s="5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 s="4">
        <v>42.689135</v>
      </c>
      <c r="L933" s="2">
        <v>35042.689135000001</v>
      </c>
      <c r="M933" t="str">
        <f t="shared" si="84"/>
        <v>Nevada</v>
      </c>
      <c r="N933" t="str">
        <f t="shared" si="85"/>
        <v>F</v>
      </c>
      <c r="O933" t="str">
        <f t="shared" si="86"/>
        <v>Master</v>
      </c>
      <c r="P933" t="str">
        <f t="shared" si="87"/>
        <v>Personal</v>
      </c>
      <c r="Q933">
        <f t="shared" si="88"/>
        <v>4</v>
      </c>
      <c r="R933">
        <f t="shared" ca="1" si="89"/>
        <v>30</v>
      </c>
    </row>
    <row r="934" spans="1:18" x14ac:dyDescent="0.35">
      <c r="A934" t="s">
        <v>973</v>
      </c>
      <c r="B934" t="s">
        <v>33</v>
      </c>
      <c r="C934" t="s">
        <v>27</v>
      </c>
      <c r="D934" t="s">
        <v>4</v>
      </c>
      <c r="E934" s="5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 s="4">
        <v>460.32385499999998</v>
      </c>
      <c r="L934" s="2">
        <v>35460.323855000002</v>
      </c>
      <c r="M934" t="str">
        <f t="shared" si="84"/>
        <v>Oregon</v>
      </c>
      <c r="N934" t="str">
        <f t="shared" si="85"/>
        <v>M</v>
      </c>
      <c r="O934" t="str">
        <f t="shared" si="86"/>
        <v>Bachelor</v>
      </c>
      <c r="P934" t="str">
        <f t="shared" si="87"/>
        <v>Special</v>
      </c>
      <c r="Q934">
        <f t="shared" si="88"/>
        <v>4</v>
      </c>
      <c r="R934">
        <f t="shared" ca="1" si="89"/>
        <v>29</v>
      </c>
    </row>
    <row r="935" spans="1:18" x14ac:dyDescent="0.35">
      <c r="A935" t="s">
        <v>974</v>
      </c>
      <c r="B935" t="s">
        <v>3</v>
      </c>
      <c r="C935" t="s">
        <v>27</v>
      </c>
      <c r="D935" t="s">
        <v>2</v>
      </c>
      <c r="E935" s="5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 s="4">
        <v>213.22500099999999</v>
      </c>
      <c r="L935" s="2">
        <v>35213.225000999999</v>
      </c>
      <c r="M935" t="str">
        <f t="shared" si="84"/>
        <v>Washington</v>
      </c>
      <c r="N935" t="str">
        <f t="shared" si="85"/>
        <v>M</v>
      </c>
      <c r="O935" t="str">
        <f t="shared" si="86"/>
        <v>Master</v>
      </c>
      <c r="P935" t="str">
        <f t="shared" si="87"/>
        <v>Personal</v>
      </c>
      <c r="Q935">
        <f t="shared" si="88"/>
        <v>4</v>
      </c>
      <c r="R935">
        <f t="shared" ca="1" si="89"/>
        <v>30</v>
      </c>
    </row>
    <row r="936" spans="1:18" x14ac:dyDescent="0.35">
      <c r="A936" t="s">
        <v>975</v>
      </c>
      <c r="B936" t="s">
        <v>33</v>
      </c>
      <c r="C936" t="s">
        <v>27</v>
      </c>
      <c r="D936" t="s">
        <v>4</v>
      </c>
      <c r="E936" s="5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 s="4">
        <v>331.2</v>
      </c>
      <c r="L936" s="2">
        <v>35331.199999999997</v>
      </c>
      <c r="M936" t="str">
        <f t="shared" si="84"/>
        <v>Oregon</v>
      </c>
      <c r="N936" t="str">
        <f t="shared" si="85"/>
        <v>M</v>
      </c>
      <c r="O936" t="str">
        <f t="shared" si="86"/>
        <v>Bachelor</v>
      </c>
      <c r="P936" t="str">
        <f t="shared" si="87"/>
        <v>Personal</v>
      </c>
      <c r="Q936">
        <f t="shared" si="88"/>
        <v>4</v>
      </c>
      <c r="R936">
        <f t="shared" ca="1" si="89"/>
        <v>29</v>
      </c>
    </row>
    <row r="937" spans="1:18" x14ac:dyDescent="0.35">
      <c r="A937" t="s">
        <v>976</v>
      </c>
      <c r="B937" t="s">
        <v>48</v>
      </c>
      <c r="C937" t="s">
        <v>21</v>
      </c>
      <c r="D937" t="s">
        <v>31</v>
      </c>
      <c r="E937" s="5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 s="4">
        <v>300.60759100000001</v>
      </c>
      <c r="L937" s="2">
        <v>35300.607591</v>
      </c>
      <c r="M937" t="str">
        <f t="shared" si="84"/>
        <v>California</v>
      </c>
      <c r="N937" t="str">
        <f t="shared" si="85"/>
        <v>F</v>
      </c>
      <c r="O937" t="str">
        <f t="shared" si="86"/>
        <v>High School or Below</v>
      </c>
      <c r="P937" t="str">
        <f t="shared" si="87"/>
        <v>Personal</v>
      </c>
      <c r="Q937">
        <f t="shared" si="88"/>
        <v>4</v>
      </c>
      <c r="R937">
        <f t="shared" ca="1" si="89"/>
        <v>30</v>
      </c>
    </row>
    <row r="938" spans="1:18" x14ac:dyDescent="0.35">
      <c r="A938" t="s">
        <v>977</v>
      </c>
      <c r="B938" t="s">
        <v>5</v>
      </c>
      <c r="C938" t="s">
        <v>27</v>
      </c>
      <c r="D938" t="s">
        <v>4</v>
      </c>
      <c r="E938" s="5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 s="4">
        <v>262.50488200000001</v>
      </c>
      <c r="L938" s="2">
        <v>35262.504882000001</v>
      </c>
      <c r="M938" t="str">
        <f t="shared" si="84"/>
        <v>Arizona</v>
      </c>
      <c r="N938" t="str">
        <f t="shared" si="85"/>
        <v>M</v>
      </c>
      <c r="O938" t="str">
        <f t="shared" si="86"/>
        <v>Bachelor</v>
      </c>
      <c r="P938" t="str">
        <f t="shared" si="87"/>
        <v>Personal</v>
      </c>
      <c r="Q938">
        <f t="shared" si="88"/>
        <v>4</v>
      </c>
      <c r="R938">
        <f t="shared" ca="1" si="89"/>
        <v>30</v>
      </c>
    </row>
    <row r="939" spans="1:18" x14ac:dyDescent="0.35">
      <c r="A939" t="s">
        <v>978</v>
      </c>
      <c r="B939" t="s">
        <v>48</v>
      </c>
      <c r="C939" t="s">
        <v>27</v>
      </c>
      <c r="D939" t="s">
        <v>2</v>
      </c>
      <c r="E939" s="5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 s="4">
        <v>263.365432</v>
      </c>
      <c r="L939" s="2">
        <v>35263.365431999999</v>
      </c>
      <c r="M939" t="str">
        <f t="shared" si="84"/>
        <v>California</v>
      </c>
      <c r="N939" t="str">
        <f t="shared" si="85"/>
        <v>M</v>
      </c>
      <c r="O939" t="str">
        <f t="shared" si="86"/>
        <v>Master</v>
      </c>
      <c r="P939" t="str">
        <f t="shared" si="87"/>
        <v>Personal</v>
      </c>
      <c r="Q939">
        <f t="shared" si="88"/>
        <v>2</v>
      </c>
      <c r="R939">
        <f t="shared" ca="1" si="89"/>
        <v>30</v>
      </c>
    </row>
    <row r="940" spans="1:18" x14ac:dyDescent="0.35">
      <c r="A940" t="s">
        <v>979</v>
      </c>
      <c r="B940" t="s">
        <v>33</v>
      </c>
      <c r="C940" t="s">
        <v>27</v>
      </c>
      <c r="D940" t="s">
        <v>4</v>
      </c>
      <c r="E940" s="5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 s="4">
        <v>307.2</v>
      </c>
      <c r="L940" s="2">
        <v>35307.199999999997</v>
      </c>
      <c r="M940" t="str">
        <f t="shared" si="84"/>
        <v>Oregon</v>
      </c>
      <c r="N940" t="str">
        <f t="shared" si="85"/>
        <v>M</v>
      </c>
      <c r="O940" t="str">
        <f t="shared" si="86"/>
        <v>Bachelor</v>
      </c>
      <c r="P940" t="str">
        <f t="shared" si="87"/>
        <v>Corporate</v>
      </c>
      <c r="Q940">
        <f t="shared" si="88"/>
        <v>4</v>
      </c>
      <c r="R940">
        <f t="shared" ca="1" si="89"/>
        <v>30</v>
      </c>
    </row>
    <row r="941" spans="1:18" x14ac:dyDescent="0.35">
      <c r="A941" t="s">
        <v>980</v>
      </c>
      <c r="B941" t="s">
        <v>48</v>
      </c>
      <c r="C941" t="s">
        <v>21</v>
      </c>
      <c r="D941" t="s">
        <v>31</v>
      </c>
      <c r="E941" s="5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 s="4">
        <v>302.39999999999998</v>
      </c>
      <c r="L941" s="2">
        <v>35302.400000000001</v>
      </c>
      <c r="M941" t="str">
        <f t="shared" si="84"/>
        <v>California</v>
      </c>
      <c r="N941" t="str">
        <f t="shared" si="85"/>
        <v>F</v>
      </c>
      <c r="O941" t="str">
        <f t="shared" si="86"/>
        <v>High School or Below</v>
      </c>
      <c r="P941" t="str">
        <f t="shared" si="87"/>
        <v>Personal</v>
      </c>
      <c r="Q941">
        <f t="shared" si="88"/>
        <v>4</v>
      </c>
      <c r="R941">
        <f t="shared" ca="1" si="89"/>
        <v>30</v>
      </c>
    </row>
    <row r="942" spans="1:18" x14ac:dyDescent="0.35">
      <c r="A942" t="s">
        <v>981</v>
      </c>
      <c r="B942" t="s">
        <v>5</v>
      </c>
      <c r="C942" t="s">
        <v>27</v>
      </c>
      <c r="D942" t="s">
        <v>35</v>
      </c>
      <c r="E942" s="5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 s="4">
        <v>256.26809100000003</v>
      </c>
      <c r="L942" s="2">
        <v>35256.268090999998</v>
      </c>
      <c r="M942" t="str">
        <f t="shared" si="84"/>
        <v>Arizona</v>
      </c>
      <c r="N942" t="str">
        <f t="shared" si="85"/>
        <v>M</v>
      </c>
      <c r="O942" t="str">
        <f t="shared" si="86"/>
        <v>College</v>
      </c>
      <c r="P942" t="str">
        <f t="shared" si="87"/>
        <v>Corporate</v>
      </c>
      <c r="Q942">
        <f t="shared" si="88"/>
        <v>2</v>
      </c>
      <c r="R942">
        <f t="shared" ca="1" si="89"/>
        <v>30</v>
      </c>
    </row>
    <row r="943" spans="1:18" x14ac:dyDescent="0.35">
      <c r="A943" t="s">
        <v>982</v>
      </c>
      <c r="B943" t="s">
        <v>33</v>
      </c>
      <c r="C943" t="s">
        <v>21</v>
      </c>
      <c r="D943" t="s">
        <v>4</v>
      </c>
      <c r="E943" s="5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 s="4">
        <v>297.60000000000002</v>
      </c>
      <c r="L943" s="2">
        <v>35297.599999999999</v>
      </c>
      <c r="M943" t="str">
        <f t="shared" si="84"/>
        <v>Oregon</v>
      </c>
      <c r="N943" t="str">
        <f t="shared" si="85"/>
        <v>F</v>
      </c>
      <c r="O943" t="str">
        <f t="shared" si="86"/>
        <v>Bachelor</v>
      </c>
      <c r="P943" t="str">
        <f t="shared" si="87"/>
        <v>Personal</v>
      </c>
      <c r="Q943">
        <f t="shared" si="88"/>
        <v>4</v>
      </c>
      <c r="R943">
        <f t="shared" ca="1" si="89"/>
        <v>30</v>
      </c>
    </row>
    <row r="944" spans="1:18" x14ac:dyDescent="0.35">
      <c r="A944" t="s">
        <v>983</v>
      </c>
      <c r="B944" t="s">
        <v>3</v>
      </c>
      <c r="C944" t="s">
        <v>21</v>
      </c>
      <c r="D944" t="s">
        <v>35</v>
      </c>
      <c r="E944" s="5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 s="4">
        <v>215.81819999999999</v>
      </c>
      <c r="L944" s="2">
        <v>35215.818200000002</v>
      </c>
      <c r="M944" t="str">
        <f t="shared" si="84"/>
        <v>Washington</v>
      </c>
      <c r="N944" t="str">
        <f t="shared" si="85"/>
        <v>F</v>
      </c>
      <c r="O944" t="str">
        <f t="shared" si="86"/>
        <v>College</v>
      </c>
      <c r="P944" t="str">
        <f t="shared" si="87"/>
        <v>Personal</v>
      </c>
      <c r="Q944">
        <f t="shared" si="88"/>
        <v>4</v>
      </c>
      <c r="R944">
        <f t="shared" ca="1" si="89"/>
        <v>30</v>
      </c>
    </row>
    <row r="945" spans="1:18" x14ac:dyDescent="0.35">
      <c r="A945" t="s">
        <v>984</v>
      </c>
      <c r="B945" t="s">
        <v>5</v>
      </c>
      <c r="C945" t="s">
        <v>21</v>
      </c>
      <c r="D945" t="s">
        <v>31</v>
      </c>
      <c r="E945" s="5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 s="4">
        <v>542.4</v>
      </c>
      <c r="L945" s="2">
        <v>35542.400000000001</v>
      </c>
      <c r="M945" t="str">
        <f t="shared" si="84"/>
        <v>Arizona</v>
      </c>
      <c r="N945" t="str">
        <f t="shared" si="85"/>
        <v>F</v>
      </c>
      <c r="O945" t="str">
        <f t="shared" si="86"/>
        <v>High School or Below</v>
      </c>
      <c r="P945" t="str">
        <f t="shared" si="87"/>
        <v>Personal</v>
      </c>
      <c r="Q945">
        <f t="shared" si="88"/>
        <v>4</v>
      </c>
      <c r="R945">
        <f t="shared" ca="1" si="89"/>
        <v>29</v>
      </c>
    </row>
    <row r="946" spans="1:18" x14ac:dyDescent="0.35">
      <c r="A946" t="s">
        <v>985</v>
      </c>
      <c r="B946" t="s">
        <v>5</v>
      </c>
      <c r="C946" t="s">
        <v>21</v>
      </c>
      <c r="D946" t="s">
        <v>35</v>
      </c>
      <c r="E946" s="5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 s="4">
        <v>1353.6</v>
      </c>
      <c r="L946" s="2">
        <v>36353.599999999999</v>
      </c>
      <c r="M946" t="str">
        <f t="shared" si="84"/>
        <v>Arizona</v>
      </c>
      <c r="N946" t="str">
        <f t="shared" si="85"/>
        <v>F</v>
      </c>
      <c r="O946" t="str">
        <f t="shared" si="86"/>
        <v>College</v>
      </c>
      <c r="P946" t="str">
        <f t="shared" si="87"/>
        <v>Special</v>
      </c>
      <c r="Q946">
        <f t="shared" si="88"/>
        <v>2</v>
      </c>
      <c r="R946">
        <f t="shared" ca="1" si="89"/>
        <v>27</v>
      </c>
    </row>
    <row r="947" spans="1:18" x14ac:dyDescent="0.35">
      <c r="A947" t="s">
        <v>986</v>
      </c>
      <c r="B947" t="s">
        <v>33</v>
      </c>
      <c r="C947" t="s">
        <v>27</v>
      </c>
      <c r="D947" t="s">
        <v>4</v>
      </c>
      <c r="E947" s="5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 s="4">
        <v>432</v>
      </c>
      <c r="L947" s="2">
        <v>35432</v>
      </c>
      <c r="M947" t="str">
        <f t="shared" si="84"/>
        <v>Oregon</v>
      </c>
      <c r="N947" t="str">
        <f t="shared" si="85"/>
        <v>M</v>
      </c>
      <c r="O947" t="str">
        <f t="shared" si="86"/>
        <v>Bachelor</v>
      </c>
      <c r="P947" t="str">
        <f t="shared" si="87"/>
        <v>Personal</v>
      </c>
      <c r="Q947">
        <f t="shared" si="88"/>
        <v>4</v>
      </c>
      <c r="R947">
        <f t="shared" ca="1" si="89"/>
        <v>29</v>
      </c>
    </row>
    <row r="948" spans="1:18" x14ac:dyDescent="0.35">
      <c r="A948" t="s">
        <v>987</v>
      </c>
      <c r="B948" t="s">
        <v>48</v>
      </c>
      <c r="C948" t="s">
        <v>21</v>
      </c>
      <c r="D948" t="s">
        <v>31</v>
      </c>
      <c r="E948" s="5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 s="4">
        <v>499.2</v>
      </c>
      <c r="L948" s="2">
        <v>35499.199999999997</v>
      </c>
      <c r="M948" t="str">
        <f t="shared" si="84"/>
        <v>California</v>
      </c>
      <c r="N948" t="str">
        <f t="shared" si="85"/>
        <v>F</v>
      </c>
      <c r="O948" t="str">
        <f t="shared" si="86"/>
        <v>High School or Below</v>
      </c>
      <c r="P948" t="str">
        <f t="shared" si="87"/>
        <v>Personal</v>
      </c>
      <c r="Q948">
        <f t="shared" si="88"/>
        <v>4</v>
      </c>
      <c r="R948">
        <f t="shared" ca="1" si="89"/>
        <v>29</v>
      </c>
    </row>
    <row r="949" spans="1:18" x14ac:dyDescent="0.35">
      <c r="A949" t="s">
        <v>988</v>
      </c>
      <c r="B949" t="s">
        <v>5</v>
      </c>
      <c r="C949" t="s">
        <v>27</v>
      </c>
      <c r="D949" t="s">
        <v>4</v>
      </c>
      <c r="E949" s="5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 s="4">
        <v>45.507952000000003</v>
      </c>
      <c r="L949" s="2">
        <v>35045.507952</v>
      </c>
      <c r="M949" t="str">
        <f t="shared" si="84"/>
        <v>Arizona</v>
      </c>
      <c r="N949" t="str">
        <f t="shared" si="85"/>
        <v>M</v>
      </c>
      <c r="O949" t="str">
        <f t="shared" si="86"/>
        <v>Bachelor</v>
      </c>
      <c r="P949" t="str">
        <f t="shared" si="87"/>
        <v>Personal</v>
      </c>
      <c r="Q949">
        <f t="shared" si="88"/>
        <v>4</v>
      </c>
      <c r="R949">
        <f t="shared" ca="1" si="89"/>
        <v>30</v>
      </c>
    </row>
    <row r="950" spans="1:18" x14ac:dyDescent="0.35">
      <c r="A950" t="s">
        <v>989</v>
      </c>
      <c r="B950" t="s">
        <v>5</v>
      </c>
      <c r="C950" t="s">
        <v>21</v>
      </c>
      <c r="D950" t="s">
        <v>2</v>
      </c>
      <c r="E950" s="5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 s="4">
        <v>470.4</v>
      </c>
      <c r="L950" s="2">
        <v>35470.400000000001</v>
      </c>
      <c r="M950" t="str">
        <f t="shared" si="84"/>
        <v>Arizona</v>
      </c>
      <c r="N950" t="str">
        <f t="shared" si="85"/>
        <v>F</v>
      </c>
      <c r="O950" t="str">
        <f t="shared" si="86"/>
        <v>Master</v>
      </c>
      <c r="P950" t="str">
        <f t="shared" si="87"/>
        <v>Personal</v>
      </c>
      <c r="Q950">
        <f t="shared" si="88"/>
        <v>2</v>
      </c>
      <c r="R950">
        <f t="shared" ca="1" si="89"/>
        <v>29</v>
      </c>
    </row>
    <row r="951" spans="1:18" x14ac:dyDescent="0.35">
      <c r="A951" t="s">
        <v>990</v>
      </c>
      <c r="B951" t="s">
        <v>33</v>
      </c>
      <c r="C951" t="s">
        <v>21</v>
      </c>
      <c r="D951" t="s">
        <v>31</v>
      </c>
      <c r="E951" s="5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 s="4">
        <v>691.2</v>
      </c>
      <c r="L951" s="2">
        <v>35691.199999999997</v>
      </c>
      <c r="M951" t="str">
        <f t="shared" si="84"/>
        <v>Oregon</v>
      </c>
      <c r="N951" t="str">
        <f t="shared" si="85"/>
        <v>F</v>
      </c>
      <c r="O951" t="str">
        <f t="shared" si="86"/>
        <v>High School or Below</v>
      </c>
      <c r="P951" t="str">
        <f t="shared" si="87"/>
        <v>Personal</v>
      </c>
      <c r="Q951">
        <f t="shared" si="88"/>
        <v>4</v>
      </c>
      <c r="R951">
        <f t="shared" ca="1" si="89"/>
        <v>28</v>
      </c>
    </row>
    <row r="952" spans="1:18" x14ac:dyDescent="0.35">
      <c r="A952" t="s">
        <v>991</v>
      </c>
      <c r="B952" t="s">
        <v>33</v>
      </c>
      <c r="C952" t="s">
        <v>21</v>
      </c>
      <c r="D952" t="s">
        <v>4</v>
      </c>
      <c r="E952" s="5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 s="4">
        <v>408</v>
      </c>
      <c r="L952" s="2">
        <v>35408</v>
      </c>
      <c r="M952" t="str">
        <f t="shared" si="84"/>
        <v>Oregon</v>
      </c>
      <c r="N952" t="str">
        <f t="shared" si="85"/>
        <v>F</v>
      </c>
      <c r="O952" t="str">
        <f t="shared" si="86"/>
        <v>Bachelor</v>
      </c>
      <c r="P952" t="str">
        <f t="shared" si="87"/>
        <v>Personal</v>
      </c>
      <c r="Q952">
        <f t="shared" si="88"/>
        <v>4</v>
      </c>
      <c r="R952">
        <f t="shared" ca="1" si="89"/>
        <v>29</v>
      </c>
    </row>
    <row r="953" spans="1:18" x14ac:dyDescent="0.35">
      <c r="A953" t="s">
        <v>992</v>
      </c>
      <c r="B953" t="s">
        <v>5</v>
      </c>
      <c r="C953" t="s">
        <v>21</v>
      </c>
      <c r="D953" t="s">
        <v>80</v>
      </c>
      <c r="E953" s="5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 s="4">
        <v>82.409921999999995</v>
      </c>
      <c r="L953" s="2">
        <v>35082.409921999999</v>
      </c>
      <c r="M953" t="str">
        <f t="shared" si="84"/>
        <v>Arizona</v>
      </c>
      <c r="N953" t="str">
        <f t="shared" si="85"/>
        <v>F</v>
      </c>
      <c r="O953" t="str">
        <f t="shared" si="86"/>
        <v>Doctor</v>
      </c>
      <c r="P953" t="str">
        <f t="shared" si="87"/>
        <v>Personal</v>
      </c>
      <c r="Q953">
        <f t="shared" si="88"/>
        <v>4</v>
      </c>
      <c r="R953">
        <f t="shared" ca="1" si="89"/>
        <v>30</v>
      </c>
    </row>
    <row r="954" spans="1:18" x14ac:dyDescent="0.35">
      <c r="A954" t="s">
        <v>993</v>
      </c>
      <c r="B954" t="s">
        <v>48</v>
      </c>
      <c r="C954" t="s">
        <v>21</v>
      </c>
      <c r="D954" t="s">
        <v>35</v>
      </c>
      <c r="E954" s="5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 s="4">
        <v>357.64298200000002</v>
      </c>
      <c r="L954" s="2">
        <v>35357.642981999998</v>
      </c>
      <c r="M954" t="str">
        <f t="shared" si="84"/>
        <v>California</v>
      </c>
      <c r="N954" t="str">
        <f t="shared" si="85"/>
        <v>F</v>
      </c>
      <c r="O954" t="str">
        <f t="shared" si="86"/>
        <v>College</v>
      </c>
      <c r="P954" t="str">
        <f t="shared" si="87"/>
        <v>Corporate</v>
      </c>
      <c r="Q954">
        <f t="shared" si="88"/>
        <v>4</v>
      </c>
      <c r="R954">
        <f t="shared" ca="1" si="89"/>
        <v>29</v>
      </c>
    </row>
    <row r="955" spans="1:18" x14ac:dyDescent="0.35">
      <c r="A955" t="s">
        <v>994</v>
      </c>
      <c r="B955" t="s">
        <v>33</v>
      </c>
      <c r="C955" t="s">
        <v>21</v>
      </c>
      <c r="D955" t="s">
        <v>35</v>
      </c>
      <c r="E955" s="5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 s="4">
        <v>643.20000000000005</v>
      </c>
      <c r="L955" s="2">
        <v>35643.199999999997</v>
      </c>
      <c r="M955" t="str">
        <f t="shared" si="84"/>
        <v>Oregon</v>
      </c>
      <c r="N955" t="str">
        <f t="shared" si="85"/>
        <v>F</v>
      </c>
      <c r="O955" t="str">
        <f t="shared" si="86"/>
        <v>College</v>
      </c>
      <c r="P955" t="str">
        <f t="shared" si="87"/>
        <v>Personal</v>
      </c>
      <c r="Q955">
        <f t="shared" si="88"/>
        <v>4</v>
      </c>
      <c r="R955">
        <f t="shared" ca="1" si="89"/>
        <v>29</v>
      </c>
    </row>
    <row r="956" spans="1:18" x14ac:dyDescent="0.35">
      <c r="A956" t="s">
        <v>995</v>
      </c>
      <c r="B956" t="s">
        <v>48</v>
      </c>
      <c r="C956" t="s">
        <v>27</v>
      </c>
      <c r="D956" t="s">
        <v>31</v>
      </c>
      <c r="E956" s="5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 s="4">
        <v>420.35698000000002</v>
      </c>
      <c r="L956" s="2">
        <v>35420.356979999997</v>
      </c>
      <c r="M956" t="str">
        <f t="shared" si="84"/>
        <v>California</v>
      </c>
      <c r="N956" t="str">
        <f t="shared" si="85"/>
        <v>M</v>
      </c>
      <c r="O956" t="str">
        <f t="shared" si="86"/>
        <v>High School or Below</v>
      </c>
      <c r="P956" t="str">
        <f t="shared" si="87"/>
        <v>Personal</v>
      </c>
      <c r="Q956">
        <f t="shared" si="88"/>
        <v>2</v>
      </c>
      <c r="R956">
        <f t="shared" ca="1" si="89"/>
        <v>29</v>
      </c>
    </row>
    <row r="957" spans="1:18" x14ac:dyDescent="0.35">
      <c r="A957" t="s">
        <v>996</v>
      </c>
      <c r="B957" t="s">
        <v>5</v>
      </c>
      <c r="C957" t="s">
        <v>21</v>
      </c>
      <c r="D957" t="s">
        <v>35</v>
      </c>
      <c r="E957" s="5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 s="4">
        <v>136.78772499999999</v>
      </c>
      <c r="L957" s="2">
        <v>35136.787725000002</v>
      </c>
      <c r="M957" t="str">
        <f t="shared" si="84"/>
        <v>Arizona</v>
      </c>
      <c r="N957" t="str">
        <f t="shared" si="85"/>
        <v>F</v>
      </c>
      <c r="O957" t="str">
        <f t="shared" si="86"/>
        <v>College</v>
      </c>
      <c r="P957" t="str">
        <f t="shared" si="87"/>
        <v>Personal</v>
      </c>
      <c r="Q957">
        <f t="shared" si="88"/>
        <v>4</v>
      </c>
      <c r="R957">
        <f t="shared" ca="1" si="89"/>
        <v>30</v>
      </c>
    </row>
    <row r="958" spans="1:18" x14ac:dyDescent="0.35">
      <c r="A958" t="s">
        <v>997</v>
      </c>
      <c r="B958" t="s">
        <v>23</v>
      </c>
      <c r="C958" t="s">
        <v>21</v>
      </c>
      <c r="D958" t="s">
        <v>80</v>
      </c>
      <c r="E958" s="5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 s="4">
        <v>331.2</v>
      </c>
      <c r="L958" s="2">
        <v>35331.199999999997</v>
      </c>
      <c r="M958" t="str">
        <f t="shared" si="84"/>
        <v>Nevada</v>
      </c>
      <c r="N958" t="str">
        <f t="shared" si="85"/>
        <v>F</v>
      </c>
      <c r="O958" t="str">
        <f t="shared" si="86"/>
        <v>Doctor</v>
      </c>
      <c r="P958" t="str">
        <f t="shared" si="87"/>
        <v>Personal</v>
      </c>
      <c r="Q958">
        <f t="shared" si="88"/>
        <v>4</v>
      </c>
      <c r="R958">
        <f t="shared" ca="1" si="89"/>
        <v>29</v>
      </c>
    </row>
    <row r="959" spans="1:18" x14ac:dyDescent="0.35">
      <c r="A959" t="s">
        <v>998</v>
      </c>
      <c r="B959" t="s">
        <v>3</v>
      </c>
      <c r="C959" t="s">
        <v>21</v>
      </c>
      <c r="D959" t="s">
        <v>35</v>
      </c>
      <c r="E959" s="5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 s="4">
        <v>220.186677</v>
      </c>
      <c r="L959" s="2">
        <v>35220.186676999998</v>
      </c>
      <c r="M959" t="str">
        <f t="shared" si="84"/>
        <v>Washington</v>
      </c>
      <c r="N959" t="str">
        <f t="shared" si="85"/>
        <v>F</v>
      </c>
      <c r="O959" t="str">
        <f t="shared" si="86"/>
        <v>College</v>
      </c>
      <c r="P959" t="str">
        <f t="shared" si="87"/>
        <v>Personal</v>
      </c>
      <c r="Q959">
        <f t="shared" si="88"/>
        <v>4</v>
      </c>
      <c r="R959">
        <f t="shared" ca="1" si="89"/>
        <v>30</v>
      </c>
    </row>
    <row r="960" spans="1:18" x14ac:dyDescent="0.35">
      <c r="A960" t="s">
        <v>999</v>
      </c>
      <c r="B960" t="s">
        <v>5</v>
      </c>
      <c r="C960" t="s">
        <v>27</v>
      </c>
      <c r="D960" t="s">
        <v>4</v>
      </c>
      <c r="E960" s="5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 s="4">
        <v>170.798204</v>
      </c>
      <c r="L960" s="2">
        <v>35170.798203999999</v>
      </c>
      <c r="M960" t="str">
        <f t="shared" si="84"/>
        <v>Arizona</v>
      </c>
      <c r="N960" t="str">
        <f t="shared" si="85"/>
        <v>M</v>
      </c>
      <c r="O960" t="str">
        <f t="shared" si="86"/>
        <v>Bachelor</v>
      </c>
      <c r="P960" t="str">
        <f t="shared" si="87"/>
        <v>Personal</v>
      </c>
      <c r="Q960">
        <f t="shared" si="88"/>
        <v>2</v>
      </c>
      <c r="R960">
        <f t="shared" ca="1" si="89"/>
        <v>30</v>
      </c>
    </row>
    <row r="961" spans="1:18" x14ac:dyDescent="0.35">
      <c r="A961" t="s">
        <v>1000</v>
      </c>
      <c r="B961" t="s">
        <v>48</v>
      </c>
      <c r="C961" t="s">
        <v>27</v>
      </c>
      <c r="D961" t="s">
        <v>35</v>
      </c>
      <c r="E961" s="5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 s="4">
        <v>266.16553499999998</v>
      </c>
      <c r="L961" s="2">
        <v>35266.165535</v>
      </c>
      <c r="M961" t="str">
        <f t="shared" si="84"/>
        <v>California</v>
      </c>
      <c r="N961" t="str">
        <f t="shared" si="85"/>
        <v>M</v>
      </c>
      <c r="O961" t="str">
        <f t="shared" si="86"/>
        <v>College</v>
      </c>
      <c r="P961" t="str">
        <f t="shared" si="87"/>
        <v>Personal</v>
      </c>
      <c r="Q961">
        <f t="shared" si="88"/>
        <v>4</v>
      </c>
      <c r="R961">
        <f t="shared" ca="1" si="89"/>
        <v>30</v>
      </c>
    </row>
    <row r="962" spans="1:18" x14ac:dyDescent="0.35">
      <c r="A962" t="s">
        <v>1001</v>
      </c>
      <c r="B962" t="s">
        <v>48</v>
      </c>
      <c r="C962" t="s">
        <v>27</v>
      </c>
      <c r="D962" t="s">
        <v>31</v>
      </c>
      <c r="E962" s="5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 s="4">
        <v>98.921781999999993</v>
      </c>
      <c r="L962" s="2">
        <v>35098.921781999998</v>
      </c>
      <c r="M962" t="str">
        <f t="shared" si="84"/>
        <v>California</v>
      </c>
      <c r="N962" t="str">
        <f t="shared" si="85"/>
        <v>M</v>
      </c>
      <c r="O962" t="str">
        <f t="shared" si="86"/>
        <v>High School or Below</v>
      </c>
      <c r="P962" t="str">
        <f t="shared" si="87"/>
        <v>Corporate</v>
      </c>
      <c r="Q962">
        <f t="shared" si="88"/>
        <v>4</v>
      </c>
      <c r="R962">
        <f t="shared" ca="1" si="89"/>
        <v>30</v>
      </c>
    </row>
    <row r="963" spans="1:18" x14ac:dyDescent="0.3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 s="4">
        <v>281.29590300000001</v>
      </c>
      <c r="L963" s="2">
        <v>35281.295902999998</v>
      </c>
      <c r="M963" t="str">
        <f t="shared" ref="M963:M1026" si="90">IF(OR(B963="California",B963="Cali"),"California",IF(OR(B963="Arizona",B963="AZ"),"Arizona",IF(OR(B963="Washington",B963="WA"),"Washington",B963)))</f>
        <v>Oregon</v>
      </c>
      <c r="N963" t="str">
        <f t="shared" ref="N963:N1026" si="91">IF(OR(C963="F",C963="Femal",C963="female"),"F",IF(OR(C963="M",C963="Male"),"M","NA"))</f>
        <v>M</v>
      </c>
      <c r="O963" t="str">
        <f t="shared" ref="O963:O1026" si="92">IF(OR(D963="Bachelor",D963="Bachelors"),"Bachelor",D963)</f>
        <v>High School or Below</v>
      </c>
      <c r="P963" t="str">
        <f t="shared" ref="P963:P1026" si="93">LEFT(I963,FIND(" ",I963)-1)</f>
        <v>Personal</v>
      </c>
      <c r="Q963">
        <f t="shared" ref="Q963:Q1026" si="94">IF(OR(J963="Luxury Car",J963="Two-Door Car",J963="Sports Car"),2,IF(OR(J963="Luxury SUV",J963="SUV",J963="Four-Door Car"),4,"NA"))</f>
        <v>4</v>
      </c>
      <c r="R963">
        <f t="shared" ref="R963:R1026" ca="1" si="95">DATEDIF(L963,TODAY(),"Y")</f>
        <v>30</v>
      </c>
    </row>
    <row r="964" spans="1:18" x14ac:dyDescent="0.35">
      <c r="A964" t="s">
        <v>1003</v>
      </c>
      <c r="B964" t="s">
        <v>33</v>
      </c>
      <c r="C964" t="s">
        <v>21</v>
      </c>
      <c r="D964" t="s">
        <v>4</v>
      </c>
      <c r="E964" s="5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 s="4">
        <v>631.74303899999995</v>
      </c>
      <c r="L964" s="2">
        <v>35631.743039000001</v>
      </c>
      <c r="M964" t="str">
        <f t="shared" si="90"/>
        <v>Oregon</v>
      </c>
      <c r="N964" t="str">
        <f t="shared" si="91"/>
        <v>F</v>
      </c>
      <c r="O964" t="str">
        <f t="shared" si="92"/>
        <v>Bachelor</v>
      </c>
      <c r="P964" t="str">
        <f t="shared" si="93"/>
        <v>Corporate</v>
      </c>
      <c r="Q964">
        <f t="shared" si="94"/>
        <v>2</v>
      </c>
      <c r="R964">
        <f t="shared" ca="1" si="95"/>
        <v>29</v>
      </c>
    </row>
    <row r="965" spans="1:18" x14ac:dyDescent="0.35">
      <c r="A965" t="s">
        <v>1004</v>
      </c>
      <c r="B965" t="s">
        <v>33</v>
      </c>
      <c r="C965" t="s">
        <v>21</v>
      </c>
      <c r="D965" t="s">
        <v>31</v>
      </c>
      <c r="E965" s="5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 s="4">
        <v>468</v>
      </c>
      <c r="L965" s="2">
        <v>35468</v>
      </c>
      <c r="M965" t="str">
        <f t="shared" si="90"/>
        <v>Oregon</v>
      </c>
      <c r="N965" t="str">
        <f t="shared" si="91"/>
        <v>F</v>
      </c>
      <c r="O965" t="str">
        <f t="shared" si="92"/>
        <v>High School or Below</v>
      </c>
      <c r="P965" t="str">
        <f t="shared" si="93"/>
        <v>Personal</v>
      </c>
      <c r="Q965">
        <f t="shared" si="94"/>
        <v>4</v>
      </c>
      <c r="R965">
        <f t="shared" ca="1" si="95"/>
        <v>29</v>
      </c>
    </row>
    <row r="966" spans="1:18" x14ac:dyDescent="0.35">
      <c r="A966" t="s">
        <v>1005</v>
      </c>
      <c r="B966" t="s">
        <v>48</v>
      </c>
      <c r="C966" t="s">
        <v>27</v>
      </c>
      <c r="D966" t="s">
        <v>31</v>
      </c>
      <c r="E966" s="5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 s="4">
        <v>29.209520999999999</v>
      </c>
      <c r="L966" s="2">
        <v>35029.209520999997</v>
      </c>
      <c r="M966" t="str">
        <f t="shared" si="90"/>
        <v>California</v>
      </c>
      <c r="N966" t="str">
        <f t="shared" si="91"/>
        <v>M</v>
      </c>
      <c r="O966" t="str">
        <f t="shared" si="92"/>
        <v>High School or Below</v>
      </c>
      <c r="P966" t="str">
        <f t="shared" si="93"/>
        <v>Corporate</v>
      </c>
      <c r="Q966">
        <f t="shared" si="94"/>
        <v>2</v>
      </c>
      <c r="R966">
        <f t="shared" ca="1" si="95"/>
        <v>30</v>
      </c>
    </row>
    <row r="967" spans="1:18" x14ac:dyDescent="0.35">
      <c r="A967" t="s">
        <v>1006</v>
      </c>
      <c r="B967" t="s">
        <v>48</v>
      </c>
      <c r="C967" t="s">
        <v>21</v>
      </c>
      <c r="D967" t="s">
        <v>2</v>
      </c>
      <c r="E967" s="5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 s="4">
        <v>136.88399899999999</v>
      </c>
      <c r="L967" s="2">
        <v>35136.883998999998</v>
      </c>
      <c r="M967" t="str">
        <f t="shared" si="90"/>
        <v>California</v>
      </c>
      <c r="N967" t="str">
        <f t="shared" si="91"/>
        <v>F</v>
      </c>
      <c r="O967" t="str">
        <f t="shared" si="92"/>
        <v>Master</v>
      </c>
      <c r="P967" t="str">
        <f t="shared" si="93"/>
        <v>Personal</v>
      </c>
      <c r="Q967">
        <f t="shared" si="94"/>
        <v>2</v>
      </c>
      <c r="R967">
        <f t="shared" ca="1" si="95"/>
        <v>30</v>
      </c>
    </row>
    <row r="968" spans="1:18" x14ac:dyDescent="0.35">
      <c r="A968" t="s">
        <v>1007</v>
      </c>
      <c r="B968" t="s">
        <v>5</v>
      </c>
      <c r="C968" t="s">
        <v>27</v>
      </c>
      <c r="D968" t="s">
        <v>4</v>
      </c>
      <c r="E968" s="5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 s="4">
        <v>312</v>
      </c>
      <c r="L968" s="2">
        <v>35312</v>
      </c>
      <c r="M968" t="str">
        <f t="shared" si="90"/>
        <v>Arizona</v>
      </c>
      <c r="N968" t="str">
        <f t="shared" si="91"/>
        <v>M</v>
      </c>
      <c r="O968" t="str">
        <f t="shared" si="92"/>
        <v>Bachelor</v>
      </c>
      <c r="P968" t="str">
        <f t="shared" si="93"/>
        <v>Personal</v>
      </c>
      <c r="Q968">
        <f t="shared" si="94"/>
        <v>4</v>
      </c>
      <c r="R968">
        <f t="shared" ca="1" si="95"/>
        <v>30</v>
      </c>
    </row>
    <row r="969" spans="1:18" x14ac:dyDescent="0.35">
      <c r="A969" t="s">
        <v>1008</v>
      </c>
      <c r="B969" t="s">
        <v>33</v>
      </c>
      <c r="C969" t="s">
        <v>21</v>
      </c>
      <c r="D969" t="s">
        <v>35</v>
      </c>
      <c r="E969" s="5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 s="4">
        <v>518.4</v>
      </c>
      <c r="L969" s="2">
        <v>35518.400000000001</v>
      </c>
      <c r="M969" t="str">
        <f t="shared" si="90"/>
        <v>Oregon</v>
      </c>
      <c r="N969" t="str">
        <f t="shared" si="91"/>
        <v>F</v>
      </c>
      <c r="O969" t="str">
        <f t="shared" si="92"/>
        <v>College</v>
      </c>
      <c r="P969" t="str">
        <f t="shared" si="93"/>
        <v>Personal</v>
      </c>
      <c r="Q969">
        <f t="shared" si="94"/>
        <v>4</v>
      </c>
      <c r="R969">
        <f t="shared" ca="1" si="95"/>
        <v>29</v>
      </c>
    </row>
    <row r="970" spans="1:18" x14ac:dyDescent="0.35">
      <c r="A970" t="s">
        <v>1009</v>
      </c>
      <c r="B970" t="s">
        <v>48</v>
      </c>
      <c r="C970" t="s">
        <v>27</v>
      </c>
      <c r="D970" t="s">
        <v>4</v>
      </c>
      <c r="E970" s="5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 s="4">
        <v>31.755600999999999</v>
      </c>
      <c r="L970" s="2">
        <v>35031.755600999997</v>
      </c>
      <c r="M970" t="str">
        <f t="shared" si="90"/>
        <v>California</v>
      </c>
      <c r="N970" t="str">
        <f t="shared" si="91"/>
        <v>M</v>
      </c>
      <c r="O970" t="str">
        <f t="shared" si="92"/>
        <v>Bachelor</v>
      </c>
      <c r="P970" t="str">
        <f t="shared" si="93"/>
        <v>Corporate</v>
      </c>
      <c r="Q970">
        <f t="shared" si="94"/>
        <v>2</v>
      </c>
      <c r="R970">
        <f t="shared" ca="1" si="95"/>
        <v>30</v>
      </c>
    </row>
    <row r="971" spans="1:18" x14ac:dyDescent="0.35">
      <c r="A971" t="s">
        <v>1010</v>
      </c>
      <c r="B971" t="s">
        <v>3</v>
      </c>
      <c r="C971" t="s">
        <v>21</v>
      </c>
      <c r="D971" t="s">
        <v>35</v>
      </c>
      <c r="E971" s="5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 s="4">
        <v>224.27582000000001</v>
      </c>
      <c r="L971" s="2">
        <v>35224.275820000003</v>
      </c>
      <c r="M971" t="str">
        <f t="shared" si="90"/>
        <v>Washington</v>
      </c>
      <c r="N971" t="str">
        <f t="shared" si="91"/>
        <v>F</v>
      </c>
      <c r="O971" t="str">
        <f t="shared" si="92"/>
        <v>College</v>
      </c>
      <c r="P971" t="str">
        <f t="shared" si="93"/>
        <v>Personal</v>
      </c>
      <c r="Q971">
        <f t="shared" si="94"/>
        <v>2</v>
      </c>
      <c r="R971">
        <f t="shared" ca="1" si="95"/>
        <v>30</v>
      </c>
    </row>
    <row r="972" spans="1:18" x14ac:dyDescent="0.35">
      <c r="A972" t="s">
        <v>1011</v>
      </c>
      <c r="B972" t="s">
        <v>33</v>
      </c>
      <c r="C972" t="s">
        <v>21</v>
      </c>
      <c r="D972" t="s">
        <v>35</v>
      </c>
      <c r="E972" s="5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 s="4">
        <v>830.4</v>
      </c>
      <c r="L972" s="2">
        <v>35830.400000000001</v>
      </c>
      <c r="M972" t="str">
        <f t="shared" si="90"/>
        <v>Oregon</v>
      </c>
      <c r="N972" t="str">
        <f t="shared" si="91"/>
        <v>F</v>
      </c>
      <c r="O972" t="str">
        <f t="shared" si="92"/>
        <v>College</v>
      </c>
      <c r="P972" t="str">
        <f t="shared" si="93"/>
        <v>Personal</v>
      </c>
      <c r="Q972">
        <f t="shared" si="94"/>
        <v>4</v>
      </c>
      <c r="R972">
        <f t="shared" ca="1" si="95"/>
        <v>28</v>
      </c>
    </row>
    <row r="973" spans="1:18" x14ac:dyDescent="0.35">
      <c r="A973" t="s">
        <v>1012</v>
      </c>
      <c r="B973" t="s">
        <v>5</v>
      </c>
      <c r="C973" t="s">
        <v>27</v>
      </c>
      <c r="D973" t="s">
        <v>35</v>
      </c>
      <c r="E973" s="5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 s="4">
        <v>480.15901100000002</v>
      </c>
      <c r="L973" s="2">
        <v>35480.159011000003</v>
      </c>
      <c r="M973" t="str">
        <f t="shared" si="90"/>
        <v>Arizona</v>
      </c>
      <c r="N973" t="str">
        <f t="shared" si="91"/>
        <v>M</v>
      </c>
      <c r="O973" t="str">
        <f t="shared" si="92"/>
        <v>College</v>
      </c>
      <c r="P973" t="str">
        <f t="shared" si="93"/>
        <v>Personal</v>
      </c>
      <c r="Q973">
        <f t="shared" si="94"/>
        <v>4</v>
      </c>
      <c r="R973">
        <f t="shared" ca="1" si="95"/>
        <v>29</v>
      </c>
    </row>
    <row r="974" spans="1:18" x14ac:dyDescent="0.35">
      <c r="A974" t="s">
        <v>1013</v>
      </c>
      <c r="B974" t="s">
        <v>23</v>
      </c>
      <c r="C974" t="s">
        <v>27</v>
      </c>
      <c r="D974" t="s">
        <v>4</v>
      </c>
      <c r="E974" s="5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 s="4">
        <v>390.792553</v>
      </c>
      <c r="L974" s="2">
        <v>35390.792552999999</v>
      </c>
      <c r="M974" t="str">
        <f t="shared" si="90"/>
        <v>Nevada</v>
      </c>
      <c r="N974" t="str">
        <f t="shared" si="91"/>
        <v>M</v>
      </c>
      <c r="O974" t="str">
        <f t="shared" si="92"/>
        <v>Bachelor</v>
      </c>
      <c r="P974" t="str">
        <f t="shared" si="93"/>
        <v>Corporate</v>
      </c>
      <c r="Q974">
        <f t="shared" si="94"/>
        <v>2</v>
      </c>
      <c r="R974">
        <f t="shared" ca="1" si="95"/>
        <v>29</v>
      </c>
    </row>
    <row r="975" spans="1:18" x14ac:dyDescent="0.35">
      <c r="A975" t="s">
        <v>1014</v>
      </c>
      <c r="B975" t="s">
        <v>23</v>
      </c>
      <c r="C975" t="s">
        <v>21</v>
      </c>
      <c r="D975" t="s">
        <v>35</v>
      </c>
      <c r="E975" s="5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 s="4">
        <v>72.071195000000003</v>
      </c>
      <c r="L975" s="2">
        <v>35072.071194999997</v>
      </c>
      <c r="M975" t="str">
        <f t="shared" si="90"/>
        <v>Nevada</v>
      </c>
      <c r="N975" t="str">
        <f t="shared" si="91"/>
        <v>F</v>
      </c>
      <c r="O975" t="str">
        <f t="shared" si="92"/>
        <v>College</v>
      </c>
      <c r="P975" t="str">
        <f t="shared" si="93"/>
        <v>Corporate</v>
      </c>
      <c r="Q975">
        <f t="shared" si="94"/>
        <v>4</v>
      </c>
      <c r="R975">
        <f t="shared" ca="1" si="95"/>
        <v>30</v>
      </c>
    </row>
    <row r="976" spans="1:18" x14ac:dyDescent="0.35">
      <c r="A976" t="s">
        <v>1015</v>
      </c>
      <c r="B976" t="s">
        <v>5</v>
      </c>
      <c r="C976" t="s">
        <v>21</v>
      </c>
      <c r="D976" t="s">
        <v>31</v>
      </c>
      <c r="E976" s="5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 s="4">
        <v>316.8</v>
      </c>
      <c r="L976" s="2">
        <v>35316.800000000003</v>
      </c>
      <c r="M976" t="str">
        <f t="shared" si="90"/>
        <v>Arizona</v>
      </c>
      <c r="N976" t="str">
        <f t="shared" si="91"/>
        <v>F</v>
      </c>
      <c r="O976" t="str">
        <f t="shared" si="92"/>
        <v>High School or Below</v>
      </c>
      <c r="P976" t="str">
        <f t="shared" si="93"/>
        <v>Corporate</v>
      </c>
      <c r="Q976">
        <f t="shared" si="94"/>
        <v>2</v>
      </c>
      <c r="R976">
        <f t="shared" ca="1" si="95"/>
        <v>30</v>
      </c>
    </row>
    <row r="977" spans="1:18" x14ac:dyDescent="0.35">
      <c r="A977" t="s">
        <v>1016</v>
      </c>
      <c r="B977" t="s">
        <v>33</v>
      </c>
      <c r="C977" t="s">
        <v>21</v>
      </c>
      <c r="D977" t="s">
        <v>4</v>
      </c>
      <c r="E977" s="5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 s="4">
        <v>552</v>
      </c>
      <c r="L977" s="2">
        <v>35552</v>
      </c>
      <c r="M977" t="str">
        <f t="shared" si="90"/>
        <v>Oregon</v>
      </c>
      <c r="N977" t="str">
        <f t="shared" si="91"/>
        <v>F</v>
      </c>
      <c r="O977" t="str">
        <f t="shared" si="92"/>
        <v>Bachelor</v>
      </c>
      <c r="P977" t="str">
        <f t="shared" si="93"/>
        <v>Personal</v>
      </c>
      <c r="Q977">
        <f t="shared" si="94"/>
        <v>4</v>
      </c>
      <c r="R977">
        <f t="shared" ca="1" si="95"/>
        <v>29</v>
      </c>
    </row>
    <row r="978" spans="1:18" x14ac:dyDescent="0.35">
      <c r="A978" t="s">
        <v>1017</v>
      </c>
      <c r="B978" t="s">
        <v>5</v>
      </c>
      <c r="C978" t="s">
        <v>21</v>
      </c>
      <c r="D978" t="s">
        <v>31</v>
      </c>
      <c r="E978" s="5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 s="4">
        <v>41.965252</v>
      </c>
      <c r="L978" s="2">
        <v>35041.965252000002</v>
      </c>
      <c r="M978" t="str">
        <f t="shared" si="90"/>
        <v>Arizona</v>
      </c>
      <c r="N978" t="str">
        <f t="shared" si="91"/>
        <v>F</v>
      </c>
      <c r="O978" t="str">
        <f t="shared" si="92"/>
        <v>High School or Below</v>
      </c>
      <c r="P978" t="str">
        <f t="shared" si="93"/>
        <v>Personal</v>
      </c>
      <c r="Q978">
        <f t="shared" si="94"/>
        <v>4</v>
      </c>
      <c r="R978">
        <f t="shared" ca="1" si="95"/>
        <v>30</v>
      </c>
    </row>
    <row r="979" spans="1:18" x14ac:dyDescent="0.3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 s="4">
        <v>1027.000029</v>
      </c>
      <c r="L979" s="2">
        <v>36027.000029000003</v>
      </c>
      <c r="M979" t="str">
        <f t="shared" si="90"/>
        <v>Oregon</v>
      </c>
      <c r="N979" t="str">
        <f t="shared" si="91"/>
        <v>M</v>
      </c>
      <c r="O979" t="str">
        <f t="shared" si="92"/>
        <v>High School or Below</v>
      </c>
      <c r="P979" t="str">
        <f t="shared" si="93"/>
        <v>Special</v>
      </c>
      <c r="Q979">
        <f t="shared" si="94"/>
        <v>4</v>
      </c>
      <c r="R979">
        <f t="shared" ca="1" si="95"/>
        <v>28</v>
      </c>
    </row>
    <row r="980" spans="1:18" x14ac:dyDescent="0.35">
      <c r="A980" t="s">
        <v>1019</v>
      </c>
      <c r="B980" t="s">
        <v>48</v>
      </c>
      <c r="C980" t="s">
        <v>27</v>
      </c>
      <c r="D980" t="s">
        <v>4</v>
      </c>
      <c r="E980" s="5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 s="4">
        <v>319.82074699999998</v>
      </c>
      <c r="L980" s="2">
        <v>35319.820746999998</v>
      </c>
      <c r="M980" t="str">
        <f t="shared" si="90"/>
        <v>California</v>
      </c>
      <c r="N980" t="str">
        <f t="shared" si="91"/>
        <v>M</v>
      </c>
      <c r="O980" t="str">
        <f t="shared" si="92"/>
        <v>Bachelor</v>
      </c>
      <c r="P980" t="str">
        <f t="shared" si="93"/>
        <v>Corporate</v>
      </c>
      <c r="Q980">
        <f t="shared" si="94"/>
        <v>4</v>
      </c>
      <c r="R980">
        <f t="shared" ca="1" si="95"/>
        <v>29</v>
      </c>
    </row>
    <row r="981" spans="1:18" x14ac:dyDescent="0.35">
      <c r="A981" t="s">
        <v>1020</v>
      </c>
      <c r="B981" t="s">
        <v>48</v>
      </c>
      <c r="C981" t="s">
        <v>21</v>
      </c>
      <c r="D981" t="s">
        <v>31</v>
      </c>
      <c r="E981" s="5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 s="4">
        <v>411.01116200000001</v>
      </c>
      <c r="L981" s="2">
        <v>35411.011162000003</v>
      </c>
      <c r="M981" t="str">
        <f t="shared" si="90"/>
        <v>California</v>
      </c>
      <c r="N981" t="str">
        <f t="shared" si="91"/>
        <v>F</v>
      </c>
      <c r="O981" t="str">
        <f t="shared" si="92"/>
        <v>High School or Below</v>
      </c>
      <c r="P981" t="str">
        <f t="shared" si="93"/>
        <v>Corporate</v>
      </c>
      <c r="Q981">
        <f t="shared" si="94"/>
        <v>4</v>
      </c>
      <c r="R981">
        <f t="shared" ca="1" si="95"/>
        <v>29</v>
      </c>
    </row>
    <row r="982" spans="1:18" x14ac:dyDescent="0.3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 s="4">
        <v>600</v>
      </c>
      <c r="L982" s="2">
        <v>35600</v>
      </c>
      <c r="M982" t="str">
        <f t="shared" si="90"/>
        <v>Oregon</v>
      </c>
      <c r="N982" t="str">
        <f t="shared" si="91"/>
        <v>M</v>
      </c>
      <c r="O982" t="str">
        <f t="shared" si="92"/>
        <v>Doctor</v>
      </c>
      <c r="P982" t="str">
        <f t="shared" si="93"/>
        <v>Corporate</v>
      </c>
      <c r="Q982">
        <f t="shared" si="94"/>
        <v>4</v>
      </c>
      <c r="R982">
        <f t="shared" ca="1" si="95"/>
        <v>29</v>
      </c>
    </row>
    <row r="983" spans="1:18" x14ac:dyDescent="0.35">
      <c r="A983" t="s">
        <v>1022</v>
      </c>
      <c r="B983" t="s">
        <v>5</v>
      </c>
      <c r="C983" t="s">
        <v>21</v>
      </c>
      <c r="D983" t="s">
        <v>31</v>
      </c>
      <c r="E983" s="5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 s="4">
        <v>648</v>
      </c>
      <c r="L983" s="2">
        <v>35648</v>
      </c>
      <c r="M983" t="str">
        <f t="shared" si="90"/>
        <v>Arizona</v>
      </c>
      <c r="N983" t="str">
        <f t="shared" si="91"/>
        <v>F</v>
      </c>
      <c r="O983" t="str">
        <f t="shared" si="92"/>
        <v>High School or Below</v>
      </c>
      <c r="P983" t="str">
        <f t="shared" si="93"/>
        <v>Personal</v>
      </c>
      <c r="Q983">
        <f t="shared" si="94"/>
        <v>2</v>
      </c>
      <c r="R983">
        <f t="shared" ca="1" si="95"/>
        <v>29</v>
      </c>
    </row>
    <row r="984" spans="1:18" x14ac:dyDescent="0.35">
      <c r="A984" t="s">
        <v>1023</v>
      </c>
      <c r="B984" t="s">
        <v>48</v>
      </c>
      <c r="C984" t="s">
        <v>27</v>
      </c>
      <c r="D984" t="s">
        <v>4</v>
      </c>
      <c r="E984" s="5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 s="4">
        <v>4.1105850000000004</v>
      </c>
      <c r="L984" s="2">
        <v>35004.110585000002</v>
      </c>
      <c r="M984" t="str">
        <f t="shared" si="90"/>
        <v>California</v>
      </c>
      <c r="N984" t="str">
        <f t="shared" si="91"/>
        <v>M</v>
      </c>
      <c r="O984" t="str">
        <f t="shared" si="92"/>
        <v>Bachelor</v>
      </c>
      <c r="P984" t="str">
        <f t="shared" si="93"/>
        <v>Personal</v>
      </c>
      <c r="Q984">
        <f t="shared" si="94"/>
        <v>4</v>
      </c>
      <c r="R984">
        <f t="shared" ca="1" si="95"/>
        <v>30</v>
      </c>
    </row>
    <row r="985" spans="1:18" x14ac:dyDescent="0.35">
      <c r="A985" t="s">
        <v>1024</v>
      </c>
      <c r="B985" t="s">
        <v>48</v>
      </c>
      <c r="C985" t="s">
        <v>21</v>
      </c>
      <c r="D985" t="s">
        <v>35</v>
      </c>
      <c r="E985" s="5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 s="4">
        <v>351.14990399999999</v>
      </c>
      <c r="L985" s="2">
        <v>35351.149903999998</v>
      </c>
      <c r="M985" t="str">
        <f t="shared" si="90"/>
        <v>California</v>
      </c>
      <c r="N985" t="str">
        <f t="shared" si="91"/>
        <v>F</v>
      </c>
      <c r="O985" t="str">
        <f t="shared" si="92"/>
        <v>College</v>
      </c>
      <c r="P985" t="str">
        <f t="shared" si="93"/>
        <v>Personal</v>
      </c>
      <c r="Q985">
        <f t="shared" si="94"/>
        <v>4</v>
      </c>
      <c r="R985">
        <f t="shared" ca="1" si="95"/>
        <v>29</v>
      </c>
    </row>
    <row r="986" spans="1:18" x14ac:dyDescent="0.35">
      <c r="A986" t="s">
        <v>1025</v>
      </c>
      <c r="B986" t="s">
        <v>48</v>
      </c>
      <c r="C986" t="s">
        <v>27</v>
      </c>
      <c r="D986" t="s">
        <v>4</v>
      </c>
      <c r="E986" s="5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 s="4">
        <v>284.00017200000002</v>
      </c>
      <c r="L986" s="2">
        <v>35284.000172</v>
      </c>
      <c r="M986" t="str">
        <f t="shared" si="90"/>
        <v>California</v>
      </c>
      <c r="N986" t="str">
        <f t="shared" si="91"/>
        <v>M</v>
      </c>
      <c r="O986" t="str">
        <f t="shared" si="92"/>
        <v>Bachelor</v>
      </c>
      <c r="P986" t="str">
        <f t="shared" si="93"/>
        <v>Personal</v>
      </c>
      <c r="Q986">
        <f t="shared" si="94"/>
        <v>4</v>
      </c>
      <c r="R986">
        <f t="shared" ca="1" si="95"/>
        <v>30</v>
      </c>
    </row>
    <row r="987" spans="1:18" x14ac:dyDescent="0.3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 s="4">
        <v>496.47476699999999</v>
      </c>
      <c r="L987" s="2">
        <v>35496.474767</v>
      </c>
      <c r="M987" t="str">
        <f t="shared" si="90"/>
        <v>Oregon</v>
      </c>
      <c r="N987" t="str">
        <f t="shared" si="91"/>
        <v>M</v>
      </c>
      <c r="O987" t="str">
        <f t="shared" si="92"/>
        <v>High School or Below</v>
      </c>
      <c r="P987" t="str">
        <f t="shared" si="93"/>
        <v>Personal</v>
      </c>
      <c r="Q987">
        <f t="shared" si="94"/>
        <v>2</v>
      </c>
      <c r="R987">
        <f t="shared" ca="1" si="95"/>
        <v>29</v>
      </c>
    </row>
    <row r="988" spans="1:18" x14ac:dyDescent="0.35">
      <c r="A988" t="s">
        <v>1027</v>
      </c>
      <c r="B988" t="s">
        <v>5</v>
      </c>
      <c r="C988" t="s">
        <v>27</v>
      </c>
      <c r="D988" t="s">
        <v>4</v>
      </c>
      <c r="E988" s="5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 s="4">
        <v>925.13714300000004</v>
      </c>
      <c r="L988" s="2">
        <v>35925.137143</v>
      </c>
      <c r="M988" t="str">
        <f t="shared" si="90"/>
        <v>Arizona</v>
      </c>
      <c r="N988" t="str">
        <f t="shared" si="91"/>
        <v>M</v>
      </c>
      <c r="O988" t="str">
        <f t="shared" si="92"/>
        <v>Bachelor</v>
      </c>
      <c r="P988" t="str">
        <f t="shared" si="93"/>
        <v>Personal</v>
      </c>
      <c r="Q988">
        <f t="shared" si="94"/>
        <v>4</v>
      </c>
      <c r="R988">
        <f t="shared" ca="1" si="95"/>
        <v>28</v>
      </c>
    </row>
    <row r="989" spans="1:18" x14ac:dyDescent="0.35">
      <c r="A989" t="s">
        <v>1028</v>
      </c>
      <c r="B989" t="s">
        <v>33</v>
      </c>
      <c r="C989" t="s">
        <v>21</v>
      </c>
      <c r="D989" t="s">
        <v>35</v>
      </c>
      <c r="E989" s="5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 s="4">
        <v>13.164097</v>
      </c>
      <c r="L989" s="2">
        <v>35013.164097000001</v>
      </c>
      <c r="M989" t="str">
        <f t="shared" si="90"/>
        <v>Oregon</v>
      </c>
      <c r="N989" t="str">
        <f t="shared" si="91"/>
        <v>F</v>
      </c>
      <c r="O989" t="str">
        <f t="shared" si="92"/>
        <v>College</v>
      </c>
      <c r="P989" t="str">
        <f t="shared" si="93"/>
        <v>Special</v>
      </c>
      <c r="Q989">
        <f t="shared" si="94"/>
        <v>4</v>
      </c>
      <c r="R989">
        <f t="shared" ca="1" si="95"/>
        <v>30</v>
      </c>
    </row>
    <row r="990" spans="1:18" x14ac:dyDescent="0.35">
      <c r="A990" t="s">
        <v>1029</v>
      </c>
      <c r="B990" t="s">
        <v>3</v>
      </c>
      <c r="C990" t="s">
        <v>27</v>
      </c>
      <c r="D990" t="s">
        <v>31</v>
      </c>
      <c r="E990" s="5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 s="4">
        <v>227.87207100000001</v>
      </c>
      <c r="L990" s="2">
        <v>35227.872070999998</v>
      </c>
      <c r="M990" t="str">
        <f t="shared" si="90"/>
        <v>Washington</v>
      </c>
      <c r="N990" t="str">
        <f t="shared" si="91"/>
        <v>M</v>
      </c>
      <c r="O990" t="str">
        <f t="shared" si="92"/>
        <v>High School or Below</v>
      </c>
      <c r="P990" t="str">
        <f t="shared" si="93"/>
        <v>Personal</v>
      </c>
      <c r="Q990">
        <f t="shared" si="94"/>
        <v>4</v>
      </c>
      <c r="R990">
        <f t="shared" ca="1" si="95"/>
        <v>30</v>
      </c>
    </row>
    <row r="991" spans="1:18" x14ac:dyDescent="0.35">
      <c r="A991" t="s">
        <v>1030</v>
      </c>
      <c r="B991" t="s">
        <v>23</v>
      </c>
      <c r="C991" t="s">
        <v>21</v>
      </c>
      <c r="D991" t="s">
        <v>35</v>
      </c>
      <c r="E991" s="5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 s="4">
        <v>463.335061</v>
      </c>
      <c r="L991" s="2">
        <v>35463.335060999998</v>
      </c>
      <c r="M991" t="str">
        <f t="shared" si="90"/>
        <v>Nevada</v>
      </c>
      <c r="N991" t="str">
        <f t="shared" si="91"/>
        <v>F</v>
      </c>
      <c r="O991" t="str">
        <f t="shared" si="92"/>
        <v>College</v>
      </c>
      <c r="P991" t="str">
        <f t="shared" si="93"/>
        <v>Corporate</v>
      </c>
      <c r="Q991">
        <f t="shared" si="94"/>
        <v>4</v>
      </c>
      <c r="R991">
        <f t="shared" ca="1" si="95"/>
        <v>29</v>
      </c>
    </row>
    <row r="992" spans="1:18" x14ac:dyDescent="0.35">
      <c r="A992" t="s">
        <v>1031</v>
      </c>
      <c r="B992" t="s">
        <v>5</v>
      </c>
      <c r="C992" t="s">
        <v>21</v>
      </c>
      <c r="D992" t="s">
        <v>2</v>
      </c>
      <c r="E992" s="5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 s="4">
        <v>180.667969</v>
      </c>
      <c r="L992" s="2">
        <v>35180.667969000002</v>
      </c>
      <c r="M992" t="str">
        <f t="shared" si="90"/>
        <v>Arizona</v>
      </c>
      <c r="N992" t="str">
        <f t="shared" si="91"/>
        <v>F</v>
      </c>
      <c r="O992" t="str">
        <f t="shared" si="92"/>
        <v>Master</v>
      </c>
      <c r="P992" t="str">
        <f t="shared" si="93"/>
        <v>Personal</v>
      </c>
      <c r="Q992">
        <f t="shared" si="94"/>
        <v>4</v>
      </c>
      <c r="R992">
        <f t="shared" ca="1" si="95"/>
        <v>30</v>
      </c>
    </row>
    <row r="993" spans="1:18" x14ac:dyDescent="0.35">
      <c r="A993" t="s">
        <v>1032</v>
      </c>
      <c r="B993" t="s">
        <v>33</v>
      </c>
      <c r="C993" t="s">
        <v>21</v>
      </c>
      <c r="D993" t="s">
        <v>31</v>
      </c>
      <c r="E993" s="5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 s="4">
        <v>484.8</v>
      </c>
      <c r="L993" s="2">
        <v>35484.800000000003</v>
      </c>
      <c r="M993" t="str">
        <f t="shared" si="90"/>
        <v>Oregon</v>
      </c>
      <c r="N993" t="str">
        <f t="shared" si="91"/>
        <v>F</v>
      </c>
      <c r="O993" t="str">
        <f t="shared" si="92"/>
        <v>High School or Below</v>
      </c>
      <c r="P993" t="str">
        <f t="shared" si="93"/>
        <v>Personal</v>
      </c>
      <c r="Q993">
        <f t="shared" si="94"/>
        <v>4</v>
      </c>
      <c r="R993">
        <f t="shared" ca="1" si="95"/>
        <v>29</v>
      </c>
    </row>
    <row r="994" spans="1:18" x14ac:dyDescent="0.35">
      <c r="A994" t="s">
        <v>1033</v>
      </c>
      <c r="B994" t="s">
        <v>5</v>
      </c>
      <c r="C994" t="s">
        <v>27</v>
      </c>
      <c r="D994" t="s">
        <v>4</v>
      </c>
      <c r="E994" s="5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 s="4">
        <v>508.8</v>
      </c>
      <c r="L994" s="2">
        <v>35508.800000000003</v>
      </c>
      <c r="M994" t="str">
        <f t="shared" si="90"/>
        <v>Arizona</v>
      </c>
      <c r="N994" t="str">
        <f t="shared" si="91"/>
        <v>M</v>
      </c>
      <c r="O994" t="str">
        <f t="shared" si="92"/>
        <v>Bachelor</v>
      </c>
      <c r="P994" t="str">
        <f t="shared" si="93"/>
        <v>Personal</v>
      </c>
      <c r="Q994">
        <f t="shared" si="94"/>
        <v>2</v>
      </c>
      <c r="R994">
        <f t="shared" ca="1" si="95"/>
        <v>29</v>
      </c>
    </row>
    <row r="995" spans="1:18" x14ac:dyDescent="0.35">
      <c r="A995" t="s">
        <v>1034</v>
      </c>
      <c r="B995" t="s">
        <v>5</v>
      </c>
      <c r="C995" t="s">
        <v>27</v>
      </c>
      <c r="D995" t="s">
        <v>80</v>
      </c>
      <c r="E995" s="5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 s="4">
        <v>350.4</v>
      </c>
      <c r="L995" s="2">
        <v>35350.400000000001</v>
      </c>
      <c r="M995" t="str">
        <f t="shared" si="90"/>
        <v>Arizona</v>
      </c>
      <c r="N995" t="str">
        <f t="shared" si="91"/>
        <v>M</v>
      </c>
      <c r="O995" t="str">
        <f t="shared" si="92"/>
        <v>Doctor</v>
      </c>
      <c r="P995" t="str">
        <f t="shared" si="93"/>
        <v>Personal</v>
      </c>
      <c r="Q995">
        <f t="shared" si="94"/>
        <v>2</v>
      </c>
      <c r="R995">
        <f t="shared" ca="1" si="95"/>
        <v>29</v>
      </c>
    </row>
    <row r="996" spans="1:18" x14ac:dyDescent="0.35">
      <c r="A996" t="s">
        <v>1035</v>
      </c>
      <c r="B996" t="s">
        <v>48</v>
      </c>
      <c r="C996" t="s">
        <v>21</v>
      </c>
      <c r="D996" t="s">
        <v>4</v>
      </c>
      <c r="E996" s="5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 s="4">
        <v>302.76428299999998</v>
      </c>
      <c r="L996" s="2">
        <v>35302.764282999997</v>
      </c>
      <c r="M996" t="str">
        <f t="shared" si="90"/>
        <v>California</v>
      </c>
      <c r="N996" t="str">
        <f t="shared" si="91"/>
        <v>F</v>
      </c>
      <c r="O996" t="str">
        <f t="shared" si="92"/>
        <v>Bachelor</v>
      </c>
      <c r="P996" t="str">
        <f t="shared" si="93"/>
        <v>Personal</v>
      </c>
      <c r="Q996">
        <f t="shared" si="94"/>
        <v>4</v>
      </c>
      <c r="R996">
        <f t="shared" ca="1" si="95"/>
        <v>30</v>
      </c>
    </row>
    <row r="997" spans="1:18" x14ac:dyDescent="0.35">
      <c r="A997" t="s">
        <v>1036</v>
      </c>
      <c r="B997" t="s">
        <v>33</v>
      </c>
      <c r="C997" t="s">
        <v>21</v>
      </c>
      <c r="D997" t="s">
        <v>31</v>
      </c>
      <c r="E997" s="5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 s="4">
        <v>340.8</v>
      </c>
      <c r="L997" s="2">
        <v>35340.800000000003</v>
      </c>
      <c r="M997" t="str">
        <f t="shared" si="90"/>
        <v>Oregon</v>
      </c>
      <c r="N997" t="str">
        <f t="shared" si="91"/>
        <v>F</v>
      </c>
      <c r="O997" t="str">
        <f t="shared" si="92"/>
        <v>High School or Below</v>
      </c>
      <c r="P997" t="str">
        <f t="shared" si="93"/>
        <v>Personal</v>
      </c>
      <c r="Q997">
        <f t="shared" si="94"/>
        <v>4</v>
      </c>
      <c r="R997">
        <f t="shared" ca="1" si="95"/>
        <v>29</v>
      </c>
    </row>
    <row r="998" spans="1:18" x14ac:dyDescent="0.35">
      <c r="A998" t="s">
        <v>1037</v>
      </c>
      <c r="B998" t="s">
        <v>33</v>
      </c>
      <c r="C998" t="s">
        <v>21</v>
      </c>
      <c r="D998" t="s">
        <v>2</v>
      </c>
      <c r="E998" s="5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 s="4">
        <v>513.6</v>
      </c>
      <c r="L998" s="2">
        <v>35513.599999999999</v>
      </c>
      <c r="M998" t="str">
        <f t="shared" si="90"/>
        <v>Oregon</v>
      </c>
      <c r="N998" t="str">
        <f t="shared" si="91"/>
        <v>F</v>
      </c>
      <c r="O998" t="str">
        <f t="shared" si="92"/>
        <v>Master</v>
      </c>
      <c r="P998" t="str">
        <f t="shared" si="93"/>
        <v>Personal</v>
      </c>
      <c r="Q998">
        <f t="shared" si="94"/>
        <v>4</v>
      </c>
      <c r="R998">
        <f t="shared" ca="1" si="95"/>
        <v>29</v>
      </c>
    </row>
    <row r="999" spans="1:18" x14ac:dyDescent="0.35">
      <c r="A999" t="s">
        <v>1038</v>
      </c>
      <c r="B999" t="s">
        <v>5</v>
      </c>
      <c r="C999" t="s">
        <v>21</v>
      </c>
      <c r="D999" t="s">
        <v>35</v>
      </c>
      <c r="E999" s="5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 s="4">
        <v>141.92283900000001</v>
      </c>
      <c r="L999" s="2">
        <v>35141.922838999999</v>
      </c>
      <c r="M999" t="str">
        <f t="shared" si="90"/>
        <v>Arizona</v>
      </c>
      <c r="N999" t="str">
        <f t="shared" si="91"/>
        <v>F</v>
      </c>
      <c r="O999" t="str">
        <f t="shared" si="92"/>
        <v>College</v>
      </c>
      <c r="P999" t="str">
        <f t="shared" si="93"/>
        <v>Corporate</v>
      </c>
      <c r="Q999">
        <f t="shared" si="94"/>
        <v>2</v>
      </c>
      <c r="R999">
        <f t="shared" ca="1" si="95"/>
        <v>30</v>
      </c>
    </row>
    <row r="1000" spans="1:18" x14ac:dyDescent="0.35">
      <c r="A1000" t="s">
        <v>1039</v>
      </c>
      <c r="B1000" t="s">
        <v>33</v>
      </c>
      <c r="C1000" t="s">
        <v>27</v>
      </c>
      <c r="D1000" t="s">
        <v>4</v>
      </c>
      <c r="E1000" s="5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 s="4">
        <v>349.78304600000001</v>
      </c>
      <c r="L1000" s="2">
        <v>35349.783045999997</v>
      </c>
      <c r="M1000" t="str">
        <f t="shared" si="90"/>
        <v>Oregon</v>
      </c>
      <c r="N1000" t="str">
        <f t="shared" si="91"/>
        <v>M</v>
      </c>
      <c r="O1000" t="str">
        <f t="shared" si="92"/>
        <v>Bachelor</v>
      </c>
      <c r="P1000" t="str">
        <f t="shared" si="93"/>
        <v>Personal</v>
      </c>
      <c r="Q1000">
        <f t="shared" si="94"/>
        <v>2</v>
      </c>
      <c r="R1000">
        <f t="shared" ca="1" si="95"/>
        <v>29</v>
      </c>
    </row>
    <row r="1001" spans="1:18" x14ac:dyDescent="0.35">
      <c r="A1001" t="s">
        <v>1040</v>
      </c>
      <c r="B1001" t="s">
        <v>48</v>
      </c>
      <c r="C1001" t="s">
        <v>27</v>
      </c>
      <c r="D1001" t="s">
        <v>80</v>
      </c>
      <c r="E1001" s="5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 s="4">
        <v>494.4</v>
      </c>
      <c r="L1001" s="2">
        <v>35494.400000000001</v>
      </c>
      <c r="M1001" t="str">
        <f t="shared" si="90"/>
        <v>California</v>
      </c>
      <c r="N1001" t="str">
        <f t="shared" si="91"/>
        <v>M</v>
      </c>
      <c r="O1001" t="str">
        <f t="shared" si="92"/>
        <v>Doctor</v>
      </c>
      <c r="P1001" t="str">
        <f t="shared" si="93"/>
        <v>Corporate</v>
      </c>
      <c r="Q1001">
        <f t="shared" si="94"/>
        <v>4</v>
      </c>
      <c r="R1001">
        <f t="shared" ca="1" si="95"/>
        <v>29</v>
      </c>
    </row>
    <row r="1002" spans="1:18" x14ac:dyDescent="0.35">
      <c r="A1002" t="s">
        <v>1041</v>
      </c>
      <c r="B1002" t="s">
        <v>33</v>
      </c>
      <c r="C1002" t="s">
        <v>27</v>
      </c>
      <c r="D1002" t="s">
        <v>4</v>
      </c>
      <c r="E1002" s="5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 s="4">
        <v>345.6</v>
      </c>
      <c r="L1002" s="2">
        <v>35345.599999999999</v>
      </c>
      <c r="M1002" t="str">
        <f t="shared" si="90"/>
        <v>Oregon</v>
      </c>
      <c r="N1002" t="str">
        <f t="shared" si="91"/>
        <v>M</v>
      </c>
      <c r="O1002" t="str">
        <f t="shared" si="92"/>
        <v>Bachelor</v>
      </c>
      <c r="P1002" t="str">
        <f t="shared" si="93"/>
        <v>Personal</v>
      </c>
      <c r="Q1002">
        <f t="shared" si="94"/>
        <v>4</v>
      </c>
      <c r="R1002">
        <f t="shared" ca="1" si="95"/>
        <v>29</v>
      </c>
    </row>
    <row r="1003" spans="1:18" x14ac:dyDescent="0.35">
      <c r="A1003" t="s">
        <v>1042</v>
      </c>
      <c r="B1003" t="s">
        <v>48</v>
      </c>
      <c r="C1003" t="s">
        <v>21</v>
      </c>
      <c r="D1003" t="s">
        <v>31</v>
      </c>
      <c r="E1003" s="5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 s="4">
        <v>54.065537999999997</v>
      </c>
      <c r="L1003" s="2">
        <v>35054.065538000003</v>
      </c>
      <c r="M1003" t="str">
        <f t="shared" si="90"/>
        <v>California</v>
      </c>
      <c r="N1003" t="str">
        <f t="shared" si="91"/>
        <v>F</v>
      </c>
      <c r="O1003" t="str">
        <f t="shared" si="92"/>
        <v>High School or Below</v>
      </c>
      <c r="P1003" t="str">
        <f t="shared" si="93"/>
        <v>Personal</v>
      </c>
      <c r="Q1003">
        <f t="shared" si="94"/>
        <v>4</v>
      </c>
      <c r="R1003">
        <f t="shared" ca="1" si="95"/>
        <v>30</v>
      </c>
    </row>
    <row r="1004" spans="1:18" x14ac:dyDescent="0.3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 s="4">
        <v>600</v>
      </c>
      <c r="L1004" s="2">
        <v>35600</v>
      </c>
      <c r="M1004" t="str">
        <f t="shared" si="90"/>
        <v>Oregon</v>
      </c>
      <c r="N1004" t="str">
        <f t="shared" si="91"/>
        <v>M</v>
      </c>
      <c r="O1004" t="str">
        <f t="shared" si="92"/>
        <v>College</v>
      </c>
      <c r="P1004" t="str">
        <f t="shared" si="93"/>
        <v>Personal</v>
      </c>
      <c r="Q1004">
        <f t="shared" si="94"/>
        <v>4</v>
      </c>
      <c r="R1004">
        <f t="shared" ca="1" si="95"/>
        <v>29</v>
      </c>
    </row>
    <row r="1005" spans="1:18" x14ac:dyDescent="0.35">
      <c r="A1005" t="s">
        <v>1044</v>
      </c>
      <c r="B1005" t="s">
        <v>23</v>
      </c>
      <c r="C1005" t="s">
        <v>27</v>
      </c>
      <c r="D1005" t="s">
        <v>4</v>
      </c>
      <c r="E1005" s="5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 s="4">
        <v>342.51513599999998</v>
      </c>
      <c r="L1005" s="2">
        <v>35342.515136000002</v>
      </c>
      <c r="M1005" t="str">
        <f t="shared" si="90"/>
        <v>Nevada</v>
      </c>
      <c r="N1005" t="str">
        <f t="shared" si="91"/>
        <v>M</v>
      </c>
      <c r="O1005" t="str">
        <f t="shared" si="92"/>
        <v>Bachelor</v>
      </c>
      <c r="P1005" t="str">
        <f t="shared" si="93"/>
        <v>Personal</v>
      </c>
      <c r="Q1005">
        <f t="shared" si="94"/>
        <v>4</v>
      </c>
      <c r="R1005">
        <f t="shared" ca="1" si="95"/>
        <v>29</v>
      </c>
    </row>
    <row r="1006" spans="1:18" x14ac:dyDescent="0.35">
      <c r="A1006" t="s">
        <v>1045</v>
      </c>
      <c r="B1006" t="s">
        <v>5</v>
      </c>
      <c r="C1006" t="s">
        <v>27</v>
      </c>
      <c r="D1006" t="s">
        <v>31</v>
      </c>
      <c r="E1006" s="5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 s="4">
        <v>441.6</v>
      </c>
      <c r="L1006" s="2">
        <v>35441.599999999999</v>
      </c>
      <c r="M1006" t="str">
        <f t="shared" si="90"/>
        <v>Arizona</v>
      </c>
      <c r="N1006" t="str">
        <f t="shared" si="91"/>
        <v>M</v>
      </c>
      <c r="O1006" t="str">
        <f t="shared" si="92"/>
        <v>High School or Below</v>
      </c>
      <c r="P1006" t="str">
        <f t="shared" si="93"/>
        <v>Personal</v>
      </c>
      <c r="Q1006">
        <f t="shared" si="94"/>
        <v>4</v>
      </c>
      <c r="R1006">
        <f t="shared" ca="1" si="95"/>
        <v>29</v>
      </c>
    </row>
    <row r="1007" spans="1:18" x14ac:dyDescent="0.35">
      <c r="A1007" t="s">
        <v>1046</v>
      </c>
      <c r="B1007" t="s">
        <v>48</v>
      </c>
      <c r="C1007" t="s">
        <v>27</v>
      </c>
      <c r="D1007" t="s">
        <v>4</v>
      </c>
      <c r="E1007" s="5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 s="4">
        <v>1027.1772550000001</v>
      </c>
      <c r="L1007" s="2">
        <v>36027.177255000002</v>
      </c>
      <c r="M1007" t="str">
        <f t="shared" si="90"/>
        <v>California</v>
      </c>
      <c r="N1007" t="str">
        <f t="shared" si="91"/>
        <v>M</v>
      </c>
      <c r="O1007" t="str">
        <f t="shared" si="92"/>
        <v>Bachelor</v>
      </c>
      <c r="P1007" t="str">
        <f t="shared" si="93"/>
        <v>Personal</v>
      </c>
      <c r="Q1007">
        <f t="shared" si="94"/>
        <v>2</v>
      </c>
      <c r="R1007">
        <f t="shared" ca="1" si="95"/>
        <v>28</v>
      </c>
    </row>
    <row r="1008" spans="1:18" x14ac:dyDescent="0.3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 s="4">
        <v>275.98997800000001</v>
      </c>
      <c r="L1008" s="2">
        <v>35275.989977999998</v>
      </c>
      <c r="M1008" t="str">
        <f t="shared" si="90"/>
        <v>Nevada</v>
      </c>
      <c r="N1008" t="str">
        <f t="shared" si="91"/>
        <v>M</v>
      </c>
      <c r="O1008" t="str">
        <f t="shared" si="92"/>
        <v>High School or Below</v>
      </c>
      <c r="P1008" t="str">
        <f t="shared" si="93"/>
        <v>Personal</v>
      </c>
      <c r="Q1008">
        <f t="shared" si="94"/>
        <v>4</v>
      </c>
      <c r="R1008">
        <f t="shared" ca="1" si="95"/>
        <v>30</v>
      </c>
    </row>
    <row r="1009" spans="1:18" x14ac:dyDescent="0.35">
      <c r="A1009" t="s">
        <v>1048</v>
      </c>
      <c r="B1009" t="s">
        <v>5</v>
      </c>
      <c r="C1009" t="s">
        <v>27</v>
      </c>
      <c r="D1009" t="s">
        <v>35</v>
      </c>
      <c r="E1009" s="5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 s="4">
        <v>472.59968300000003</v>
      </c>
      <c r="L1009" s="2">
        <v>35472.599683</v>
      </c>
      <c r="M1009" t="str">
        <f t="shared" si="90"/>
        <v>Arizona</v>
      </c>
      <c r="N1009" t="str">
        <f t="shared" si="91"/>
        <v>M</v>
      </c>
      <c r="O1009" t="str">
        <f t="shared" si="92"/>
        <v>College</v>
      </c>
      <c r="P1009" t="str">
        <f t="shared" si="93"/>
        <v>Personal</v>
      </c>
      <c r="Q1009">
        <f t="shared" si="94"/>
        <v>4</v>
      </c>
      <c r="R1009">
        <f t="shared" ca="1" si="95"/>
        <v>29</v>
      </c>
    </row>
    <row r="1010" spans="1:18" x14ac:dyDescent="0.35">
      <c r="A1010" t="s">
        <v>1049</v>
      </c>
      <c r="B1010" t="s">
        <v>23</v>
      </c>
      <c r="C1010" t="s">
        <v>21</v>
      </c>
      <c r="D1010" t="s">
        <v>35</v>
      </c>
      <c r="E1010" s="5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 s="4">
        <v>1336.9317160000001</v>
      </c>
      <c r="L1010" s="2">
        <v>36336.931715999999</v>
      </c>
      <c r="M1010" t="str">
        <f t="shared" si="90"/>
        <v>Nevada</v>
      </c>
      <c r="N1010" t="str">
        <f t="shared" si="91"/>
        <v>F</v>
      </c>
      <c r="O1010" t="str">
        <f t="shared" si="92"/>
        <v>College</v>
      </c>
      <c r="P1010" t="str">
        <f t="shared" si="93"/>
        <v>Special</v>
      </c>
      <c r="Q1010">
        <f t="shared" si="94"/>
        <v>2</v>
      </c>
      <c r="R1010">
        <f t="shared" ca="1" si="95"/>
        <v>27</v>
      </c>
    </row>
    <row r="1011" spans="1:18" x14ac:dyDescent="0.35">
      <c r="A1011" t="s">
        <v>1050</v>
      </c>
      <c r="B1011" t="s">
        <v>33</v>
      </c>
      <c r="C1011" t="s">
        <v>27</v>
      </c>
      <c r="D1011" t="s">
        <v>4</v>
      </c>
      <c r="E1011" s="5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 s="4">
        <v>547.20000000000005</v>
      </c>
      <c r="L1011" s="2">
        <v>35547.199999999997</v>
      </c>
      <c r="M1011" t="str">
        <f t="shared" si="90"/>
        <v>Oregon</v>
      </c>
      <c r="N1011" t="str">
        <f t="shared" si="91"/>
        <v>M</v>
      </c>
      <c r="O1011" t="str">
        <f t="shared" si="92"/>
        <v>Bachelor</v>
      </c>
      <c r="P1011" t="str">
        <f t="shared" si="93"/>
        <v>Corporate</v>
      </c>
      <c r="Q1011">
        <f t="shared" si="94"/>
        <v>4</v>
      </c>
      <c r="R1011">
        <f t="shared" ca="1" si="95"/>
        <v>29</v>
      </c>
    </row>
    <row r="1012" spans="1:18" x14ac:dyDescent="0.35">
      <c r="A1012" t="s">
        <v>1051</v>
      </c>
      <c r="B1012" t="s">
        <v>48</v>
      </c>
      <c r="C1012" t="s">
        <v>21</v>
      </c>
      <c r="D1012" t="s">
        <v>35</v>
      </c>
      <c r="E1012" s="5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 s="4">
        <v>7.3459459999999996</v>
      </c>
      <c r="L1012" s="2">
        <v>35007.345946000001</v>
      </c>
      <c r="M1012" t="str">
        <f t="shared" si="90"/>
        <v>California</v>
      </c>
      <c r="N1012" t="str">
        <f t="shared" si="91"/>
        <v>F</v>
      </c>
      <c r="O1012" t="str">
        <f t="shared" si="92"/>
        <v>College</v>
      </c>
      <c r="P1012" t="str">
        <f t="shared" si="93"/>
        <v>Corporate</v>
      </c>
      <c r="Q1012">
        <f t="shared" si="94"/>
        <v>2</v>
      </c>
      <c r="R1012">
        <f t="shared" ca="1" si="95"/>
        <v>30</v>
      </c>
    </row>
    <row r="1013" spans="1:18" x14ac:dyDescent="0.35">
      <c r="A1013" t="s">
        <v>1052</v>
      </c>
      <c r="B1013" t="s">
        <v>33</v>
      </c>
      <c r="C1013" t="s">
        <v>21</v>
      </c>
      <c r="D1013" t="s">
        <v>80</v>
      </c>
      <c r="E1013" s="5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 s="4">
        <v>540.14156600000001</v>
      </c>
      <c r="L1013" s="2">
        <v>35540.141565999998</v>
      </c>
      <c r="M1013" t="str">
        <f t="shared" si="90"/>
        <v>Oregon</v>
      </c>
      <c r="N1013" t="str">
        <f t="shared" si="91"/>
        <v>F</v>
      </c>
      <c r="O1013" t="str">
        <f t="shared" si="92"/>
        <v>Doctor</v>
      </c>
      <c r="P1013" t="str">
        <f t="shared" si="93"/>
        <v>Personal</v>
      </c>
      <c r="Q1013">
        <f t="shared" si="94"/>
        <v>4</v>
      </c>
      <c r="R1013">
        <f t="shared" ca="1" si="95"/>
        <v>29</v>
      </c>
    </row>
    <row r="1014" spans="1:18" x14ac:dyDescent="0.35">
      <c r="A1014" t="s">
        <v>1053</v>
      </c>
      <c r="B1014" t="s">
        <v>5</v>
      </c>
      <c r="C1014" t="s">
        <v>27</v>
      </c>
      <c r="D1014" t="s">
        <v>31</v>
      </c>
      <c r="E1014" s="5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 s="4">
        <v>383.36375800000002</v>
      </c>
      <c r="L1014" s="2">
        <v>35383.363758</v>
      </c>
      <c r="M1014" t="str">
        <f t="shared" si="90"/>
        <v>Arizona</v>
      </c>
      <c r="N1014" t="str">
        <f t="shared" si="91"/>
        <v>M</v>
      </c>
      <c r="O1014" t="str">
        <f t="shared" si="92"/>
        <v>High School or Below</v>
      </c>
      <c r="P1014" t="str">
        <f t="shared" si="93"/>
        <v>Personal</v>
      </c>
      <c r="Q1014">
        <f t="shared" si="94"/>
        <v>4</v>
      </c>
      <c r="R1014">
        <f t="shared" ca="1" si="95"/>
        <v>29</v>
      </c>
    </row>
    <row r="1015" spans="1:18" x14ac:dyDescent="0.35">
      <c r="A1015" t="s">
        <v>1054</v>
      </c>
      <c r="B1015" t="s">
        <v>48</v>
      </c>
      <c r="C1015" t="s">
        <v>21</v>
      </c>
      <c r="D1015" t="s">
        <v>4</v>
      </c>
      <c r="E1015" s="5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 s="4">
        <v>537.76515099999995</v>
      </c>
      <c r="L1015" s="2">
        <v>35537.765151</v>
      </c>
      <c r="M1015" t="str">
        <f t="shared" si="90"/>
        <v>California</v>
      </c>
      <c r="N1015" t="str">
        <f t="shared" si="91"/>
        <v>F</v>
      </c>
      <c r="O1015" t="str">
        <f t="shared" si="92"/>
        <v>Bachelor</v>
      </c>
      <c r="P1015" t="str">
        <f t="shared" si="93"/>
        <v>Special</v>
      </c>
      <c r="Q1015">
        <f t="shared" si="94"/>
        <v>4</v>
      </c>
      <c r="R1015">
        <f t="shared" ca="1" si="95"/>
        <v>29</v>
      </c>
    </row>
    <row r="1016" spans="1:18" x14ac:dyDescent="0.35">
      <c r="A1016" t="s">
        <v>1055</v>
      </c>
      <c r="B1016" t="s">
        <v>33</v>
      </c>
      <c r="C1016" t="s">
        <v>21</v>
      </c>
      <c r="D1016" t="s">
        <v>4</v>
      </c>
      <c r="E1016" s="5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 s="4">
        <v>321.87347399999999</v>
      </c>
      <c r="L1016" s="2">
        <v>35321.873474</v>
      </c>
      <c r="M1016" t="str">
        <f t="shared" si="90"/>
        <v>Oregon</v>
      </c>
      <c r="N1016" t="str">
        <f t="shared" si="91"/>
        <v>F</v>
      </c>
      <c r="O1016" t="str">
        <f t="shared" si="92"/>
        <v>Bachelor</v>
      </c>
      <c r="P1016" t="str">
        <f t="shared" si="93"/>
        <v>Personal</v>
      </c>
      <c r="Q1016">
        <f t="shared" si="94"/>
        <v>4</v>
      </c>
      <c r="R1016">
        <f t="shared" ca="1" si="95"/>
        <v>29</v>
      </c>
    </row>
    <row r="1017" spans="1:18" x14ac:dyDescent="0.35">
      <c r="A1017" t="s">
        <v>1056</v>
      </c>
      <c r="B1017" t="s">
        <v>33</v>
      </c>
      <c r="C1017" t="s">
        <v>21</v>
      </c>
      <c r="D1017" t="s">
        <v>35</v>
      </c>
      <c r="E1017" s="5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 s="4">
        <v>19.575683000000001</v>
      </c>
      <c r="L1017" s="2">
        <v>35019.575683000003</v>
      </c>
      <c r="M1017" t="str">
        <f t="shared" si="90"/>
        <v>Oregon</v>
      </c>
      <c r="N1017" t="str">
        <f t="shared" si="91"/>
        <v>F</v>
      </c>
      <c r="O1017" t="str">
        <f t="shared" si="92"/>
        <v>College</v>
      </c>
      <c r="P1017" t="str">
        <f t="shared" si="93"/>
        <v>Personal</v>
      </c>
      <c r="Q1017">
        <f t="shared" si="94"/>
        <v>2</v>
      </c>
      <c r="R1017">
        <f t="shared" ca="1" si="95"/>
        <v>30</v>
      </c>
    </row>
    <row r="1018" spans="1:18" x14ac:dyDescent="0.35">
      <c r="A1018" t="s">
        <v>1057</v>
      </c>
      <c r="B1018" t="s">
        <v>48</v>
      </c>
      <c r="C1018" t="s">
        <v>27</v>
      </c>
      <c r="D1018" t="s">
        <v>4</v>
      </c>
      <c r="E1018" s="5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 s="4">
        <v>571.20000000000005</v>
      </c>
      <c r="L1018" s="2">
        <v>35571.199999999997</v>
      </c>
      <c r="M1018" t="str">
        <f t="shared" si="90"/>
        <v>California</v>
      </c>
      <c r="N1018" t="str">
        <f t="shared" si="91"/>
        <v>M</v>
      </c>
      <c r="O1018" t="str">
        <f t="shared" si="92"/>
        <v>Bachelor</v>
      </c>
      <c r="P1018" t="str">
        <f t="shared" si="93"/>
        <v>Personal</v>
      </c>
      <c r="Q1018">
        <f t="shared" si="94"/>
        <v>4</v>
      </c>
      <c r="R1018">
        <f t="shared" ca="1" si="95"/>
        <v>29</v>
      </c>
    </row>
    <row r="1019" spans="1:18" x14ac:dyDescent="0.35">
      <c r="A1019" t="s">
        <v>1058</v>
      </c>
      <c r="B1019" t="s">
        <v>48</v>
      </c>
      <c r="C1019" t="s">
        <v>27</v>
      </c>
      <c r="D1019" t="s">
        <v>35</v>
      </c>
      <c r="E1019" s="5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 s="4">
        <v>108.138715</v>
      </c>
      <c r="L1019" s="2">
        <v>35108.138715000001</v>
      </c>
      <c r="M1019" t="str">
        <f t="shared" si="90"/>
        <v>California</v>
      </c>
      <c r="N1019" t="str">
        <f t="shared" si="91"/>
        <v>M</v>
      </c>
      <c r="O1019" t="str">
        <f t="shared" si="92"/>
        <v>College</v>
      </c>
      <c r="P1019" t="str">
        <f t="shared" si="93"/>
        <v>Personal</v>
      </c>
      <c r="Q1019">
        <f t="shared" si="94"/>
        <v>2</v>
      </c>
      <c r="R1019">
        <f t="shared" ca="1" si="95"/>
        <v>30</v>
      </c>
    </row>
    <row r="1020" spans="1:18" x14ac:dyDescent="0.35">
      <c r="A1020" t="s">
        <v>1059</v>
      </c>
      <c r="B1020" t="s">
        <v>48</v>
      </c>
      <c r="C1020" t="s">
        <v>27</v>
      </c>
      <c r="D1020" t="s">
        <v>31</v>
      </c>
      <c r="E1020" s="5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 s="4">
        <v>408</v>
      </c>
      <c r="L1020" s="2">
        <v>35408</v>
      </c>
      <c r="M1020" t="str">
        <f t="shared" si="90"/>
        <v>California</v>
      </c>
      <c r="N1020" t="str">
        <f t="shared" si="91"/>
        <v>M</v>
      </c>
      <c r="O1020" t="str">
        <f t="shared" si="92"/>
        <v>High School or Below</v>
      </c>
      <c r="P1020" t="str">
        <f t="shared" si="93"/>
        <v>Corporate</v>
      </c>
      <c r="Q1020">
        <f t="shared" si="94"/>
        <v>2</v>
      </c>
      <c r="R1020">
        <f t="shared" ca="1" si="95"/>
        <v>29</v>
      </c>
    </row>
    <row r="1021" spans="1:18" x14ac:dyDescent="0.35">
      <c r="A1021" t="s">
        <v>1060</v>
      </c>
      <c r="B1021" t="s">
        <v>48</v>
      </c>
      <c r="C1021" t="s">
        <v>27</v>
      </c>
      <c r="D1021" t="s">
        <v>4</v>
      </c>
      <c r="E1021" s="5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 s="4">
        <v>707.30341599999997</v>
      </c>
      <c r="L1021" s="2">
        <v>35707.303416000002</v>
      </c>
      <c r="M1021" t="str">
        <f t="shared" si="90"/>
        <v>California</v>
      </c>
      <c r="N1021" t="str">
        <f t="shared" si="91"/>
        <v>M</v>
      </c>
      <c r="O1021" t="str">
        <f t="shared" si="92"/>
        <v>Bachelor</v>
      </c>
      <c r="P1021" t="str">
        <f t="shared" si="93"/>
        <v>Personal</v>
      </c>
      <c r="Q1021">
        <f t="shared" si="94"/>
        <v>4</v>
      </c>
      <c r="R1021">
        <f t="shared" ca="1" si="95"/>
        <v>28</v>
      </c>
    </row>
    <row r="1022" spans="1:18" x14ac:dyDescent="0.3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 s="4">
        <v>1067.333126</v>
      </c>
      <c r="L1022" s="2">
        <v>36067.333125999998</v>
      </c>
      <c r="M1022" t="str">
        <f t="shared" si="90"/>
        <v>Oregon</v>
      </c>
      <c r="N1022" t="str">
        <f t="shared" si="91"/>
        <v>M</v>
      </c>
      <c r="O1022" t="str">
        <f t="shared" si="92"/>
        <v>College</v>
      </c>
      <c r="P1022" t="str">
        <f t="shared" si="93"/>
        <v>Corporate</v>
      </c>
      <c r="Q1022">
        <f t="shared" si="94"/>
        <v>2</v>
      </c>
      <c r="R1022">
        <f t="shared" ca="1" si="95"/>
        <v>27</v>
      </c>
    </row>
    <row r="1023" spans="1:18" x14ac:dyDescent="0.35">
      <c r="A1023" t="s">
        <v>1062</v>
      </c>
      <c r="B1023" t="s">
        <v>48</v>
      </c>
      <c r="C1023" t="s">
        <v>27</v>
      </c>
      <c r="D1023" t="s">
        <v>31</v>
      </c>
      <c r="E1023" s="5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 s="4">
        <v>807.94729199999995</v>
      </c>
      <c r="L1023" s="2">
        <v>35807.947291999997</v>
      </c>
      <c r="M1023" t="str">
        <f t="shared" si="90"/>
        <v>California</v>
      </c>
      <c r="N1023" t="str">
        <f t="shared" si="91"/>
        <v>M</v>
      </c>
      <c r="O1023" t="str">
        <f t="shared" si="92"/>
        <v>High School or Below</v>
      </c>
      <c r="P1023" t="str">
        <f t="shared" si="93"/>
        <v>Personal</v>
      </c>
      <c r="Q1023">
        <f t="shared" si="94"/>
        <v>4</v>
      </c>
      <c r="R1023">
        <f t="shared" ca="1" si="95"/>
        <v>28</v>
      </c>
    </row>
    <row r="1024" spans="1:18" x14ac:dyDescent="0.35">
      <c r="A1024" t="s">
        <v>1063</v>
      </c>
      <c r="B1024" t="s">
        <v>48</v>
      </c>
      <c r="C1024" t="s">
        <v>27</v>
      </c>
      <c r="D1024" t="s">
        <v>35</v>
      </c>
      <c r="E1024" s="5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 s="4">
        <v>618.63095499999997</v>
      </c>
      <c r="L1024" s="2">
        <v>35618.630955000001</v>
      </c>
      <c r="M1024" t="str">
        <f t="shared" si="90"/>
        <v>California</v>
      </c>
      <c r="N1024" t="str">
        <f t="shared" si="91"/>
        <v>M</v>
      </c>
      <c r="O1024" t="str">
        <f t="shared" si="92"/>
        <v>College</v>
      </c>
      <c r="P1024" t="str">
        <f t="shared" si="93"/>
        <v>Personal</v>
      </c>
      <c r="Q1024">
        <f t="shared" si="94"/>
        <v>2</v>
      </c>
      <c r="R1024">
        <f t="shared" ca="1" si="95"/>
        <v>29</v>
      </c>
    </row>
    <row r="1025" spans="1:18" x14ac:dyDescent="0.35">
      <c r="A1025" t="s">
        <v>1064</v>
      </c>
      <c r="B1025" t="s">
        <v>48</v>
      </c>
      <c r="C1025" t="s">
        <v>21</v>
      </c>
      <c r="D1025" t="s">
        <v>31</v>
      </c>
      <c r="E1025" s="5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 s="4">
        <v>404.272806</v>
      </c>
      <c r="L1025" s="2">
        <v>35404.272806000001</v>
      </c>
      <c r="M1025" t="str">
        <f t="shared" si="90"/>
        <v>California</v>
      </c>
      <c r="N1025" t="str">
        <f t="shared" si="91"/>
        <v>F</v>
      </c>
      <c r="O1025" t="str">
        <f t="shared" si="92"/>
        <v>High School or Below</v>
      </c>
      <c r="P1025" t="str">
        <f t="shared" si="93"/>
        <v>Corporate</v>
      </c>
      <c r="Q1025">
        <f t="shared" si="94"/>
        <v>4</v>
      </c>
      <c r="R1025">
        <f t="shared" ca="1" si="95"/>
        <v>29</v>
      </c>
    </row>
    <row r="1026" spans="1:18" x14ac:dyDescent="0.35">
      <c r="A1026" t="s">
        <v>1065</v>
      </c>
      <c r="B1026" t="s">
        <v>5</v>
      </c>
      <c r="C1026" t="s">
        <v>27</v>
      </c>
      <c r="D1026" t="s">
        <v>4</v>
      </c>
      <c r="E1026" s="5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 s="4">
        <v>710.4</v>
      </c>
      <c r="L1026" s="2">
        <v>35710.400000000001</v>
      </c>
      <c r="M1026" t="str">
        <f t="shared" si="90"/>
        <v>Arizona</v>
      </c>
      <c r="N1026" t="str">
        <f t="shared" si="91"/>
        <v>M</v>
      </c>
      <c r="O1026" t="str">
        <f t="shared" si="92"/>
        <v>Bachelor</v>
      </c>
      <c r="P1026" t="str">
        <f t="shared" si="93"/>
        <v>Personal</v>
      </c>
      <c r="Q1026">
        <f t="shared" si="94"/>
        <v>4</v>
      </c>
      <c r="R1026">
        <f t="shared" ca="1" si="95"/>
        <v>28</v>
      </c>
    </row>
    <row r="1027" spans="1:18" x14ac:dyDescent="0.35">
      <c r="A1027" t="s">
        <v>1066</v>
      </c>
      <c r="B1027" t="s">
        <v>33</v>
      </c>
      <c r="C1027" t="s">
        <v>27</v>
      </c>
      <c r="D1027" t="s">
        <v>4</v>
      </c>
      <c r="E1027" s="5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 s="4">
        <v>312</v>
      </c>
      <c r="L1027" s="2">
        <v>35312</v>
      </c>
      <c r="M1027" t="str">
        <f t="shared" ref="M1027:M1072" si="96">IF(OR(B1027="California",B1027="Cali"),"California",IF(OR(B1027="Arizona",B1027="AZ"),"Arizona",IF(OR(B1027="Washington",B1027="WA"),"Washington",B1027)))</f>
        <v>Oregon</v>
      </c>
      <c r="N1027" t="str">
        <f t="shared" ref="N1027:N1072" si="97">IF(OR(C1027="F",C1027="Femal",C1027="female"),"F",IF(OR(C1027="M",C1027="Male"),"M","NA"))</f>
        <v>M</v>
      </c>
      <c r="O1027" t="str">
        <f t="shared" ref="O1027:O1072" si="98">IF(OR(D1027="Bachelor",D1027="Bachelors"),"Bachelor",D1027)</f>
        <v>Bachelor</v>
      </c>
      <c r="P1027" t="str">
        <f t="shared" ref="P1027:P1072" si="99">LEFT(I1027,FIND(" ",I1027)-1)</f>
        <v>Corporate</v>
      </c>
      <c r="Q1027">
        <f t="shared" ref="Q1027:Q1072" si="100">IF(OR(J1027="Luxury Car",J1027="Two-Door Car",J1027="Sports Car"),2,IF(OR(J1027="Luxury SUV",J1027="SUV",J1027="Four-Door Car"),4,"NA"))</f>
        <v>4</v>
      </c>
      <c r="R1027">
        <f t="shared" ref="R1027:R1072" ca="1" si="101">DATEDIF(L1027,TODAY(),"Y")</f>
        <v>30</v>
      </c>
    </row>
    <row r="1028" spans="1:18" x14ac:dyDescent="0.35">
      <c r="A1028" t="s">
        <v>1067</v>
      </c>
      <c r="B1028" t="s">
        <v>23</v>
      </c>
      <c r="C1028" t="s">
        <v>21</v>
      </c>
      <c r="D1028" t="s">
        <v>4</v>
      </c>
      <c r="E1028" s="5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 s="4">
        <v>707.97761400000002</v>
      </c>
      <c r="L1028" s="2">
        <v>35707.977614000003</v>
      </c>
      <c r="M1028" t="str">
        <f t="shared" si="96"/>
        <v>Nevada</v>
      </c>
      <c r="N1028" t="str">
        <f t="shared" si="97"/>
        <v>F</v>
      </c>
      <c r="O1028" t="str">
        <f t="shared" si="98"/>
        <v>Bachelor</v>
      </c>
      <c r="P1028" t="str">
        <f t="shared" si="99"/>
        <v>Special</v>
      </c>
      <c r="Q1028">
        <f t="shared" si="100"/>
        <v>4</v>
      </c>
      <c r="R1028">
        <f t="shared" ca="1" si="101"/>
        <v>28</v>
      </c>
    </row>
    <row r="1029" spans="1:18" x14ac:dyDescent="0.35">
      <c r="A1029" t="s">
        <v>1068</v>
      </c>
      <c r="B1029" t="s">
        <v>33</v>
      </c>
      <c r="C1029" t="s">
        <v>21</v>
      </c>
      <c r="D1029" t="s">
        <v>35</v>
      </c>
      <c r="E1029" s="5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 s="4">
        <v>336</v>
      </c>
      <c r="L1029" s="2">
        <v>35336</v>
      </c>
      <c r="M1029" t="str">
        <f t="shared" si="96"/>
        <v>Oregon</v>
      </c>
      <c r="N1029" t="str">
        <f t="shared" si="97"/>
        <v>F</v>
      </c>
      <c r="O1029" t="str">
        <f t="shared" si="98"/>
        <v>College</v>
      </c>
      <c r="P1029" t="str">
        <f t="shared" si="99"/>
        <v>Corporate</v>
      </c>
      <c r="Q1029">
        <f t="shared" si="100"/>
        <v>4</v>
      </c>
      <c r="R1029">
        <f t="shared" ca="1" si="101"/>
        <v>29</v>
      </c>
    </row>
    <row r="1030" spans="1:18" x14ac:dyDescent="0.35">
      <c r="A1030" t="s">
        <v>1069</v>
      </c>
      <c r="B1030" t="s">
        <v>3</v>
      </c>
      <c r="C1030" t="s">
        <v>21</v>
      </c>
      <c r="D1030" t="s">
        <v>31</v>
      </c>
      <c r="E1030" s="5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 s="4">
        <v>232.24232599999999</v>
      </c>
      <c r="L1030" s="2">
        <v>35232.242326</v>
      </c>
      <c r="M1030" t="str">
        <f t="shared" si="96"/>
        <v>Washington</v>
      </c>
      <c r="N1030" t="str">
        <f t="shared" si="97"/>
        <v>F</v>
      </c>
      <c r="O1030" t="str">
        <f t="shared" si="98"/>
        <v>High School or Below</v>
      </c>
      <c r="P1030" t="str">
        <f t="shared" si="99"/>
        <v>Personal</v>
      </c>
      <c r="Q1030">
        <f t="shared" si="100"/>
        <v>2</v>
      </c>
      <c r="R1030">
        <f t="shared" ca="1" si="101"/>
        <v>30</v>
      </c>
    </row>
    <row r="1031" spans="1:18" x14ac:dyDescent="0.35">
      <c r="A1031" t="s">
        <v>1070</v>
      </c>
      <c r="B1031" t="s">
        <v>48</v>
      </c>
      <c r="C1031" t="s">
        <v>21</v>
      </c>
      <c r="D1031" t="s">
        <v>31</v>
      </c>
      <c r="E1031" s="5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 s="4">
        <v>68.226000999999997</v>
      </c>
      <c r="L1031" s="2">
        <v>35068.226001000003</v>
      </c>
      <c r="M1031" t="str">
        <f t="shared" si="96"/>
        <v>California</v>
      </c>
      <c r="N1031" t="str">
        <f t="shared" si="97"/>
        <v>F</v>
      </c>
      <c r="O1031" t="str">
        <f t="shared" si="98"/>
        <v>High School or Below</v>
      </c>
      <c r="P1031" t="str">
        <f t="shared" si="99"/>
        <v>Personal</v>
      </c>
      <c r="Q1031">
        <f t="shared" si="100"/>
        <v>4</v>
      </c>
      <c r="R1031">
        <f t="shared" ca="1" si="101"/>
        <v>30</v>
      </c>
    </row>
    <row r="1032" spans="1:18" x14ac:dyDescent="0.35">
      <c r="A1032" t="s">
        <v>1071</v>
      </c>
      <c r="B1032" t="s">
        <v>33</v>
      </c>
      <c r="C1032" t="s">
        <v>21</v>
      </c>
      <c r="D1032" t="s">
        <v>31</v>
      </c>
      <c r="E1032" s="5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 s="4">
        <v>287.14980700000001</v>
      </c>
      <c r="L1032" s="2">
        <v>35287.149807000002</v>
      </c>
      <c r="M1032" t="str">
        <f t="shared" si="96"/>
        <v>Oregon</v>
      </c>
      <c r="N1032" t="str">
        <f t="shared" si="97"/>
        <v>F</v>
      </c>
      <c r="O1032" t="str">
        <f t="shared" si="98"/>
        <v>High School or Below</v>
      </c>
      <c r="P1032" t="str">
        <f t="shared" si="99"/>
        <v>Personal</v>
      </c>
      <c r="Q1032">
        <f t="shared" si="100"/>
        <v>4</v>
      </c>
      <c r="R1032">
        <f t="shared" ca="1" si="101"/>
        <v>30</v>
      </c>
    </row>
    <row r="1033" spans="1:18" x14ac:dyDescent="0.35">
      <c r="A1033" t="s">
        <v>1072</v>
      </c>
      <c r="B1033" t="s">
        <v>48</v>
      </c>
      <c r="C1033" t="s">
        <v>27</v>
      </c>
      <c r="D1033" t="s">
        <v>4</v>
      </c>
      <c r="E1033" s="5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 s="4">
        <v>312</v>
      </c>
      <c r="L1033" s="2">
        <v>35312</v>
      </c>
      <c r="M1033" t="str">
        <f t="shared" si="96"/>
        <v>California</v>
      </c>
      <c r="N1033" t="str">
        <f t="shared" si="97"/>
        <v>M</v>
      </c>
      <c r="O1033" t="str">
        <f t="shared" si="98"/>
        <v>Bachelor</v>
      </c>
      <c r="P1033" t="str">
        <f t="shared" si="99"/>
        <v>Personal</v>
      </c>
      <c r="Q1033">
        <f t="shared" si="100"/>
        <v>4</v>
      </c>
      <c r="R1033">
        <f t="shared" ca="1" si="101"/>
        <v>30</v>
      </c>
    </row>
    <row r="1034" spans="1:18" x14ac:dyDescent="0.35">
      <c r="A1034" t="s">
        <v>1073</v>
      </c>
      <c r="B1034" t="s">
        <v>33</v>
      </c>
      <c r="C1034" t="s">
        <v>21</v>
      </c>
      <c r="D1034" t="s">
        <v>35</v>
      </c>
      <c r="E1034" s="5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 s="4">
        <v>595.20000000000005</v>
      </c>
      <c r="L1034" s="2">
        <v>35595.199999999997</v>
      </c>
      <c r="M1034" t="str">
        <f t="shared" si="96"/>
        <v>Oregon</v>
      </c>
      <c r="N1034" t="str">
        <f t="shared" si="97"/>
        <v>F</v>
      </c>
      <c r="O1034" t="str">
        <f t="shared" si="98"/>
        <v>College</v>
      </c>
      <c r="P1034" t="str">
        <f t="shared" si="99"/>
        <v>Corporate</v>
      </c>
      <c r="Q1034">
        <f t="shared" si="100"/>
        <v>4</v>
      </c>
      <c r="R1034">
        <f t="shared" ca="1" si="101"/>
        <v>29</v>
      </c>
    </row>
    <row r="1035" spans="1:18" x14ac:dyDescent="0.35">
      <c r="A1035" t="s">
        <v>1074</v>
      </c>
      <c r="B1035" t="s">
        <v>33</v>
      </c>
      <c r="C1035" t="s">
        <v>21</v>
      </c>
      <c r="D1035" t="s">
        <v>35</v>
      </c>
      <c r="E1035" s="5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 s="4">
        <v>391.63662799999997</v>
      </c>
      <c r="L1035" s="2">
        <v>35391.636628</v>
      </c>
      <c r="M1035" t="str">
        <f t="shared" si="96"/>
        <v>Oregon</v>
      </c>
      <c r="N1035" t="str">
        <f t="shared" si="97"/>
        <v>F</v>
      </c>
      <c r="O1035" t="str">
        <f t="shared" si="98"/>
        <v>College</v>
      </c>
      <c r="P1035" t="str">
        <f t="shared" si="99"/>
        <v>Personal</v>
      </c>
      <c r="Q1035">
        <f t="shared" si="100"/>
        <v>2</v>
      </c>
      <c r="R1035">
        <f t="shared" ca="1" si="101"/>
        <v>29</v>
      </c>
    </row>
    <row r="1036" spans="1:18" x14ac:dyDescent="0.35">
      <c r="A1036" t="s">
        <v>1075</v>
      </c>
      <c r="B1036" t="s">
        <v>33</v>
      </c>
      <c r="C1036" t="s">
        <v>21</v>
      </c>
      <c r="D1036" t="s">
        <v>4</v>
      </c>
      <c r="E1036" s="5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 s="4">
        <v>547.20000000000005</v>
      </c>
      <c r="L1036" s="2">
        <v>35547.199999999997</v>
      </c>
      <c r="M1036" t="str">
        <f t="shared" si="96"/>
        <v>Oregon</v>
      </c>
      <c r="N1036" t="str">
        <f t="shared" si="97"/>
        <v>F</v>
      </c>
      <c r="O1036" t="str">
        <f t="shared" si="98"/>
        <v>Bachelor</v>
      </c>
      <c r="P1036" t="str">
        <f t="shared" si="99"/>
        <v>Personal</v>
      </c>
      <c r="Q1036">
        <f t="shared" si="100"/>
        <v>4</v>
      </c>
      <c r="R1036">
        <f t="shared" ca="1" si="101"/>
        <v>29</v>
      </c>
    </row>
    <row r="1037" spans="1:18" x14ac:dyDescent="0.35">
      <c r="A1037" t="s">
        <v>1076</v>
      </c>
      <c r="B1037" t="s">
        <v>3</v>
      </c>
      <c r="C1037" t="s">
        <v>21</v>
      </c>
      <c r="D1037" t="s">
        <v>2</v>
      </c>
      <c r="E1037" s="5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 s="4">
        <v>239.32857100000001</v>
      </c>
      <c r="L1037" s="2">
        <v>35239.328570999998</v>
      </c>
      <c r="M1037" t="str">
        <f t="shared" si="96"/>
        <v>Washington</v>
      </c>
      <c r="N1037" t="str">
        <f t="shared" si="97"/>
        <v>F</v>
      </c>
      <c r="O1037" t="str">
        <f t="shared" si="98"/>
        <v>Master</v>
      </c>
      <c r="P1037" t="str">
        <f t="shared" si="99"/>
        <v>Personal</v>
      </c>
      <c r="Q1037">
        <f t="shared" si="100"/>
        <v>2</v>
      </c>
      <c r="R1037">
        <f t="shared" ca="1" si="101"/>
        <v>30</v>
      </c>
    </row>
    <row r="1038" spans="1:18" x14ac:dyDescent="0.35">
      <c r="A1038" t="s">
        <v>1077</v>
      </c>
      <c r="B1038" t="s">
        <v>48</v>
      </c>
      <c r="C1038" t="s">
        <v>21</v>
      </c>
      <c r="D1038" t="s">
        <v>4</v>
      </c>
      <c r="E1038" s="5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 s="4">
        <v>232.67441700000001</v>
      </c>
      <c r="L1038" s="2">
        <v>35232.674417000002</v>
      </c>
      <c r="M1038" t="str">
        <f t="shared" si="96"/>
        <v>California</v>
      </c>
      <c r="N1038" t="str">
        <f t="shared" si="97"/>
        <v>F</v>
      </c>
      <c r="O1038" t="str">
        <f t="shared" si="98"/>
        <v>Bachelor</v>
      </c>
      <c r="P1038" t="str">
        <f t="shared" si="99"/>
        <v>Personal</v>
      </c>
      <c r="Q1038">
        <f t="shared" si="100"/>
        <v>4</v>
      </c>
      <c r="R1038">
        <f t="shared" ca="1" si="101"/>
        <v>30</v>
      </c>
    </row>
    <row r="1039" spans="1:18" x14ac:dyDescent="0.35">
      <c r="A1039" t="s">
        <v>1078</v>
      </c>
      <c r="B1039" t="s">
        <v>23</v>
      </c>
      <c r="C1039" t="s">
        <v>21</v>
      </c>
      <c r="D1039" t="s">
        <v>31</v>
      </c>
      <c r="E1039" s="5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 s="4">
        <v>331.2</v>
      </c>
      <c r="L1039" s="2">
        <v>35331.199999999997</v>
      </c>
      <c r="M1039" t="str">
        <f t="shared" si="96"/>
        <v>Nevada</v>
      </c>
      <c r="N1039" t="str">
        <f t="shared" si="97"/>
        <v>F</v>
      </c>
      <c r="O1039" t="str">
        <f t="shared" si="98"/>
        <v>High School or Below</v>
      </c>
      <c r="P1039" t="str">
        <f t="shared" si="99"/>
        <v>Personal</v>
      </c>
      <c r="Q1039">
        <f t="shared" si="100"/>
        <v>4</v>
      </c>
      <c r="R1039">
        <f t="shared" ca="1" si="101"/>
        <v>29</v>
      </c>
    </row>
    <row r="1040" spans="1:18" x14ac:dyDescent="0.35">
      <c r="A1040" t="s">
        <v>1079</v>
      </c>
      <c r="B1040" t="s">
        <v>48</v>
      </c>
      <c r="C1040" t="s">
        <v>21</v>
      </c>
      <c r="D1040" t="s">
        <v>4</v>
      </c>
      <c r="E1040" s="5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 s="4">
        <v>336.50961000000001</v>
      </c>
      <c r="L1040" s="2">
        <v>35336.509610000001</v>
      </c>
      <c r="M1040" t="str">
        <f t="shared" si="96"/>
        <v>California</v>
      </c>
      <c r="N1040" t="str">
        <f t="shared" si="97"/>
        <v>F</v>
      </c>
      <c r="O1040" t="str">
        <f t="shared" si="98"/>
        <v>Bachelor</v>
      </c>
      <c r="P1040" t="str">
        <f t="shared" si="99"/>
        <v>Personal</v>
      </c>
      <c r="Q1040">
        <f t="shared" si="100"/>
        <v>4</v>
      </c>
      <c r="R1040">
        <f t="shared" ca="1" si="101"/>
        <v>29</v>
      </c>
    </row>
    <row r="1041" spans="1:18" x14ac:dyDescent="0.35">
      <c r="A1041" t="s">
        <v>1080</v>
      </c>
      <c r="B1041" t="s">
        <v>48</v>
      </c>
      <c r="C1041" t="s">
        <v>21</v>
      </c>
      <c r="D1041" t="s">
        <v>31</v>
      </c>
      <c r="E1041" s="5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 s="4">
        <v>470.4</v>
      </c>
      <c r="L1041" s="2">
        <v>35470.400000000001</v>
      </c>
      <c r="M1041" t="str">
        <f t="shared" si="96"/>
        <v>California</v>
      </c>
      <c r="N1041" t="str">
        <f t="shared" si="97"/>
        <v>F</v>
      </c>
      <c r="O1041" t="str">
        <f t="shared" si="98"/>
        <v>High School or Below</v>
      </c>
      <c r="P1041" t="str">
        <f t="shared" si="99"/>
        <v>Corporate</v>
      </c>
      <c r="Q1041">
        <f t="shared" si="100"/>
        <v>4</v>
      </c>
      <c r="R1041">
        <f t="shared" ca="1" si="101"/>
        <v>29</v>
      </c>
    </row>
    <row r="1042" spans="1:18" x14ac:dyDescent="0.35">
      <c r="A1042" t="s">
        <v>1081</v>
      </c>
      <c r="B1042" t="s">
        <v>33</v>
      </c>
      <c r="C1042" t="s">
        <v>27</v>
      </c>
      <c r="D1042" t="s">
        <v>4</v>
      </c>
      <c r="E1042" s="5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 s="4">
        <v>345.6</v>
      </c>
      <c r="L1042" s="2">
        <v>35345.599999999999</v>
      </c>
      <c r="M1042" t="str">
        <f t="shared" si="96"/>
        <v>Oregon</v>
      </c>
      <c r="N1042" t="str">
        <f t="shared" si="97"/>
        <v>M</v>
      </c>
      <c r="O1042" t="str">
        <f t="shared" si="98"/>
        <v>Bachelor</v>
      </c>
      <c r="P1042" t="str">
        <f t="shared" si="99"/>
        <v>Personal</v>
      </c>
      <c r="Q1042">
        <f t="shared" si="100"/>
        <v>4</v>
      </c>
      <c r="R1042">
        <f t="shared" ca="1" si="101"/>
        <v>29</v>
      </c>
    </row>
    <row r="1043" spans="1:18" x14ac:dyDescent="0.35">
      <c r="A1043" t="s">
        <v>1082</v>
      </c>
      <c r="B1043" t="s">
        <v>3</v>
      </c>
      <c r="C1043" t="s">
        <v>21</v>
      </c>
      <c r="D1043" t="s">
        <v>53</v>
      </c>
      <c r="E1043" s="5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 s="4">
        <v>244.21228600000001</v>
      </c>
      <c r="L1043" s="2">
        <v>35244.212286000002</v>
      </c>
      <c r="M1043" t="str">
        <f t="shared" si="96"/>
        <v>Washington</v>
      </c>
      <c r="N1043" t="str">
        <f t="shared" si="97"/>
        <v>F</v>
      </c>
      <c r="O1043" t="str">
        <f t="shared" si="98"/>
        <v>Bachelor</v>
      </c>
      <c r="P1043" t="str">
        <f t="shared" si="99"/>
        <v>Corporate</v>
      </c>
      <c r="Q1043">
        <f t="shared" si="100"/>
        <v>2</v>
      </c>
      <c r="R1043">
        <f t="shared" ca="1" si="101"/>
        <v>30</v>
      </c>
    </row>
    <row r="1044" spans="1:18" x14ac:dyDescent="0.35">
      <c r="A1044" t="s">
        <v>1083</v>
      </c>
      <c r="B1044" t="s">
        <v>5</v>
      </c>
      <c r="C1044" t="s">
        <v>21</v>
      </c>
      <c r="D1044" t="s">
        <v>31</v>
      </c>
      <c r="E1044" s="5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 s="4">
        <v>523.20000000000005</v>
      </c>
      <c r="L1044" s="2">
        <v>35523.199999999997</v>
      </c>
      <c r="M1044" t="str">
        <f t="shared" si="96"/>
        <v>Arizona</v>
      </c>
      <c r="N1044" t="str">
        <f t="shared" si="97"/>
        <v>F</v>
      </c>
      <c r="O1044" t="str">
        <f t="shared" si="98"/>
        <v>High School or Below</v>
      </c>
      <c r="P1044" t="str">
        <f t="shared" si="99"/>
        <v>Personal</v>
      </c>
      <c r="Q1044">
        <f t="shared" si="100"/>
        <v>4</v>
      </c>
      <c r="R1044">
        <f t="shared" ca="1" si="101"/>
        <v>29</v>
      </c>
    </row>
    <row r="1045" spans="1:18" x14ac:dyDescent="0.35">
      <c r="A1045" t="s">
        <v>1084</v>
      </c>
      <c r="B1045" t="s">
        <v>5</v>
      </c>
      <c r="C1045" t="s">
        <v>21</v>
      </c>
      <c r="D1045" t="s">
        <v>31</v>
      </c>
      <c r="E1045" s="5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 s="4">
        <v>328.87086799999997</v>
      </c>
      <c r="L1045" s="2">
        <v>35328.870867999998</v>
      </c>
      <c r="M1045" t="str">
        <f t="shared" si="96"/>
        <v>Arizona</v>
      </c>
      <c r="N1045" t="str">
        <f t="shared" si="97"/>
        <v>F</v>
      </c>
      <c r="O1045" t="str">
        <f t="shared" si="98"/>
        <v>High School or Below</v>
      </c>
      <c r="P1045" t="str">
        <f t="shared" si="99"/>
        <v>Personal</v>
      </c>
      <c r="Q1045">
        <f t="shared" si="100"/>
        <v>4</v>
      </c>
      <c r="R1045">
        <f t="shared" ca="1" si="101"/>
        <v>29</v>
      </c>
    </row>
    <row r="1046" spans="1:18" x14ac:dyDescent="0.35">
      <c r="A1046" t="s">
        <v>1085</v>
      </c>
      <c r="B1046" t="s">
        <v>5</v>
      </c>
      <c r="C1046" t="s">
        <v>27</v>
      </c>
      <c r="D1046" t="s">
        <v>35</v>
      </c>
      <c r="E1046" s="5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 s="4">
        <v>496.8</v>
      </c>
      <c r="L1046" s="2">
        <v>35496.800000000003</v>
      </c>
      <c r="M1046" t="str">
        <f t="shared" si="96"/>
        <v>Arizona</v>
      </c>
      <c r="N1046" t="str">
        <f t="shared" si="97"/>
        <v>M</v>
      </c>
      <c r="O1046" t="str">
        <f t="shared" si="98"/>
        <v>College</v>
      </c>
      <c r="P1046" t="str">
        <f t="shared" si="99"/>
        <v>Personal</v>
      </c>
      <c r="Q1046">
        <f t="shared" si="100"/>
        <v>4</v>
      </c>
      <c r="R1046">
        <f t="shared" ca="1" si="101"/>
        <v>29</v>
      </c>
    </row>
    <row r="1047" spans="1:18" x14ac:dyDescent="0.35">
      <c r="A1047" t="s">
        <v>1086</v>
      </c>
      <c r="B1047" t="s">
        <v>33</v>
      </c>
      <c r="C1047" t="s">
        <v>21</v>
      </c>
      <c r="D1047" t="s">
        <v>4</v>
      </c>
      <c r="E1047" s="5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 s="4">
        <v>85.063708000000005</v>
      </c>
      <c r="L1047" s="2">
        <v>35085.063708000001</v>
      </c>
      <c r="M1047" t="str">
        <f t="shared" si="96"/>
        <v>Oregon</v>
      </c>
      <c r="N1047" t="str">
        <f t="shared" si="97"/>
        <v>F</v>
      </c>
      <c r="O1047" t="str">
        <f t="shared" si="98"/>
        <v>Bachelor</v>
      </c>
      <c r="P1047" t="str">
        <f t="shared" si="99"/>
        <v>Corporate</v>
      </c>
      <c r="Q1047">
        <f t="shared" si="100"/>
        <v>4</v>
      </c>
      <c r="R1047">
        <f t="shared" ca="1" si="101"/>
        <v>30</v>
      </c>
    </row>
    <row r="1048" spans="1:18" x14ac:dyDescent="0.35">
      <c r="A1048" t="s">
        <v>1087</v>
      </c>
      <c r="B1048" t="s">
        <v>33</v>
      </c>
      <c r="C1048" t="s">
        <v>21</v>
      </c>
      <c r="D1048" t="s">
        <v>35</v>
      </c>
      <c r="E1048" s="5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 s="4">
        <v>1418.4</v>
      </c>
      <c r="L1048" s="2">
        <v>36418.400000000001</v>
      </c>
      <c r="M1048" t="str">
        <f t="shared" si="96"/>
        <v>Oregon</v>
      </c>
      <c r="N1048" t="str">
        <f t="shared" si="97"/>
        <v>F</v>
      </c>
      <c r="O1048" t="str">
        <f t="shared" si="98"/>
        <v>College</v>
      </c>
      <c r="P1048" t="str">
        <f t="shared" si="99"/>
        <v>Personal</v>
      </c>
      <c r="Q1048">
        <f t="shared" si="100"/>
        <v>4</v>
      </c>
      <c r="R1048">
        <f t="shared" ca="1" si="101"/>
        <v>26</v>
      </c>
    </row>
    <row r="1049" spans="1:18" x14ac:dyDescent="0.35">
      <c r="A1049" t="s">
        <v>1088</v>
      </c>
      <c r="B1049" t="s">
        <v>33</v>
      </c>
      <c r="C1049" t="s">
        <v>21</v>
      </c>
      <c r="D1049" t="s">
        <v>31</v>
      </c>
      <c r="E1049" s="5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 s="4">
        <v>334.40871700000002</v>
      </c>
      <c r="L1049" s="2">
        <v>35334.408716999998</v>
      </c>
      <c r="M1049" t="str">
        <f t="shared" si="96"/>
        <v>Oregon</v>
      </c>
      <c r="N1049" t="str">
        <f t="shared" si="97"/>
        <v>F</v>
      </c>
      <c r="O1049" t="str">
        <f t="shared" si="98"/>
        <v>High School or Below</v>
      </c>
      <c r="P1049" t="str">
        <f t="shared" si="99"/>
        <v>Personal</v>
      </c>
      <c r="Q1049">
        <f t="shared" si="100"/>
        <v>2</v>
      </c>
      <c r="R1049">
        <f t="shared" ca="1" si="101"/>
        <v>29</v>
      </c>
    </row>
    <row r="1050" spans="1:18" x14ac:dyDescent="0.35">
      <c r="A1050" t="s">
        <v>1089</v>
      </c>
      <c r="B1050" t="s">
        <v>5</v>
      </c>
      <c r="C1050" t="s">
        <v>21</v>
      </c>
      <c r="D1050" t="s">
        <v>35</v>
      </c>
      <c r="E1050" s="5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 s="4">
        <v>42.096415</v>
      </c>
      <c r="L1050" s="2">
        <v>35042.096415</v>
      </c>
      <c r="M1050" t="str">
        <f t="shared" si="96"/>
        <v>Arizona</v>
      </c>
      <c r="N1050" t="str">
        <f t="shared" si="97"/>
        <v>F</v>
      </c>
      <c r="O1050" t="str">
        <f t="shared" si="98"/>
        <v>College</v>
      </c>
      <c r="P1050" t="str">
        <f t="shared" si="99"/>
        <v>Personal</v>
      </c>
      <c r="Q1050">
        <f t="shared" si="100"/>
        <v>4</v>
      </c>
      <c r="R1050">
        <f t="shared" ca="1" si="101"/>
        <v>30</v>
      </c>
    </row>
    <row r="1051" spans="1:18" x14ac:dyDescent="0.35">
      <c r="A1051" t="s">
        <v>1090</v>
      </c>
      <c r="B1051" t="s">
        <v>48</v>
      </c>
      <c r="C1051" t="s">
        <v>21</v>
      </c>
      <c r="D1051" t="s">
        <v>31</v>
      </c>
      <c r="E1051" s="5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 s="4">
        <v>300.52857899999998</v>
      </c>
      <c r="L1051" s="2">
        <v>35300.528578999998</v>
      </c>
      <c r="M1051" t="str">
        <f t="shared" si="96"/>
        <v>California</v>
      </c>
      <c r="N1051" t="str">
        <f t="shared" si="97"/>
        <v>F</v>
      </c>
      <c r="O1051" t="str">
        <f t="shared" si="98"/>
        <v>High School or Below</v>
      </c>
      <c r="P1051" t="str">
        <f t="shared" si="99"/>
        <v>Personal</v>
      </c>
      <c r="Q1051">
        <f t="shared" si="100"/>
        <v>2</v>
      </c>
      <c r="R1051">
        <f t="shared" ca="1" si="101"/>
        <v>30</v>
      </c>
    </row>
    <row r="1052" spans="1:18" x14ac:dyDescent="0.35">
      <c r="A1052" t="s">
        <v>1091</v>
      </c>
      <c r="B1052" t="s">
        <v>5</v>
      </c>
      <c r="C1052" t="s">
        <v>27</v>
      </c>
      <c r="D1052" t="s">
        <v>31</v>
      </c>
      <c r="E1052" s="5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 s="4">
        <v>144.782152</v>
      </c>
      <c r="L1052" s="2">
        <v>35144.782152</v>
      </c>
      <c r="M1052" t="str">
        <f t="shared" si="96"/>
        <v>Arizona</v>
      </c>
      <c r="N1052" t="str">
        <f t="shared" si="97"/>
        <v>M</v>
      </c>
      <c r="O1052" t="str">
        <f t="shared" si="98"/>
        <v>High School or Below</v>
      </c>
      <c r="P1052" t="str">
        <f t="shared" si="99"/>
        <v>Corporate</v>
      </c>
      <c r="Q1052">
        <f t="shared" si="100"/>
        <v>4</v>
      </c>
      <c r="R1052">
        <f t="shared" ca="1" si="101"/>
        <v>30</v>
      </c>
    </row>
    <row r="1053" spans="1:18" x14ac:dyDescent="0.35">
      <c r="A1053" t="s">
        <v>1092</v>
      </c>
      <c r="B1053" t="s">
        <v>33</v>
      </c>
      <c r="C1053" t="s">
        <v>21</v>
      </c>
      <c r="D1053" t="s">
        <v>4</v>
      </c>
      <c r="E1053" s="5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 s="4">
        <v>64.598215999999994</v>
      </c>
      <c r="L1053" s="2">
        <v>35064.598215999999</v>
      </c>
      <c r="M1053" t="str">
        <f t="shared" si="96"/>
        <v>Oregon</v>
      </c>
      <c r="N1053" t="str">
        <f t="shared" si="97"/>
        <v>F</v>
      </c>
      <c r="O1053" t="str">
        <f t="shared" si="98"/>
        <v>Bachelor</v>
      </c>
      <c r="P1053" t="str">
        <f t="shared" si="99"/>
        <v>Personal</v>
      </c>
      <c r="Q1053">
        <f t="shared" si="100"/>
        <v>4</v>
      </c>
      <c r="R1053">
        <f t="shared" ca="1" si="101"/>
        <v>30</v>
      </c>
    </row>
    <row r="1054" spans="1:18" x14ac:dyDescent="0.3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 s="4">
        <v>532.79999999999995</v>
      </c>
      <c r="L1054" s="2">
        <v>35532.800000000003</v>
      </c>
      <c r="M1054" t="str">
        <f t="shared" si="96"/>
        <v>Oregon</v>
      </c>
      <c r="N1054" t="str">
        <f t="shared" si="97"/>
        <v>M</v>
      </c>
      <c r="O1054" t="str">
        <f t="shared" si="98"/>
        <v>High School or Below</v>
      </c>
      <c r="P1054" t="str">
        <f t="shared" si="99"/>
        <v>Corporate</v>
      </c>
      <c r="Q1054">
        <f t="shared" si="100"/>
        <v>4</v>
      </c>
      <c r="R1054">
        <f t="shared" ca="1" si="101"/>
        <v>29</v>
      </c>
    </row>
    <row r="1055" spans="1:18" x14ac:dyDescent="0.35">
      <c r="A1055" t="s">
        <v>1094</v>
      </c>
      <c r="B1055" t="s">
        <v>23</v>
      </c>
      <c r="C1055" t="s">
        <v>21</v>
      </c>
      <c r="D1055" t="s">
        <v>4</v>
      </c>
      <c r="E1055" s="5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 s="4">
        <v>347.857619</v>
      </c>
      <c r="L1055" s="2">
        <v>35347.857619000002</v>
      </c>
      <c r="M1055" t="str">
        <f t="shared" si="96"/>
        <v>Nevada</v>
      </c>
      <c r="N1055" t="str">
        <f t="shared" si="97"/>
        <v>F</v>
      </c>
      <c r="O1055" t="str">
        <f t="shared" si="98"/>
        <v>Bachelor</v>
      </c>
      <c r="P1055" t="str">
        <f t="shared" si="99"/>
        <v>Personal</v>
      </c>
      <c r="Q1055">
        <f t="shared" si="100"/>
        <v>4</v>
      </c>
      <c r="R1055">
        <f t="shared" ca="1" si="101"/>
        <v>29</v>
      </c>
    </row>
    <row r="1056" spans="1:18" x14ac:dyDescent="0.35">
      <c r="A1056" t="s">
        <v>1095</v>
      </c>
      <c r="B1056" t="s">
        <v>3</v>
      </c>
      <c r="C1056" t="s">
        <v>21</v>
      </c>
      <c r="D1056" t="s">
        <v>4</v>
      </c>
      <c r="E1056" s="5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 s="4">
        <v>245.447622</v>
      </c>
      <c r="L1056" s="2">
        <v>35245.447622</v>
      </c>
      <c r="M1056" t="str">
        <f t="shared" si="96"/>
        <v>Washington</v>
      </c>
      <c r="N1056" t="str">
        <f t="shared" si="97"/>
        <v>F</v>
      </c>
      <c r="O1056" t="str">
        <f t="shared" si="98"/>
        <v>Bachelor</v>
      </c>
      <c r="P1056" t="str">
        <f t="shared" si="99"/>
        <v>Personal</v>
      </c>
      <c r="Q1056">
        <f t="shared" si="100"/>
        <v>4</v>
      </c>
      <c r="R1056">
        <f t="shared" ca="1" si="101"/>
        <v>30</v>
      </c>
    </row>
    <row r="1057" spans="1:18" x14ac:dyDescent="0.3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 s="4">
        <v>525.6</v>
      </c>
      <c r="L1057" s="2">
        <v>35525.599999999999</v>
      </c>
      <c r="M1057" t="str">
        <f t="shared" si="96"/>
        <v>Oregon</v>
      </c>
      <c r="N1057" t="str">
        <f t="shared" si="97"/>
        <v>M</v>
      </c>
      <c r="O1057" t="str">
        <f t="shared" si="98"/>
        <v>High School or Below</v>
      </c>
      <c r="P1057" t="str">
        <f t="shared" si="99"/>
        <v>Personal</v>
      </c>
      <c r="Q1057">
        <f t="shared" si="100"/>
        <v>4</v>
      </c>
      <c r="R1057">
        <f t="shared" ca="1" si="101"/>
        <v>29</v>
      </c>
    </row>
    <row r="1058" spans="1:18" x14ac:dyDescent="0.35">
      <c r="A1058" t="s">
        <v>1097</v>
      </c>
      <c r="B1058" t="s">
        <v>33</v>
      </c>
      <c r="C1058" t="s">
        <v>21</v>
      </c>
      <c r="D1058" t="s">
        <v>4</v>
      </c>
      <c r="E1058" s="5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 s="4">
        <v>61.769564000000003</v>
      </c>
      <c r="L1058" s="2">
        <v>35061.769564000002</v>
      </c>
      <c r="M1058" t="str">
        <f t="shared" si="96"/>
        <v>Oregon</v>
      </c>
      <c r="N1058" t="str">
        <f t="shared" si="97"/>
        <v>F</v>
      </c>
      <c r="O1058" t="str">
        <f t="shared" si="98"/>
        <v>Bachelor</v>
      </c>
      <c r="P1058" t="str">
        <f t="shared" si="99"/>
        <v>Corporate</v>
      </c>
      <c r="Q1058">
        <f t="shared" si="100"/>
        <v>4</v>
      </c>
      <c r="R1058">
        <f t="shared" ca="1" si="101"/>
        <v>30</v>
      </c>
    </row>
    <row r="1059" spans="1:18" x14ac:dyDescent="0.35">
      <c r="A1059" t="s">
        <v>1098</v>
      </c>
      <c r="B1059" t="s">
        <v>48</v>
      </c>
      <c r="C1059" t="s">
        <v>27</v>
      </c>
      <c r="D1059" t="s">
        <v>35</v>
      </c>
      <c r="E1059" s="5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 s="4">
        <v>316.8</v>
      </c>
      <c r="L1059" s="2">
        <v>35316.800000000003</v>
      </c>
      <c r="M1059" t="str">
        <f t="shared" si="96"/>
        <v>California</v>
      </c>
      <c r="N1059" t="str">
        <f t="shared" si="97"/>
        <v>M</v>
      </c>
      <c r="O1059" t="str">
        <f t="shared" si="98"/>
        <v>College</v>
      </c>
      <c r="P1059" t="str">
        <f t="shared" si="99"/>
        <v>Personal</v>
      </c>
      <c r="Q1059">
        <f t="shared" si="100"/>
        <v>2</v>
      </c>
      <c r="R1059">
        <f t="shared" ca="1" si="101"/>
        <v>30</v>
      </c>
    </row>
    <row r="1060" spans="1:18" x14ac:dyDescent="0.3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 s="4">
        <v>955.2</v>
      </c>
      <c r="L1060" s="2">
        <v>35955.199999999997</v>
      </c>
      <c r="M1060" t="str">
        <f t="shared" si="96"/>
        <v>Oregon</v>
      </c>
      <c r="N1060" t="str">
        <f t="shared" si="97"/>
        <v>M</v>
      </c>
      <c r="O1060" t="str">
        <f t="shared" si="98"/>
        <v>High School or Below</v>
      </c>
      <c r="P1060" t="str">
        <f t="shared" si="99"/>
        <v>Personal</v>
      </c>
      <c r="Q1060">
        <f t="shared" si="100"/>
        <v>4</v>
      </c>
      <c r="R1060">
        <f t="shared" ca="1" si="101"/>
        <v>28</v>
      </c>
    </row>
    <row r="1061" spans="1:18" x14ac:dyDescent="0.3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 s="4">
        <v>720.75294499999995</v>
      </c>
      <c r="L1061" s="2">
        <v>35720.752945</v>
      </c>
      <c r="M1061" t="str">
        <f t="shared" si="96"/>
        <v>Oregon</v>
      </c>
      <c r="N1061" t="str">
        <f t="shared" si="97"/>
        <v>M</v>
      </c>
      <c r="O1061" t="str">
        <f t="shared" si="98"/>
        <v>College</v>
      </c>
      <c r="P1061" t="str">
        <f t="shared" si="99"/>
        <v>Corporate</v>
      </c>
      <c r="Q1061">
        <f t="shared" si="100"/>
        <v>4</v>
      </c>
      <c r="R1061">
        <f t="shared" ca="1" si="101"/>
        <v>28</v>
      </c>
    </row>
    <row r="1062" spans="1:18" x14ac:dyDescent="0.3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 s="4">
        <v>340.65696300000002</v>
      </c>
      <c r="L1062" s="2">
        <v>35340.656967592593</v>
      </c>
      <c r="M1062" t="str">
        <f t="shared" si="96"/>
        <v>Oregon</v>
      </c>
      <c r="N1062" t="str">
        <f t="shared" si="97"/>
        <v>M</v>
      </c>
      <c r="O1062" t="str">
        <f t="shared" si="98"/>
        <v>College</v>
      </c>
      <c r="P1062" t="str">
        <f t="shared" si="99"/>
        <v>Personal</v>
      </c>
      <c r="Q1062">
        <f t="shared" si="100"/>
        <v>4</v>
      </c>
      <c r="R1062">
        <f t="shared" ca="1" si="101"/>
        <v>29</v>
      </c>
    </row>
    <row r="1063" spans="1:18" x14ac:dyDescent="0.35">
      <c r="A1063" t="s">
        <v>1102</v>
      </c>
      <c r="B1063" t="s">
        <v>48</v>
      </c>
      <c r="C1063" t="s">
        <v>21</v>
      </c>
      <c r="D1063" t="s">
        <v>4</v>
      </c>
      <c r="E1063" s="5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 s="4">
        <v>546.52489600000001</v>
      </c>
      <c r="L1063" s="2">
        <v>35546.524896000003</v>
      </c>
      <c r="M1063" t="str">
        <f t="shared" si="96"/>
        <v>California</v>
      </c>
      <c r="N1063" t="str">
        <f t="shared" si="97"/>
        <v>F</v>
      </c>
      <c r="O1063" t="str">
        <f t="shared" si="98"/>
        <v>Bachelor</v>
      </c>
      <c r="P1063" t="str">
        <f t="shared" si="99"/>
        <v>Personal</v>
      </c>
      <c r="Q1063">
        <f t="shared" si="100"/>
        <v>4</v>
      </c>
      <c r="R1063">
        <f t="shared" ca="1" si="101"/>
        <v>29</v>
      </c>
    </row>
    <row r="1064" spans="1:18" x14ac:dyDescent="0.35">
      <c r="A1064" t="s">
        <v>1103</v>
      </c>
      <c r="B1064" t="s">
        <v>5</v>
      </c>
      <c r="C1064" t="s">
        <v>21</v>
      </c>
      <c r="D1064" t="s">
        <v>31</v>
      </c>
      <c r="E1064" s="5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 s="4">
        <v>489.411833</v>
      </c>
      <c r="L1064" s="2">
        <v>35489.411832999998</v>
      </c>
      <c r="M1064" t="str">
        <f t="shared" si="96"/>
        <v>Arizona</v>
      </c>
      <c r="N1064" t="str">
        <f t="shared" si="97"/>
        <v>F</v>
      </c>
      <c r="O1064" t="str">
        <f t="shared" si="98"/>
        <v>High School or Below</v>
      </c>
      <c r="P1064" t="str">
        <f t="shared" si="99"/>
        <v>Personal</v>
      </c>
      <c r="Q1064">
        <f t="shared" si="100"/>
        <v>4</v>
      </c>
      <c r="R1064">
        <f t="shared" ca="1" si="101"/>
        <v>29</v>
      </c>
    </row>
    <row r="1065" spans="1:18" x14ac:dyDescent="0.35">
      <c r="A1065" t="s">
        <v>1104</v>
      </c>
      <c r="B1065" t="s">
        <v>48</v>
      </c>
      <c r="C1065" t="s">
        <v>27</v>
      </c>
      <c r="D1065" t="s">
        <v>35</v>
      </c>
      <c r="E1065" s="5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 s="4">
        <v>171.32585599999999</v>
      </c>
      <c r="L1065" s="2">
        <v>35171.325856000003</v>
      </c>
      <c r="M1065" t="str">
        <f t="shared" si="96"/>
        <v>California</v>
      </c>
      <c r="N1065" t="str">
        <f t="shared" si="97"/>
        <v>M</v>
      </c>
      <c r="O1065" t="str">
        <f t="shared" si="98"/>
        <v>College</v>
      </c>
      <c r="P1065" t="str">
        <f t="shared" si="99"/>
        <v>Personal</v>
      </c>
      <c r="Q1065">
        <f t="shared" si="100"/>
        <v>4</v>
      </c>
      <c r="R1065">
        <f t="shared" ca="1" si="101"/>
        <v>30</v>
      </c>
    </row>
    <row r="1066" spans="1:18" x14ac:dyDescent="0.35">
      <c r="A1066" t="s">
        <v>1105</v>
      </c>
      <c r="B1066" t="s">
        <v>3</v>
      </c>
      <c r="C1066" t="s">
        <v>21</v>
      </c>
      <c r="D1066" t="s">
        <v>4</v>
      </c>
      <c r="E1066" s="5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 s="4">
        <v>249.08588700000001</v>
      </c>
      <c r="L1066" s="2">
        <v>35249.085887000001</v>
      </c>
      <c r="M1066" t="str">
        <f t="shared" si="96"/>
        <v>Washington</v>
      </c>
      <c r="N1066" t="str">
        <f t="shared" si="97"/>
        <v>F</v>
      </c>
      <c r="O1066" t="str">
        <f t="shared" si="98"/>
        <v>Bachelor</v>
      </c>
      <c r="P1066" t="str">
        <f t="shared" si="99"/>
        <v>Personal</v>
      </c>
      <c r="Q1066">
        <f t="shared" si="100"/>
        <v>2</v>
      </c>
      <c r="R1066">
        <f t="shared" ca="1" si="101"/>
        <v>30</v>
      </c>
    </row>
    <row r="1067" spans="1:18" x14ac:dyDescent="0.35">
      <c r="A1067" t="s">
        <v>1106</v>
      </c>
      <c r="B1067" t="s">
        <v>48</v>
      </c>
      <c r="C1067" t="s">
        <v>27</v>
      </c>
      <c r="D1067" t="s">
        <v>4</v>
      </c>
      <c r="E1067" s="5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 s="4">
        <v>30.874869</v>
      </c>
      <c r="L1067" s="2">
        <v>35030.874868999999</v>
      </c>
      <c r="M1067" t="str">
        <f t="shared" si="96"/>
        <v>California</v>
      </c>
      <c r="N1067" t="str">
        <f t="shared" si="97"/>
        <v>M</v>
      </c>
      <c r="O1067" t="str">
        <f t="shared" si="98"/>
        <v>Bachelor</v>
      </c>
      <c r="P1067" t="str">
        <f t="shared" si="99"/>
        <v>Personal</v>
      </c>
      <c r="Q1067">
        <f t="shared" si="100"/>
        <v>4</v>
      </c>
      <c r="R1067">
        <f t="shared" ca="1" si="101"/>
        <v>30</v>
      </c>
    </row>
    <row r="1068" spans="1:18" x14ac:dyDescent="0.35">
      <c r="A1068" t="s">
        <v>1107</v>
      </c>
      <c r="B1068" t="s">
        <v>33</v>
      </c>
      <c r="C1068" t="s">
        <v>27</v>
      </c>
      <c r="D1068" t="s">
        <v>2</v>
      </c>
      <c r="E1068" s="5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 s="4">
        <v>361.455219</v>
      </c>
      <c r="L1068" s="2">
        <v>35361.455219000003</v>
      </c>
      <c r="M1068" t="str">
        <f t="shared" si="96"/>
        <v>Oregon</v>
      </c>
      <c r="N1068" t="str">
        <f t="shared" si="97"/>
        <v>M</v>
      </c>
      <c r="O1068" t="str">
        <f t="shared" si="98"/>
        <v>Master</v>
      </c>
      <c r="P1068" t="str">
        <f t="shared" si="99"/>
        <v>Personal</v>
      </c>
      <c r="Q1068">
        <f t="shared" si="100"/>
        <v>4</v>
      </c>
      <c r="R1068">
        <f t="shared" ca="1" si="101"/>
        <v>29</v>
      </c>
    </row>
    <row r="1069" spans="1:18" x14ac:dyDescent="0.35">
      <c r="A1069" t="s">
        <v>1108</v>
      </c>
      <c r="B1069" t="s">
        <v>48</v>
      </c>
      <c r="C1069" t="s">
        <v>21</v>
      </c>
      <c r="D1069" t="s">
        <v>31</v>
      </c>
      <c r="E1069" s="5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 s="4">
        <v>207.320041</v>
      </c>
      <c r="L1069" s="2">
        <v>35207.320040999999</v>
      </c>
      <c r="M1069" t="str">
        <f t="shared" si="96"/>
        <v>California</v>
      </c>
      <c r="N1069" t="str">
        <f t="shared" si="97"/>
        <v>F</v>
      </c>
      <c r="O1069" t="str">
        <f t="shared" si="98"/>
        <v>High School or Below</v>
      </c>
      <c r="P1069" t="str">
        <f t="shared" si="99"/>
        <v>Personal</v>
      </c>
      <c r="Q1069">
        <f t="shared" si="100"/>
        <v>4</v>
      </c>
      <c r="R1069">
        <f t="shared" ca="1" si="101"/>
        <v>30</v>
      </c>
    </row>
    <row r="1070" spans="1:18" x14ac:dyDescent="0.35">
      <c r="A1070" t="s">
        <v>1109</v>
      </c>
      <c r="B1070" t="s">
        <v>5</v>
      </c>
      <c r="C1070" t="s">
        <v>21</v>
      </c>
      <c r="D1070" t="s">
        <v>4</v>
      </c>
      <c r="E1070" s="5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 s="4">
        <v>633.6</v>
      </c>
      <c r="L1070" s="2">
        <v>35633.599999999999</v>
      </c>
      <c r="M1070" t="str">
        <f t="shared" si="96"/>
        <v>Arizona</v>
      </c>
      <c r="N1070" t="str">
        <f t="shared" si="97"/>
        <v>F</v>
      </c>
      <c r="O1070" t="str">
        <f t="shared" si="98"/>
        <v>Bachelor</v>
      </c>
      <c r="P1070" t="str">
        <f t="shared" si="99"/>
        <v>Personal</v>
      </c>
      <c r="Q1070">
        <f t="shared" si="100"/>
        <v>4</v>
      </c>
      <c r="R1070">
        <f t="shared" ca="1" si="101"/>
        <v>29</v>
      </c>
    </row>
    <row r="1071" spans="1:18" x14ac:dyDescent="0.35">
      <c r="A1071" t="s">
        <v>1110</v>
      </c>
      <c r="B1071" t="s">
        <v>26</v>
      </c>
      <c r="C1071" t="s">
        <v>21</v>
      </c>
      <c r="D1071" t="s">
        <v>2</v>
      </c>
      <c r="E1071" s="5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 s="4">
        <v>547.20000000000005</v>
      </c>
      <c r="L1071" s="2">
        <v>35547.199999999997</v>
      </c>
      <c r="M1071" t="str">
        <f t="shared" si="96"/>
        <v>California</v>
      </c>
      <c r="N1071" t="str">
        <f t="shared" si="97"/>
        <v>F</v>
      </c>
      <c r="O1071" t="str">
        <f t="shared" si="98"/>
        <v>Master</v>
      </c>
      <c r="P1071" t="str">
        <f t="shared" si="99"/>
        <v>Special</v>
      </c>
      <c r="Q1071">
        <f t="shared" si="100"/>
        <v>4</v>
      </c>
      <c r="R1071">
        <f t="shared" ca="1" si="101"/>
        <v>29</v>
      </c>
    </row>
    <row r="1072" spans="1:18" x14ac:dyDescent="0.35">
      <c r="A1072" t="s">
        <v>1111</v>
      </c>
      <c r="B1072" t="s">
        <v>26</v>
      </c>
      <c r="C1072" t="s">
        <v>21</v>
      </c>
      <c r="D1072" t="s">
        <v>35</v>
      </c>
      <c r="E1072" s="5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 s="4">
        <v>537.6</v>
      </c>
      <c r="L1072" s="2">
        <v>35537.599999999999</v>
      </c>
      <c r="M1072" t="str">
        <f t="shared" si="96"/>
        <v>California</v>
      </c>
      <c r="N1072" t="str">
        <f t="shared" si="97"/>
        <v>F</v>
      </c>
      <c r="O1072" t="str">
        <f t="shared" si="98"/>
        <v>College</v>
      </c>
      <c r="P1072" t="str">
        <f t="shared" si="99"/>
        <v>Personal</v>
      </c>
      <c r="Q1072">
        <f t="shared" si="100"/>
        <v>2</v>
      </c>
      <c r="R1072">
        <f t="shared" ca="1" si="101"/>
        <v>29</v>
      </c>
    </row>
  </sheetData>
  <autoFilter ref="A1:R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sheetPr>
    <tabColor rgb="FF92D050"/>
  </sheetPr>
  <dimension ref="A1:X1072"/>
  <sheetViews>
    <sheetView tabSelected="1" topLeftCell="J1" zoomScale="80" zoomScaleNormal="80" workbookViewId="0">
      <selection activeCell="X2" sqref="X2:X1072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2.81640625" style="4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2.81640625" bestFit="1" customWidth="1"/>
    <col min="14" max="14" width="12.26953125" bestFit="1" customWidth="1"/>
    <col min="15" max="15" width="14.6328125" bestFit="1" customWidth="1"/>
    <col min="17" max="17" width="12.1796875" bestFit="1" customWidth="1"/>
    <col min="18" max="18" width="11.90625" bestFit="1" customWidth="1"/>
    <col min="19" max="19" width="15.6328125" bestFit="1" customWidth="1"/>
    <col min="20" max="20" width="13.54296875" bestFit="1" customWidth="1"/>
    <col min="21" max="21" width="19.90625" bestFit="1" customWidth="1"/>
    <col min="22" max="22" width="10.81640625" bestFit="1" customWidth="1"/>
    <col min="23" max="23" width="16" bestFit="1" customWidth="1"/>
    <col min="24" max="24" width="10.6328125" bestFit="1" customWidth="1"/>
  </cols>
  <sheetData>
    <row r="1" spans="1:24" x14ac:dyDescent="0.35">
      <c r="A1" t="s">
        <v>6</v>
      </c>
      <c r="B1" t="s">
        <v>1</v>
      </c>
      <c r="C1" t="s">
        <v>7</v>
      </c>
      <c r="D1" t="s">
        <v>0</v>
      </c>
      <c r="E1" s="5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  <c r="M1" s="7" t="s">
        <v>9193</v>
      </c>
      <c r="N1" s="7" t="s">
        <v>9194</v>
      </c>
      <c r="O1" s="7" t="s">
        <v>9195</v>
      </c>
      <c r="P1" s="7" t="s">
        <v>9196</v>
      </c>
      <c r="Q1" s="7" t="s">
        <v>9197</v>
      </c>
      <c r="R1" s="7" t="s">
        <v>9198</v>
      </c>
      <c r="S1" s="7" t="s">
        <v>9199</v>
      </c>
      <c r="T1" s="7" t="s">
        <v>9200</v>
      </c>
      <c r="U1" s="7" t="s">
        <v>9201</v>
      </c>
      <c r="V1" s="7" t="s">
        <v>9202</v>
      </c>
      <c r="W1" s="7" t="s">
        <v>9203</v>
      </c>
      <c r="X1" s="7" t="s">
        <v>9204</v>
      </c>
    </row>
    <row r="2" spans="1:24" x14ac:dyDescent="0.35">
      <c r="A2" t="s">
        <v>16</v>
      </c>
      <c r="B2" t="s">
        <v>3</v>
      </c>
      <c r="C2" t="s">
        <v>17</v>
      </c>
      <c r="D2" t="s">
        <v>2</v>
      </c>
      <c r="E2" s="5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  <c r="M2">
        <f>SUM(F2:F1072)</f>
        <v>42085696</v>
      </c>
      <c r="N2">
        <f>AVERAGE(F2:F1072)</f>
        <v>39295.701213818858</v>
      </c>
      <c r="O2">
        <f>COUNT(F2:F1072)</f>
        <v>1071</v>
      </c>
      <c r="P2">
        <f>COUNTIF(F2:F1072, "&gt;1000")</f>
        <v>819</v>
      </c>
      <c r="Q2">
        <f>MAX(F2:F1072)</f>
        <v>99960</v>
      </c>
      <c r="R2">
        <f>MIN(F2:F1072)</f>
        <v>0</v>
      </c>
      <c r="S2" t="str">
        <f>IF(F2&gt;3000,"Recomendado","No recomendado")</f>
        <v>No recomendado</v>
      </c>
      <c r="T2" t="str">
        <f>VLOOKUP(A2,AssuranceTable,2,FALSE)</f>
        <v>Basic</v>
      </c>
      <c r="U2" t="str">
        <f>_xlfn.CONCAT(A2, " ",B2)</f>
        <v>RB50392 Washington</v>
      </c>
      <c r="V2" s="2">
        <f ca="1">TODAY()</f>
        <v>46275</v>
      </c>
      <c r="W2" s="6">
        <f ca="1">NOW()</f>
        <v>46275.594852083334</v>
      </c>
      <c r="X2" s="4">
        <f>ROUND(E2,3)</f>
        <v>0</v>
      </c>
    </row>
    <row r="3" spans="1:24" x14ac:dyDescent="0.35">
      <c r="A3" t="s">
        <v>20</v>
      </c>
      <c r="B3" t="s">
        <v>5</v>
      </c>
      <c r="C3" t="s">
        <v>21</v>
      </c>
      <c r="D3" t="s">
        <v>4</v>
      </c>
      <c r="E3" s="5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  <c r="S3" t="str">
        <f t="shared" ref="S3:S66" si="0">IF(F3&gt;3000,"Recomendado","No recomendado")</f>
        <v>No recomendado</v>
      </c>
      <c r="T3" t="str">
        <f>VLOOKUP(A3,AssuranceTable,2,FALSE)</f>
        <v>Extended</v>
      </c>
      <c r="U3" t="str">
        <f t="shared" ref="U3:U66" si="1">_xlfn.CONCAT(A3, " ",B3)</f>
        <v>QZ44356 Arizona</v>
      </c>
      <c r="X3" s="4">
        <f t="shared" ref="X3:X66" si="2">ROUND(E3,3)</f>
        <v>697953.59</v>
      </c>
    </row>
    <row r="4" spans="1:24" x14ac:dyDescent="0.35">
      <c r="A4" t="s">
        <v>22</v>
      </c>
      <c r="B4" t="s">
        <v>23</v>
      </c>
      <c r="C4" t="s">
        <v>21</v>
      </c>
      <c r="D4" t="s">
        <v>4</v>
      </c>
      <c r="E4" s="5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  <c r="S4" t="str">
        <f t="shared" si="0"/>
        <v>Recomendado</v>
      </c>
      <c r="T4" t="str">
        <f>VLOOKUP(A4,AssuranceTable,2,FALSE)</f>
        <v>Premium</v>
      </c>
      <c r="U4" t="str">
        <f t="shared" si="1"/>
        <v>AI49188 Nevada</v>
      </c>
      <c r="X4" s="4">
        <f t="shared" si="2"/>
        <v>1288743.17</v>
      </c>
    </row>
    <row r="5" spans="1:24" x14ac:dyDescent="0.35">
      <c r="A5" t="s">
        <v>25</v>
      </c>
      <c r="B5" t="s">
        <v>26</v>
      </c>
      <c r="C5" t="s">
        <v>27</v>
      </c>
      <c r="D5" t="s">
        <v>4</v>
      </c>
      <c r="E5" s="5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S5" t="str">
        <f t="shared" si="0"/>
        <v>No recomendado</v>
      </c>
      <c r="T5" t="str">
        <f>VLOOKUP(A5,AssuranceTable,2,FALSE)</f>
        <v>Basic</v>
      </c>
      <c r="U5" t="str">
        <f t="shared" si="1"/>
        <v>WW63253 California</v>
      </c>
      <c r="X5" s="4">
        <f t="shared" si="2"/>
        <v>764586.18</v>
      </c>
    </row>
    <row r="6" spans="1:24" x14ac:dyDescent="0.35">
      <c r="A6" t="s">
        <v>30</v>
      </c>
      <c r="B6" t="s">
        <v>3</v>
      </c>
      <c r="C6" t="s">
        <v>27</v>
      </c>
      <c r="D6" t="s">
        <v>31</v>
      </c>
      <c r="E6" s="5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  <c r="S6" t="str">
        <f t="shared" si="0"/>
        <v>Recomendado</v>
      </c>
      <c r="T6" t="str">
        <f>VLOOKUP(A6,AssuranceTable,2,FALSE)</f>
        <v>Basic</v>
      </c>
      <c r="U6" t="str">
        <f t="shared" si="1"/>
        <v>GA49547 Washington</v>
      </c>
      <c r="X6" s="4">
        <f t="shared" si="2"/>
        <v>536307.65</v>
      </c>
    </row>
    <row r="7" spans="1:24" x14ac:dyDescent="0.35">
      <c r="A7" t="s">
        <v>32</v>
      </c>
      <c r="B7" t="s">
        <v>33</v>
      </c>
      <c r="C7" t="s">
        <v>21</v>
      </c>
      <c r="D7" t="s">
        <v>4</v>
      </c>
      <c r="E7" s="5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  <c r="S7" t="str">
        <f t="shared" si="0"/>
        <v>Recomendado</v>
      </c>
      <c r="T7" t="str">
        <f>VLOOKUP(A7,AssuranceTable,2,FALSE)</f>
        <v>Basic</v>
      </c>
      <c r="U7" t="str">
        <f t="shared" si="1"/>
        <v>OC83172 Oregon</v>
      </c>
      <c r="X7" s="4">
        <f t="shared" si="2"/>
        <v>825629.78</v>
      </c>
    </row>
    <row r="8" spans="1:24" x14ac:dyDescent="0.35">
      <c r="A8" t="s">
        <v>34</v>
      </c>
      <c r="B8" t="s">
        <v>33</v>
      </c>
      <c r="C8" t="s">
        <v>21</v>
      </c>
      <c r="D8" t="s">
        <v>35</v>
      </c>
      <c r="E8" s="5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  <c r="S8" t="str">
        <f t="shared" si="0"/>
        <v>Recomendado</v>
      </c>
      <c r="T8" t="str">
        <f>VLOOKUP(A8,AssuranceTable,2,FALSE)</f>
        <v>Basic</v>
      </c>
      <c r="U8" t="str">
        <f t="shared" si="1"/>
        <v>XZ87318 Oregon</v>
      </c>
      <c r="X8" s="4">
        <f t="shared" si="2"/>
        <v>538089.86</v>
      </c>
    </row>
    <row r="9" spans="1:24" x14ac:dyDescent="0.35">
      <c r="A9" t="s">
        <v>36</v>
      </c>
      <c r="B9" t="s">
        <v>5</v>
      </c>
      <c r="C9" t="s">
        <v>27</v>
      </c>
      <c r="D9" t="s">
        <v>2</v>
      </c>
      <c r="E9" s="5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  <c r="S9" t="str">
        <f t="shared" si="0"/>
        <v>No recomendado</v>
      </c>
      <c r="T9" t="str">
        <f>VLOOKUP(A9,AssuranceTable,2,FALSE)</f>
        <v>Premium</v>
      </c>
      <c r="U9" t="str">
        <f t="shared" si="1"/>
        <v>CF85061 Arizona</v>
      </c>
      <c r="X9" s="4">
        <f t="shared" si="2"/>
        <v>721610.03</v>
      </c>
    </row>
    <row r="10" spans="1:24" x14ac:dyDescent="0.35">
      <c r="A10" t="s">
        <v>37</v>
      </c>
      <c r="B10" t="s">
        <v>33</v>
      </c>
      <c r="C10" t="s">
        <v>27</v>
      </c>
      <c r="D10" t="s">
        <v>4</v>
      </c>
      <c r="E10" s="5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  <c r="S10" t="str">
        <f t="shared" si="0"/>
        <v>Recomendado</v>
      </c>
      <c r="T10" t="str">
        <f>VLOOKUP(A10,AssuranceTable,2,FALSE)</f>
        <v>Basic</v>
      </c>
      <c r="U10" t="str">
        <f t="shared" si="1"/>
        <v>DY87989 Oregon</v>
      </c>
      <c r="X10" s="4">
        <f t="shared" si="2"/>
        <v>2412750.4</v>
      </c>
    </row>
    <row r="11" spans="1:24" x14ac:dyDescent="0.35">
      <c r="A11" t="s">
        <v>38</v>
      </c>
      <c r="B11" t="s">
        <v>33</v>
      </c>
      <c r="C11" t="s">
        <v>21</v>
      </c>
      <c r="D11" t="s">
        <v>35</v>
      </c>
      <c r="E11" s="5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  <c r="S11" t="str">
        <f t="shared" si="0"/>
        <v>Recomendado</v>
      </c>
      <c r="T11" t="str">
        <f>VLOOKUP(A11,AssuranceTable,2,FALSE)</f>
        <v>Extended</v>
      </c>
      <c r="U11" t="str">
        <f t="shared" si="1"/>
        <v>BQ94931 Oregon</v>
      </c>
      <c r="X11" s="4">
        <f t="shared" si="2"/>
        <v>738817.81</v>
      </c>
    </row>
    <row r="12" spans="1:24" x14ac:dyDescent="0.35">
      <c r="A12" t="s">
        <v>40</v>
      </c>
      <c r="B12" t="s">
        <v>26</v>
      </c>
      <c r="C12" t="s">
        <v>27</v>
      </c>
      <c r="D12" t="s">
        <v>35</v>
      </c>
      <c r="E12" s="5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  <c r="S12" t="str">
        <f t="shared" si="0"/>
        <v>No recomendado</v>
      </c>
      <c r="T12" t="str">
        <f>VLOOKUP(A12,AssuranceTable,2,FALSE)</f>
        <v>Basic</v>
      </c>
      <c r="U12" t="str">
        <f t="shared" si="1"/>
        <v>SX51350 California</v>
      </c>
      <c r="X12" s="4">
        <f t="shared" si="2"/>
        <v>473899.2</v>
      </c>
    </row>
    <row r="13" spans="1:24" x14ac:dyDescent="0.35">
      <c r="A13" t="s">
        <v>41</v>
      </c>
      <c r="B13" t="s">
        <v>26</v>
      </c>
      <c r="C13" t="s">
        <v>17</v>
      </c>
      <c r="D13" t="s">
        <v>35</v>
      </c>
      <c r="E13" s="5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  <c r="S13" t="str">
        <f t="shared" si="0"/>
        <v>No recomendado</v>
      </c>
      <c r="T13" t="str">
        <f>VLOOKUP(A13,AssuranceTable,2,FALSE)</f>
        <v>Basic</v>
      </c>
      <c r="U13" t="str">
        <f t="shared" si="1"/>
        <v>VQ65197 California</v>
      </c>
      <c r="X13" s="4">
        <f t="shared" si="2"/>
        <v>819719.71</v>
      </c>
    </row>
    <row r="14" spans="1:24" x14ac:dyDescent="0.35">
      <c r="A14" t="s">
        <v>42</v>
      </c>
      <c r="B14" t="s">
        <v>26</v>
      </c>
      <c r="C14" t="s">
        <v>17</v>
      </c>
      <c r="D14" t="s">
        <v>2</v>
      </c>
      <c r="E14" s="5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  <c r="S14" t="str">
        <f t="shared" si="0"/>
        <v>Recomendado</v>
      </c>
      <c r="T14" t="str">
        <f>VLOOKUP(A14,AssuranceTable,2,FALSE)</f>
        <v>Premium</v>
      </c>
      <c r="U14" t="str">
        <f t="shared" si="1"/>
        <v>DP39365 California</v>
      </c>
      <c r="X14" s="4">
        <f t="shared" si="2"/>
        <v>879879.7</v>
      </c>
    </row>
    <row r="15" spans="1:24" x14ac:dyDescent="0.35">
      <c r="A15" t="s">
        <v>43</v>
      </c>
      <c r="B15" t="s">
        <v>5</v>
      </c>
      <c r="C15" t="s">
        <v>17</v>
      </c>
      <c r="D15" t="s">
        <v>31</v>
      </c>
      <c r="E15" s="5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S15" t="str">
        <f t="shared" si="0"/>
        <v>Recomendado</v>
      </c>
      <c r="T15" t="str">
        <f>VLOOKUP(A15,AssuranceTable,2,FALSE)</f>
        <v>Basic</v>
      </c>
      <c r="U15" t="str">
        <f t="shared" si="1"/>
        <v>SJ95423 Arizona</v>
      </c>
      <c r="X15" s="4">
        <f t="shared" si="2"/>
        <v>881901.89</v>
      </c>
    </row>
    <row r="16" spans="1:24" x14ac:dyDescent="0.35">
      <c r="A16" t="s">
        <v>44</v>
      </c>
      <c r="B16" t="s">
        <v>26</v>
      </c>
      <c r="C16" t="s">
        <v>17</v>
      </c>
      <c r="D16" t="s">
        <v>35</v>
      </c>
      <c r="E16" s="5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  <c r="S16" t="str">
        <f t="shared" si="0"/>
        <v>Recomendado</v>
      </c>
      <c r="T16" t="str">
        <f>VLOOKUP(A16,AssuranceTable,2,FALSE)</f>
        <v>Basic</v>
      </c>
      <c r="U16" t="str">
        <f t="shared" si="1"/>
        <v>IL66569 California</v>
      </c>
      <c r="X16" s="4">
        <f t="shared" si="2"/>
        <v>538443.17000000004</v>
      </c>
    </row>
    <row r="17" spans="1:24" x14ac:dyDescent="0.35">
      <c r="A17" t="s">
        <v>45</v>
      </c>
      <c r="B17" t="s">
        <v>33</v>
      </c>
      <c r="C17" t="s">
        <v>17</v>
      </c>
      <c r="D17" t="s">
        <v>4</v>
      </c>
      <c r="E17" s="5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  <c r="S17" t="str">
        <f t="shared" si="0"/>
        <v>Recomendado</v>
      </c>
      <c r="T17" t="str">
        <f>VLOOKUP(A17,AssuranceTable,2,FALSE)</f>
        <v>Basic</v>
      </c>
      <c r="U17" t="str">
        <f t="shared" si="1"/>
        <v>BW63560 Oregon</v>
      </c>
      <c r="X17" s="4">
        <f t="shared" si="2"/>
        <v>746313.94</v>
      </c>
    </row>
    <row r="18" spans="1:24" x14ac:dyDescent="0.35">
      <c r="A18" t="s">
        <v>46</v>
      </c>
      <c r="B18" t="s">
        <v>23</v>
      </c>
      <c r="C18" t="s">
        <v>17</v>
      </c>
      <c r="D18" t="s">
        <v>31</v>
      </c>
      <c r="E18" s="5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  <c r="S18" t="str">
        <f t="shared" si="0"/>
        <v>Recomendado</v>
      </c>
      <c r="T18" t="str">
        <f>VLOOKUP(A18,AssuranceTable,2,FALSE)</f>
        <v>Basic</v>
      </c>
      <c r="U18" t="str">
        <f t="shared" si="1"/>
        <v>FV94802 Nevada</v>
      </c>
      <c r="X18" s="4">
        <f t="shared" si="2"/>
        <v>256686.78</v>
      </c>
    </row>
    <row r="19" spans="1:24" x14ac:dyDescent="0.35">
      <c r="A19" t="s">
        <v>47</v>
      </c>
      <c r="B19" t="s">
        <v>48</v>
      </c>
      <c r="C19" t="s">
        <v>17</v>
      </c>
      <c r="D19" t="s">
        <v>35</v>
      </c>
      <c r="E19" s="5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  <c r="S19" t="str">
        <f t="shared" si="0"/>
        <v>Recomendado</v>
      </c>
      <c r="T19" t="str">
        <f>VLOOKUP(A19,AssuranceTable,2,FALSE)</f>
        <v>Basic</v>
      </c>
      <c r="U19" t="str">
        <f t="shared" si="1"/>
        <v>OE15005 Cali</v>
      </c>
      <c r="X19" s="4">
        <f t="shared" si="2"/>
        <v>394524.15999999997</v>
      </c>
    </row>
    <row r="20" spans="1:24" x14ac:dyDescent="0.35">
      <c r="A20" t="s">
        <v>49</v>
      </c>
      <c r="B20" t="s">
        <v>33</v>
      </c>
      <c r="C20" t="s">
        <v>17</v>
      </c>
      <c r="D20" t="s">
        <v>35</v>
      </c>
      <c r="E20" s="5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  <c r="S20" t="str">
        <f t="shared" si="0"/>
        <v>Recomendado</v>
      </c>
      <c r="T20" t="str">
        <f>VLOOKUP(A20,AssuranceTable,2,FALSE)</f>
        <v>Basic</v>
      </c>
      <c r="U20" t="str">
        <f t="shared" si="1"/>
        <v>WC83389 Oregon</v>
      </c>
      <c r="X20" s="4">
        <f t="shared" si="2"/>
        <v>571033.31000000006</v>
      </c>
    </row>
    <row r="21" spans="1:24" x14ac:dyDescent="0.35">
      <c r="A21" t="s">
        <v>50</v>
      </c>
      <c r="B21" t="s">
        <v>26</v>
      </c>
      <c r="C21" t="s">
        <v>17</v>
      </c>
      <c r="D21" t="s">
        <v>31</v>
      </c>
      <c r="E21" s="5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  <c r="S21" t="str">
        <f t="shared" si="0"/>
        <v>Recomendado</v>
      </c>
      <c r="T21" t="str">
        <f>VLOOKUP(A21,AssuranceTable,2,FALSE)</f>
        <v>Premium</v>
      </c>
      <c r="U21" t="str">
        <f t="shared" si="1"/>
        <v>FL50705 California</v>
      </c>
      <c r="X21" s="4">
        <f t="shared" si="2"/>
        <v>816261.71</v>
      </c>
    </row>
    <row r="22" spans="1:24" x14ac:dyDescent="0.35">
      <c r="A22" t="s">
        <v>51</v>
      </c>
      <c r="B22" t="s">
        <v>33</v>
      </c>
      <c r="C22" t="s">
        <v>17</v>
      </c>
      <c r="D22" t="s">
        <v>31</v>
      </c>
      <c r="E22" s="5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  <c r="S22" t="str">
        <f t="shared" si="0"/>
        <v>Recomendado</v>
      </c>
      <c r="T22" t="str">
        <f>VLOOKUP(A22,AssuranceTable,2,FALSE)</f>
        <v>Basic</v>
      </c>
      <c r="U22" t="str">
        <f t="shared" si="1"/>
        <v>ZK25313 Oregon</v>
      </c>
      <c r="X22" s="4">
        <f t="shared" si="2"/>
        <v>287205.13</v>
      </c>
    </row>
    <row r="23" spans="1:24" x14ac:dyDescent="0.35">
      <c r="A23" t="s">
        <v>52</v>
      </c>
      <c r="B23" t="s">
        <v>3</v>
      </c>
      <c r="C23" t="s">
        <v>27</v>
      </c>
      <c r="D23" t="s">
        <v>53</v>
      </c>
      <c r="E23" s="5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  <c r="S23" t="str">
        <f t="shared" si="0"/>
        <v>Recomendado</v>
      </c>
      <c r="T23" t="str">
        <f>VLOOKUP(A23,AssuranceTable,2,FALSE)</f>
        <v>Extended</v>
      </c>
      <c r="U23" t="str">
        <f t="shared" si="1"/>
        <v>QK46697 Washington</v>
      </c>
      <c r="X23" s="4">
        <f t="shared" si="2"/>
        <v>617710.93000000005</v>
      </c>
    </row>
    <row r="24" spans="1:24" x14ac:dyDescent="0.35">
      <c r="A24" t="s">
        <v>54</v>
      </c>
      <c r="B24" t="s">
        <v>5</v>
      </c>
      <c r="C24" t="s">
        <v>17</v>
      </c>
      <c r="D24" t="s">
        <v>4</v>
      </c>
      <c r="E24" s="5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  <c r="S24" t="str">
        <f t="shared" si="0"/>
        <v>Recomendado</v>
      </c>
      <c r="T24" t="str">
        <f>VLOOKUP(A24,AssuranceTable,2,FALSE)</f>
        <v>Basic</v>
      </c>
      <c r="U24" t="str">
        <f t="shared" si="1"/>
        <v>YH23384 Arizona</v>
      </c>
      <c r="X24" s="4">
        <f t="shared" si="2"/>
        <v>2412750.4</v>
      </c>
    </row>
    <row r="25" spans="1:24" x14ac:dyDescent="0.35">
      <c r="A25" t="s">
        <v>55</v>
      </c>
      <c r="B25" t="s">
        <v>23</v>
      </c>
      <c r="C25" t="s">
        <v>17</v>
      </c>
      <c r="D25" t="s">
        <v>4</v>
      </c>
      <c r="E25" s="5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  <c r="S25" t="str">
        <f t="shared" si="0"/>
        <v>No recomendado</v>
      </c>
      <c r="T25" t="str">
        <f>VLOOKUP(A25,AssuranceTable,2,FALSE)</f>
        <v>Basic</v>
      </c>
      <c r="U25" t="str">
        <f t="shared" si="1"/>
        <v>TZ98966 Nevada</v>
      </c>
      <c r="X25" s="4">
        <f t="shared" si="2"/>
        <v>245019.1</v>
      </c>
    </row>
    <row r="26" spans="1:24" x14ac:dyDescent="0.35">
      <c r="A26" t="s">
        <v>56</v>
      </c>
      <c r="B26" t="s">
        <v>26</v>
      </c>
      <c r="C26" t="s">
        <v>17</v>
      </c>
      <c r="D26" t="s">
        <v>4</v>
      </c>
      <c r="E26" s="5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  <c r="S26" t="str">
        <f t="shared" si="0"/>
        <v>Recomendado</v>
      </c>
      <c r="T26" t="str">
        <f>VLOOKUP(A26,AssuranceTable,2,FALSE)</f>
        <v>Basic</v>
      </c>
      <c r="U26" t="str">
        <f t="shared" si="1"/>
        <v>HM55802 California</v>
      </c>
      <c r="X26" s="4">
        <f t="shared" si="2"/>
        <v>239210.79</v>
      </c>
    </row>
    <row r="27" spans="1:24" x14ac:dyDescent="0.35">
      <c r="A27" t="s">
        <v>57</v>
      </c>
      <c r="B27" t="s">
        <v>33</v>
      </c>
      <c r="C27" t="s">
        <v>17</v>
      </c>
      <c r="D27" t="s">
        <v>35</v>
      </c>
      <c r="E27" s="5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  <c r="S27" t="str">
        <f t="shared" si="0"/>
        <v>Recomendado</v>
      </c>
      <c r="T27" t="str">
        <f>VLOOKUP(A27,AssuranceTable,2,FALSE)</f>
        <v>Basic</v>
      </c>
      <c r="U27" t="str">
        <f t="shared" si="1"/>
        <v>FS42516 Oregon</v>
      </c>
      <c r="X27" s="4">
        <f t="shared" si="2"/>
        <v>580206.6</v>
      </c>
    </row>
    <row r="28" spans="1:24" x14ac:dyDescent="0.35">
      <c r="A28" t="s">
        <v>58</v>
      </c>
      <c r="B28" t="s">
        <v>26</v>
      </c>
      <c r="C28" t="s">
        <v>17</v>
      </c>
      <c r="D28" t="s">
        <v>4</v>
      </c>
      <c r="E28" s="5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  <c r="S28" t="str">
        <f t="shared" si="0"/>
        <v>No recomendado</v>
      </c>
      <c r="T28" t="str">
        <f>VLOOKUP(A28,AssuranceTable,2,FALSE)</f>
        <v>Premium</v>
      </c>
      <c r="U28" t="str">
        <f t="shared" si="1"/>
        <v>US89481 California</v>
      </c>
      <c r="X28" s="4">
        <f t="shared" si="2"/>
        <v>394637.21</v>
      </c>
    </row>
    <row r="29" spans="1:24" x14ac:dyDescent="0.35">
      <c r="A29" t="s">
        <v>59</v>
      </c>
      <c r="B29" t="s">
        <v>3</v>
      </c>
      <c r="C29" t="s">
        <v>27</v>
      </c>
      <c r="D29" t="s">
        <v>35</v>
      </c>
      <c r="E29" s="5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  <c r="S29" t="str">
        <f t="shared" si="0"/>
        <v>Recomendado</v>
      </c>
      <c r="T29" t="str">
        <f>VLOOKUP(A29,AssuranceTable,2,FALSE)</f>
        <v>Extended</v>
      </c>
      <c r="U29" t="str">
        <f t="shared" si="1"/>
        <v>HS14476 Washington</v>
      </c>
      <c r="X29" s="4">
        <f t="shared" si="2"/>
        <v>916206.32</v>
      </c>
    </row>
    <row r="30" spans="1:24" x14ac:dyDescent="0.35">
      <c r="A30" t="s">
        <v>60</v>
      </c>
      <c r="B30" t="s">
        <v>61</v>
      </c>
      <c r="C30" t="s">
        <v>17</v>
      </c>
      <c r="D30" t="s">
        <v>35</v>
      </c>
      <c r="E30" s="5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  <c r="S30" t="str">
        <f t="shared" si="0"/>
        <v>Recomendado</v>
      </c>
      <c r="T30" t="str">
        <f>VLOOKUP(A30,AssuranceTable,2,FALSE)</f>
        <v>Premium</v>
      </c>
      <c r="U30" t="str">
        <f t="shared" si="1"/>
        <v>GE62437 AZ</v>
      </c>
      <c r="X30" s="4">
        <f t="shared" si="2"/>
        <v>1290256.01</v>
      </c>
    </row>
    <row r="31" spans="1:24" x14ac:dyDescent="0.35">
      <c r="A31" t="s">
        <v>62</v>
      </c>
      <c r="B31" t="s">
        <v>33</v>
      </c>
      <c r="C31" t="s">
        <v>17</v>
      </c>
      <c r="D31" t="s">
        <v>2</v>
      </c>
      <c r="E31" s="5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  <c r="S31" t="str">
        <f t="shared" si="0"/>
        <v>Recomendado</v>
      </c>
      <c r="T31" t="str">
        <f>VLOOKUP(A31,AssuranceTable,2,FALSE)</f>
        <v>Extended</v>
      </c>
      <c r="U31" t="str">
        <f t="shared" si="1"/>
        <v>EJ77678 Oregon</v>
      </c>
      <c r="X31" s="4">
        <f t="shared" si="2"/>
        <v>323536.05</v>
      </c>
    </row>
    <row r="32" spans="1:24" x14ac:dyDescent="0.35">
      <c r="A32" t="s">
        <v>63</v>
      </c>
      <c r="B32" t="s">
        <v>5</v>
      </c>
      <c r="C32" t="s">
        <v>17</v>
      </c>
      <c r="D32" t="s">
        <v>35</v>
      </c>
      <c r="E32" s="5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  <c r="S32" t="str">
        <f t="shared" si="0"/>
        <v>Recomendado</v>
      </c>
      <c r="T32" t="str">
        <f>VLOOKUP(A32,AssuranceTable,2,FALSE)</f>
        <v>Basic</v>
      </c>
      <c r="U32" t="str">
        <f t="shared" si="1"/>
        <v>SV85652 Arizona</v>
      </c>
      <c r="X32" s="4">
        <f t="shared" si="2"/>
        <v>245458.35</v>
      </c>
    </row>
    <row r="33" spans="1:24" x14ac:dyDescent="0.35">
      <c r="A33" t="s">
        <v>64</v>
      </c>
      <c r="B33" t="s">
        <v>23</v>
      </c>
      <c r="C33" t="s">
        <v>17</v>
      </c>
      <c r="D33" t="s">
        <v>31</v>
      </c>
      <c r="E33" s="5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S33" t="str">
        <f t="shared" si="0"/>
        <v>Recomendado</v>
      </c>
      <c r="T33" t="str">
        <f>VLOOKUP(A33,AssuranceTable,2,FALSE)</f>
        <v>Extended</v>
      </c>
      <c r="U33" t="str">
        <f t="shared" si="1"/>
        <v>UL64533 Nevada</v>
      </c>
      <c r="X33" s="4">
        <f t="shared" si="2"/>
        <v>1897545.61</v>
      </c>
    </row>
    <row r="34" spans="1:24" x14ac:dyDescent="0.35">
      <c r="A34" t="s">
        <v>66</v>
      </c>
      <c r="B34" t="s">
        <v>26</v>
      </c>
      <c r="C34" t="s">
        <v>17</v>
      </c>
      <c r="D34" t="s">
        <v>4</v>
      </c>
      <c r="E34" s="5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  <c r="S34" t="str">
        <f t="shared" si="0"/>
        <v>No recomendado</v>
      </c>
      <c r="T34" t="str">
        <f>VLOOKUP(A34,AssuranceTable,2,FALSE)</f>
        <v>Basic</v>
      </c>
      <c r="U34" t="str">
        <f t="shared" si="1"/>
        <v>PF41800 California</v>
      </c>
      <c r="X34" s="4">
        <f t="shared" si="2"/>
        <v>471532.13</v>
      </c>
    </row>
    <row r="35" spans="1:24" x14ac:dyDescent="0.35">
      <c r="A35" t="s">
        <v>67</v>
      </c>
      <c r="B35" t="s">
        <v>3</v>
      </c>
      <c r="C35" t="s">
        <v>21</v>
      </c>
      <c r="D35" t="s">
        <v>35</v>
      </c>
      <c r="E35" s="5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  <c r="S35" t="str">
        <f t="shared" si="0"/>
        <v>No recomendado</v>
      </c>
      <c r="T35" t="str">
        <f>VLOOKUP(A35,AssuranceTable,2,FALSE)</f>
        <v>Extended</v>
      </c>
      <c r="U35" t="str">
        <f t="shared" si="1"/>
        <v>HD95276 Washington</v>
      </c>
      <c r="X35" s="4">
        <f t="shared" si="2"/>
        <v>473787.17</v>
      </c>
    </row>
    <row r="36" spans="1:24" x14ac:dyDescent="0.35">
      <c r="A36" t="s">
        <v>68</v>
      </c>
      <c r="B36" t="s">
        <v>33</v>
      </c>
      <c r="C36" t="s">
        <v>17</v>
      </c>
      <c r="D36" t="s">
        <v>4</v>
      </c>
      <c r="E36" s="5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  <c r="S36" t="str">
        <f t="shared" si="0"/>
        <v>Recomendado</v>
      </c>
      <c r="T36" t="str">
        <f>VLOOKUP(A36,AssuranceTable,2,FALSE)</f>
        <v>Basic</v>
      </c>
      <c r="U36" t="str">
        <f t="shared" si="1"/>
        <v>SK67821 Oregon</v>
      </c>
      <c r="X36" s="4">
        <f t="shared" si="2"/>
        <v>493291.63</v>
      </c>
    </row>
    <row r="37" spans="1:24" x14ac:dyDescent="0.35">
      <c r="A37" t="s">
        <v>69</v>
      </c>
      <c r="B37" t="s">
        <v>5</v>
      </c>
      <c r="C37" t="s">
        <v>17</v>
      </c>
      <c r="D37" t="s">
        <v>31</v>
      </c>
      <c r="E37" s="5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  <c r="S37" t="str">
        <f t="shared" si="0"/>
        <v>Recomendado</v>
      </c>
      <c r="T37" t="str">
        <f>VLOOKUP(A37,AssuranceTable,2,FALSE)</f>
        <v>Basic</v>
      </c>
      <c r="U37" t="str">
        <f t="shared" si="1"/>
        <v>YV55495 Arizona</v>
      </c>
      <c r="X37" s="4">
        <f t="shared" si="2"/>
        <v>574422.97</v>
      </c>
    </row>
    <row r="38" spans="1:24" x14ac:dyDescent="0.35">
      <c r="A38" t="s">
        <v>70</v>
      </c>
      <c r="B38" t="s">
        <v>26</v>
      </c>
      <c r="C38" t="s">
        <v>17</v>
      </c>
      <c r="D38" t="s">
        <v>4</v>
      </c>
      <c r="E38" s="5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  <c r="S38" t="str">
        <f t="shared" si="0"/>
        <v>Recomendado</v>
      </c>
      <c r="T38" t="str">
        <f>VLOOKUP(A38,AssuranceTable,2,FALSE)</f>
        <v>Premium</v>
      </c>
      <c r="U38" t="str">
        <f t="shared" si="1"/>
        <v>KY38074 California</v>
      </c>
      <c r="X38" s="4">
        <f t="shared" si="2"/>
        <v>1389173.57</v>
      </c>
    </row>
    <row r="39" spans="1:24" x14ac:dyDescent="0.35">
      <c r="A39" t="s">
        <v>71</v>
      </c>
      <c r="B39" t="s">
        <v>33</v>
      </c>
      <c r="C39" t="s">
        <v>17</v>
      </c>
      <c r="D39" t="s">
        <v>2</v>
      </c>
      <c r="E39" s="5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  <c r="S39" t="str">
        <f t="shared" si="0"/>
        <v>Recomendado</v>
      </c>
      <c r="T39" t="str">
        <f>VLOOKUP(A39,AssuranceTable,2,FALSE)</f>
        <v>Extended</v>
      </c>
      <c r="U39" t="str">
        <f t="shared" si="1"/>
        <v>DM79012 Oregon</v>
      </c>
      <c r="X39" s="4">
        <f t="shared" si="2"/>
        <v>738097.67</v>
      </c>
    </row>
    <row r="40" spans="1:24" x14ac:dyDescent="0.35">
      <c r="A40" t="s">
        <v>72</v>
      </c>
      <c r="B40" t="s">
        <v>33</v>
      </c>
      <c r="C40" t="s">
        <v>17</v>
      </c>
      <c r="D40" t="s">
        <v>4</v>
      </c>
      <c r="E40" s="5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  <c r="S40" t="str">
        <f t="shared" si="0"/>
        <v>No recomendado</v>
      </c>
      <c r="T40" t="str">
        <f>VLOOKUP(A40,AssuranceTable,2,FALSE)</f>
        <v>Extended</v>
      </c>
      <c r="U40" t="str">
        <f t="shared" si="1"/>
        <v>CM61827 Oregon</v>
      </c>
      <c r="X40" s="4">
        <f t="shared" si="2"/>
        <v>309003.40999999997</v>
      </c>
    </row>
    <row r="41" spans="1:24" x14ac:dyDescent="0.35">
      <c r="A41" t="s">
        <v>73</v>
      </c>
      <c r="B41" t="s">
        <v>5</v>
      </c>
      <c r="C41" t="s">
        <v>17</v>
      </c>
      <c r="D41" t="s">
        <v>31</v>
      </c>
      <c r="E41" s="5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  <c r="S41" t="str">
        <f t="shared" si="0"/>
        <v>Recomendado</v>
      </c>
      <c r="T41" t="str">
        <f>VLOOKUP(A41,AssuranceTable,2,FALSE)</f>
        <v>Basic</v>
      </c>
      <c r="U41" t="str">
        <f t="shared" si="1"/>
        <v>WC35801 Arizona</v>
      </c>
      <c r="X41" s="4">
        <f t="shared" si="2"/>
        <v>252163.31</v>
      </c>
    </row>
    <row r="42" spans="1:24" x14ac:dyDescent="0.35">
      <c r="A42" t="s">
        <v>74</v>
      </c>
      <c r="B42" t="s">
        <v>23</v>
      </c>
      <c r="C42" t="s">
        <v>17</v>
      </c>
      <c r="D42" t="s">
        <v>31</v>
      </c>
      <c r="E42" s="5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S42" t="str">
        <f t="shared" si="0"/>
        <v>No recomendado</v>
      </c>
      <c r="T42" t="str">
        <f>VLOOKUP(A42,AssuranceTable,2,FALSE)</f>
        <v>Basic</v>
      </c>
      <c r="U42" t="str">
        <f t="shared" si="1"/>
        <v>QG25316 Nevada</v>
      </c>
      <c r="X42" s="4">
        <f t="shared" si="2"/>
        <v>265206.18</v>
      </c>
    </row>
    <row r="43" spans="1:24" x14ac:dyDescent="0.35">
      <c r="A43" t="s">
        <v>75</v>
      </c>
      <c r="B43" t="s">
        <v>33</v>
      </c>
      <c r="C43" t="s">
        <v>17</v>
      </c>
      <c r="D43" t="s">
        <v>35</v>
      </c>
      <c r="E43" s="5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S43" t="str">
        <f t="shared" si="0"/>
        <v>Recomendado</v>
      </c>
      <c r="T43" t="str">
        <f>VLOOKUP(A43,AssuranceTable,2,FALSE)</f>
        <v>Basic</v>
      </c>
      <c r="U43" t="str">
        <f t="shared" si="1"/>
        <v>MB98372 Oregon</v>
      </c>
      <c r="X43" s="4">
        <f t="shared" si="2"/>
        <v>277104.5</v>
      </c>
    </row>
    <row r="44" spans="1:24" x14ac:dyDescent="0.35">
      <c r="A44" t="s">
        <v>76</v>
      </c>
      <c r="B44" t="s">
        <v>26</v>
      </c>
      <c r="C44" t="s">
        <v>17</v>
      </c>
      <c r="D44" t="s">
        <v>4</v>
      </c>
      <c r="E44" s="5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  <c r="S44" t="str">
        <f t="shared" si="0"/>
        <v>Recomendado</v>
      </c>
      <c r="T44" t="str">
        <f>VLOOKUP(A44,AssuranceTable,2,FALSE)</f>
        <v>Extended</v>
      </c>
      <c r="U44" t="str">
        <f t="shared" si="1"/>
        <v>IL19217 California</v>
      </c>
      <c r="X44" s="4">
        <f t="shared" si="2"/>
        <v>393900.64</v>
      </c>
    </row>
    <row r="45" spans="1:24" x14ac:dyDescent="0.35">
      <c r="A45" t="s">
        <v>77</v>
      </c>
      <c r="B45" t="s">
        <v>5</v>
      </c>
      <c r="C45" t="s">
        <v>17</v>
      </c>
      <c r="D45" t="s">
        <v>31</v>
      </c>
      <c r="E45" s="5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  <c r="S45" t="str">
        <f t="shared" si="0"/>
        <v>Recomendado</v>
      </c>
      <c r="T45" t="str">
        <f>VLOOKUP(A45,AssuranceTable,2,FALSE)</f>
        <v>Basic</v>
      </c>
      <c r="U45" t="str">
        <f t="shared" si="1"/>
        <v>SR38658 Arizona</v>
      </c>
      <c r="X45" s="4">
        <f t="shared" si="2"/>
        <v>1223187.97</v>
      </c>
    </row>
    <row r="46" spans="1:24" x14ac:dyDescent="0.35">
      <c r="A46" t="s">
        <v>79</v>
      </c>
      <c r="B46" t="s">
        <v>3</v>
      </c>
      <c r="C46" t="s">
        <v>27</v>
      </c>
      <c r="D46" t="s">
        <v>80</v>
      </c>
      <c r="E46" s="5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  <c r="S46" t="str">
        <f t="shared" si="0"/>
        <v>Recomendado</v>
      </c>
      <c r="T46" t="str">
        <f>VLOOKUP(A46,AssuranceTable,2,FALSE)</f>
        <v>Basic</v>
      </c>
      <c r="U46" t="str">
        <f t="shared" si="1"/>
        <v>YD87931 Washington</v>
      </c>
      <c r="X46" s="4">
        <f t="shared" si="2"/>
        <v>495165.61</v>
      </c>
    </row>
    <row r="47" spans="1:24" x14ac:dyDescent="0.35">
      <c r="A47" t="s">
        <v>81</v>
      </c>
      <c r="B47" t="s">
        <v>33</v>
      </c>
      <c r="C47" t="s">
        <v>17</v>
      </c>
      <c r="D47" t="s">
        <v>80</v>
      </c>
      <c r="E47" s="5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  <c r="S47" t="str">
        <f t="shared" si="0"/>
        <v>Recomendado</v>
      </c>
      <c r="T47" t="str">
        <f>VLOOKUP(A47,AssuranceTable,2,FALSE)</f>
        <v>Premium</v>
      </c>
      <c r="U47" t="str">
        <f t="shared" si="1"/>
        <v>HG65722 Oregon</v>
      </c>
      <c r="X47" s="4">
        <f t="shared" si="2"/>
        <v>1281910.29</v>
      </c>
    </row>
    <row r="48" spans="1:24" x14ac:dyDescent="0.35">
      <c r="A48" t="s">
        <v>82</v>
      </c>
      <c r="B48" t="s">
        <v>5</v>
      </c>
      <c r="C48" t="s">
        <v>17</v>
      </c>
      <c r="D48" t="s">
        <v>4</v>
      </c>
      <c r="E48" s="5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  <c r="S48" t="str">
        <f t="shared" si="0"/>
        <v>No recomendado</v>
      </c>
      <c r="T48" t="str">
        <f>VLOOKUP(A48,AssuranceTable,2,FALSE)</f>
        <v>Basic</v>
      </c>
      <c r="U48" t="str">
        <f t="shared" si="1"/>
        <v>BU27331 Arizona</v>
      </c>
      <c r="X48" s="4">
        <f t="shared" si="2"/>
        <v>446851.05</v>
      </c>
    </row>
    <row r="49" spans="1:24" x14ac:dyDescent="0.35">
      <c r="A49" t="s">
        <v>83</v>
      </c>
      <c r="B49" t="s">
        <v>33</v>
      </c>
      <c r="C49" t="s">
        <v>17</v>
      </c>
      <c r="D49" t="s">
        <v>31</v>
      </c>
      <c r="E49" s="5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  <c r="S49" t="str">
        <f t="shared" si="0"/>
        <v>Recomendado</v>
      </c>
      <c r="T49" t="str">
        <f>VLOOKUP(A49,AssuranceTable,2,FALSE)</f>
        <v>Basic</v>
      </c>
      <c r="U49" t="str">
        <f t="shared" si="1"/>
        <v>XM45289 Oregon</v>
      </c>
      <c r="X49" s="4">
        <f t="shared" si="2"/>
        <v>551434.4</v>
      </c>
    </row>
    <row r="50" spans="1:24" x14ac:dyDescent="0.35">
      <c r="A50" t="s">
        <v>84</v>
      </c>
      <c r="B50" t="s">
        <v>26</v>
      </c>
      <c r="C50" t="s">
        <v>17</v>
      </c>
      <c r="D50" t="s">
        <v>4</v>
      </c>
      <c r="E50" s="5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  <c r="S50" t="str">
        <f t="shared" si="0"/>
        <v>No recomendado</v>
      </c>
      <c r="T50" t="str">
        <f>VLOOKUP(A50,AssuranceTable,2,FALSE)</f>
        <v>Extended</v>
      </c>
      <c r="U50" t="str">
        <f t="shared" si="1"/>
        <v>KP34198 California</v>
      </c>
      <c r="X50" s="4">
        <f t="shared" si="2"/>
        <v>334387.53000000003</v>
      </c>
    </row>
    <row r="51" spans="1:24" x14ac:dyDescent="0.35">
      <c r="A51" t="s">
        <v>85</v>
      </c>
      <c r="B51" t="s">
        <v>5</v>
      </c>
      <c r="C51" t="s">
        <v>17</v>
      </c>
      <c r="D51" t="s">
        <v>31</v>
      </c>
      <c r="E51" s="5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  <c r="S51" t="str">
        <f t="shared" si="0"/>
        <v>No recomendado</v>
      </c>
      <c r="T51" t="str">
        <f>VLOOKUP(A51,AssuranceTable,2,FALSE)</f>
        <v>Basic</v>
      </c>
      <c r="U51" t="str">
        <f t="shared" si="1"/>
        <v>SH90947 Arizona</v>
      </c>
      <c r="X51" s="4">
        <f t="shared" si="2"/>
        <v>229447.89</v>
      </c>
    </row>
    <row r="52" spans="1:24" x14ac:dyDescent="0.35">
      <c r="A52" t="s">
        <v>86</v>
      </c>
      <c r="B52" t="s">
        <v>33</v>
      </c>
      <c r="C52" t="s">
        <v>17</v>
      </c>
      <c r="D52" t="s">
        <v>35</v>
      </c>
      <c r="E52" s="5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  <c r="S52" t="str">
        <f t="shared" si="0"/>
        <v>Recomendado</v>
      </c>
      <c r="T52" t="str">
        <f>VLOOKUP(A52,AssuranceTable,2,FALSE)</f>
        <v>Basic</v>
      </c>
      <c r="U52" t="str">
        <f t="shared" si="1"/>
        <v>WE95729 Oregon</v>
      </c>
      <c r="X52" s="4">
        <f t="shared" si="2"/>
        <v>3670742.64</v>
      </c>
    </row>
    <row r="53" spans="1:24" x14ac:dyDescent="0.35">
      <c r="A53" t="s">
        <v>87</v>
      </c>
      <c r="B53" t="s">
        <v>26</v>
      </c>
      <c r="C53" t="s">
        <v>17</v>
      </c>
      <c r="D53" t="s">
        <v>4</v>
      </c>
      <c r="E53" s="5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S53" t="str">
        <f t="shared" si="0"/>
        <v>Recomendado</v>
      </c>
      <c r="T53" t="str">
        <f>VLOOKUP(A53,AssuranceTable,2,FALSE)</f>
        <v>Basic</v>
      </c>
      <c r="U53" t="str">
        <f t="shared" si="1"/>
        <v>PY51963 California</v>
      </c>
      <c r="X53" s="4">
        <f t="shared" si="2"/>
        <v>3347334.95</v>
      </c>
    </row>
    <row r="54" spans="1:24" x14ac:dyDescent="0.35">
      <c r="A54" t="s">
        <v>88</v>
      </c>
      <c r="B54" t="s">
        <v>23</v>
      </c>
      <c r="C54" t="s">
        <v>17</v>
      </c>
      <c r="D54" t="s">
        <v>31</v>
      </c>
      <c r="E54" s="5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  <c r="S54" t="str">
        <f t="shared" si="0"/>
        <v>Recomendado</v>
      </c>
      <c r="T54" t="str">
        <f>VLOOKUP(A54,AssuranceTable,2,FALSE)</f>
        <v>Basic</v>
      </c>
      <c r="U54" t="str">
        <f t="shared" si="1"/>
        <v>RB69909 Nevada</v>
      </c>
      <c r="X54" s="4">
        <f t="shared" si="2"/>
        <v>798343.17</v>
      </c>
    </row>
    <row r="55" spans="1:24" x14ac:dyDescent="0.35">
      <c r="A55" t="s">
        <v>89</v>
      </c>
      <c r="B55" t="s">
        <v>3</v>
      </c>
      <c r="C55" t="s">
        <v>21</v>
      </c>
      <c r="D55" t="s">
        <v>2</v>
      </c>
      <c r="E55" s="5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  <c r="S55" t="str">
        <f t="shared" si="0"/>
        <v>Recomendado</v>
      </c>
      <c r="T55" t="str">
        <f>VLOOKUP(A55,AssuranceTable,2,FALSE)</f>
        <v>Basic</v>
      </c>
      <c r="U55" t="str">
        <f t="shared" si="1"/>
        <v>NW21079 Washington</v>
      </c>
      <c r="X55" s="4">
        <f t="shared" si="2"/>
        <v>487938.48</v>
      </c>
    </row>
    <row r="56" spans="1:24" x14ac:dyDescent="0.35">
      <c r="A56" t="s">
        <v>90</v>
      </c>
      <c r="B56" t="s">
        <v>26</v>
      </c>
      <c r="C56" t="s">
        <v>17</v>
      </c>
      <c r="D56" t="s">
        <v>4</v>
      </c>
      <c r="E56" s="5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  <c r="S56" t="str">
        <f t="shared" si="0"/>
        <v>Recomendado</v>
      </c>
      <c r="T56" t="str">
        <f>VLOOKUP(A56,AssuranceTable,2,FALSE)</f>
        <v>Premium</v>
      </c>
      <c r="U56" t="str">
        <f t="shared" si="1"/>
        <v>FR46645 California</v>
      </c>
      <c r="X56" s="4">
        <f t="shared" si="2"/>
        <v>429399.73</v>
      </c>
    </row>
    <row r="57" spans="1:24" x14ac:dyDescent="0.35">
      <c r="A57" t="s">
        <v>91</v>
      </c>
      <c r="B57" t="s">
        <v>5</v>
      </c>
      <c r="C57" t="s">
        <v>17</v>
      </c>
      <c r="D57" t="s">
        <v>35</v>
      </c>
      <c r="E57" s="5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  <c r="S57" t="str">
        <f t="shared" si="0"/>
        <v>Recomendado</v>
      </c>
      <c r="T57" t="str">
        <f>VLOOKUP(A57,AssuranceTable,2,FALSE)</f>
        <v>Extended</v>
      </c>
      <c r="U57" t="str">
        <f t="shared" si="1"/>
        <v>SY17488 Arizona</v>
      </c>
      <c r="X57" s="4">
        <f t="shared" si="2"/>
        <v>716439.55</v>
      </c>
    </row>
    <row r="58" spans="1:24" x14ac:dyDescent="0.35">
      <c r="A58" t="s">
        <v>92</v>
      </c>
      <c r="B58" t="s">
        <v>26</v>
      </c>
      <c r="C58" t="s">
        <v>17</v>
      </c>
      <c r="D58" t="s">
        <v>35</v>
      </c>
      <c r="E58" s="5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  <c r="S58" t="str">
        <f t="shared" si="0"/>
        <v>Recomendado</v>
      </c>
      <c r="T58" t="str">
        <f>VLOOKUP(A58,AssuranceTable,2,FALSE)</f>
        <v>Basic</v>
      </c>
      <c r="U58" t="str">
        <f t="shared" si="1"/>
        <v>AP67935 California</v>
      </c>
      <c r="X58" s="4">
        <f t="shared" si="2"/>
        <v>761951.58</v>
      </c>
    </row>
    <row r="59" spans="1:24" x14ac:dyDescent="0.35">
      <c r="A59" t="s">
        <v>93</v>
      </c>
      <c r="B59" t="s">
        <v>5</v>
      </c>
      <c r="C59" t="s">
        <v>17</v>
      </c>
      <c r="D59" t="s">
        <v>31</v>
      </c>
      <c r="E59" s="5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  <c r="S59" t="str">
        <f t="shared" si="0"/>
        <v>No recomendado</v>
      </c>
      <c r="T59" t="str">
        <f>VLOOKUP(A59,AssuranceTable,2,FALSE)</f>
        <v>Basic</v>
      </c>
      <c r="U59" t="str">
        <f t="shared" si="1"/>
        <v>FS37417 Arizona</v>
      </c>
      <c r="X59" s="4">
        <f t="shared" si="2"/>
        <v>395800.28</v>
      </c>
    </row>
    <row r="60" spans="1:24" x14ac:dyDescent="0.35">
      <c r="A60" t="s">
        <v>94</v>
      </c>
      <c r="B60" t="s">
        <v>33</v>
      </c>
      <c r="C60" t="s">
        <v>17</v>
      </c>
      <c r="D60" t="s">
        <v>31</v>
      </c>
      <c r="E60" s="5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  <c r="S60" t="str">
        <f t="shared" si="0"/>
        <v>Recomendado</v>
      </c>
      <c r="T60" t="str">
        <f>VLOOKUP(A60,AssuranceTable,2,FALSE)</f>
        <v>Extended</v>
      </c>
      <c r="U60" t="str">
        <f t="shared" si="1"/>
        <v>ML29312 Oregon</v>
      </c>
      <c r="X60" s="4">
        <f t="shared" si="2"/>
        <v>449949.33</v>
      </c>
    </row>
    <row r="61" spans="1:24" x14ac:dyDescent="0.35">
      <c r="A61" t="s">
        <v>95</v>
      </c>
      <c r="B61" t="s">
        <v>33</v>
      </c>
      <c r="C61" t="s">
        <v>17</v>
      </c>
      <c r="D61" t="s">
        <v>2</v>
      </c>
      <c r="E61" s="5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  <c r="S61" t="str">
        <f t="shared" si="0"/>
        <v>Recomendado</v>
      </c>
      <c r="T61" t="str">
        <f>VLOOKUP(A61,AssuranceTable,2,FALSE)</f>
        <v>Premium</v>
      </c>
      <c r="U61" t="str">
        <f t="shared" si="1"/>
        <v>UB61619 Oregon</v>
      </c>
      <c r="X61" s="4">
        <f t="shared" si="2"/>
        <v>405956.74</v>
      </c>
    </row>
    <row r="62" spans="1:24" x14ac:dyDescent="0.35">
      <c r="A62" t="s">
        <v>96</v>
      </c>
      <c r="B62" t="s">
        <v>5</v>
      </c>
      <c r="C62" t="s">
        <v>17</v>
      </c>
      <c r="D62" t="s">
        <v>4</v>
      </c>
      <c r="E62" s="5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  <c r="S62" t="str">
        <f t="shared" si="0"/>
        <v>Recomendado</v>
      </c>
      <c r="T62" t="str">
        <f>VLOOKUP(A62,AssuranceTable,2,FALSE)</f>
        <v>Basic</v>
      </c>
      <c r="U62" t="str">
        <f t="shared" si="1"/>
        <v>CD86811 Arizona</v>
      </c>
      <c r="X62" s="4">
        <f t="shared" si="2"/>
        <v>445811.34</v>
      </c>
    </row>
    <row r="63" spans="1:24" x14ac:dyDescent="0.35">
      <c r="A63" t="s">
        <v>97</v>
      </c>
      <c r="B63" t="s">
        <v>26</v>
      </c>
      <c r="C63" t="s">
        <v>17</v>
      </c>
      <c r="D63" t="s">
        <v>4</v>
      </c>
      <c r="E63" s="5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  <c r="S63" t="str">
        <f t="shared" si="0"/>
        <v>Recomendado</v>
      </c>
      <c r="T63" t="str">
        <f>VLOOKUP(A63,AssuranceTable,2,FALSE)</f>
        <v>Premium</v>
      </c>
      <c r="U63" t="str">
        <f t="shared" si="1"/>
        <v>RU83859 California</v>
      </c>
      <c r="X63" s="4">
        <f t="shared" si="2"/>
        <v>811033.31</v>
      </c>
    </row>
    <row r="64" spans="1:24" x14ac:dyDescent="0.35">
      <c r="A64" t="s">
        <v>98</v>
      </c>
      <c r="B64" t="s">
        <v>33</v>
      </c>
      <c r="C64" t="s">
        <v>17</v>
      </c>
      <c r="D64" t="s">
        <v>4</v>
      </c>
      <c r="E64" s="5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  <c r="S64" t="str">
        <f t="shared" si="0"/>
        <v>No recomendado</v>
      </c>
      <c r="T64" t="str">
        <f>VLOOKUP(A64,AssuranceTable,2,FALSE)</f>
        <v>Extended</v>
      </c>
      <c r="U64" t="str">
        <f t="shared" si="1"/>
        <v>FG63582 Oregon</v>
      </c>
      <c r="X64" s="4">
        <f t="shared" si="2"/>
        <v>333976.49</v>
      </c>
    </row>
    <row r="65" spans="1:24" x14ac:dyDescent="0.35">
      <c r="A65" t="s">
        <v>99</v>
      </c>
      <c r="B65" t="s">
        <v>26</v>
      </c>
      <c r="C65" t="s">
        <v>17</v>
      </c>
      <c r="D65" t="s">
        <v>31</v>
      </c>
      <c r="E65" s="5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  <c r="S65" t="str">
        <f t="shared" si="0"/>
        <v>Recomendado</v>
      </c>
      <c r="T65" t="str">
        <f>VLOOKUP(A65,AssuranceTable,2,FALSE)</f>
        <v>Basic</v>
      </c>
      <c r="U65" t="str">
        <f t="shared" si="1"/>
        <v>NN71951 California</v>
      </c>
      <c r="X65" s="4">
        <f t="shared" si="2"/>
        <v>2426101.7799999998</v>
      </c>
    </row>
    <row r="66" spans="1:24" x14ac:dyDescent="0.35">
      <c r="A66" t="s">
        <v>100</v>
      </c>
      <c r="B66" t="s">
        <v>5</v>
      </c>
      <c r="C66" t="s">
        <v>17</v>
      </c>
      <c r="D66" t="s">
        <v>4</v>
      </c>
      <c r="E66" s="5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  <c r="S66" t="str">
        <f t="shared" si="0"/>
        <v>No recomendado</v>
      </c>
      <c r="T66" t="str">
        <f>VLOOKUP(A66,AssuranceTable,2,FALSE)</f>
        <v>Basic</v>
      </c>
      <c r="U66" t="str">
        <f t="shared" si="1"/>
        <v>WB37082 Arizona</v>
      </c>
      <c r="X66" s="4">
        <f t="shared" si="2"/>
        <v>661397.37</v>
      </c>
    </row>
    <row r="67" spans="1:24" x14ac:dyDescent="0.35">
      <c r="A67" t="s">
        <v>101</v>
      </c>
      <c r="B67" t="s">
        <v>102</v>
      </c>
      <c r="C67" t="s">
        <v>17</v>
      </c>
      <c r="D67" t="s">
        <v>35</v>
      </c>
      <c r="E67" s="5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  <c r="S67" t="str">
        <f t="shared" ref="S67:S130" si="3">IF(F67&gt;3000,"Recomendado","No recomendado")</f>
        <v>Recomendado</v>
      </c>
      <c r="T67" t="str">
        <f>VLOOKUP(A67,AssuranceTable,2,FALSE)</f>
        <v>Basic</v>
      </c>
      <c r="U67" t="str">
        <f t="shared" ref="U67:U130" si="4">_xlfn.CONCAT(A67, " ",B67)</f>
        <v>SM52139 WA</v>
      </c>
      <c r="X67" s="4">
        <f t="shared" ref="X67:X130" si="5">ROUND(E67,3)</f>
        <v>293069.34999999998</v>
      </c>
    </row>
    <row r="68" spans="1:24" x14ac:dyDescent="0.35">
      <c r="A68" t="s">
        <v>103</v>
      </c>
      <c r="B68" t="s">
        <v>33</v>
      </c>
      <c r="C68" t="s">
        <v>17</v>
      </c>
      <c r="D68" t="s">
        <v>35</v>
      </c>
      <c r="E68" s="5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S68" t="str">
        <f t="shared" si="3"/>
        <v>Recomendado</v>
      </c>
      <c r="T68" t="str">
        <f>VLOOKUP(A68,AssuranceTable,2,FALSE)</f>
        <v>Basic</v>
      </c>
      <c r="U68" t="str">
        <f t="shared" si="4"/>
        <v>FL82372 Oregon</v>
      </c>
      <c r="X68" s="4">
        <f t="shared" si="5"/>
        <v>867219.43</v>
      </c>
    </row>
    <row r="69" spans="1:24" x14ac:dyDescent="0.35">
      <c r="A69" t="s">
        <v>104</v>
      </c>
      <c r="B69" t="s">
        <v>61</v>
      </c>
      <c r="C69" t="s">
        <v>17</v>
      </c>
      <c r="D69" t="s">
        <v>31</v>
      </c>
      <c r="E69" s="5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  <c r="S69" t="str">
        <f t="shared" si="3"/>
        <v>Recomendado</v>
      </c>
      <c r="T69" t="str">
        <f>VLOOKUP(A69,AssuranceTable,2,FALSE)</f>
        <v>Extended</v>
      </c>
      <c r="U69" t="str">
        <f t="shared" si="4"/>
        <v>DP45816 AZ</v>
      </c>
      <c r="X69" s="4">
        <f t="shared" si="5"/>
        <v>1163866.93</v>
      </c>
    </row>
    <row r="70" spans="1:24" x14ac:dyDescent="0.35">
      <c r="A70" t="s">
        <v>105</v>
      </c>
      <c r="B70" t="s">
        <v>33</v>
      </c>
      <c r="C70" t="s">
        <v>17</v>
      </c>
      <c r="D70" t="s">
        <v>4</v>
      </c>
      <c r="E70" s="5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  <c r="S70" t="str">
        <f t="shared" si="3"/>
        <v>No recomendado</v>
      </c>
      <c r="T70" t="str">
        <f>VLOOKUP(A70,AssuranceTable,2,FALSE)</f>
        <v>Extended</v>
      </c>
      <c r="U70" t="str">
        <f t="shared" si="4"/>
        <v>GW33762 Oregon</v>
      </c>
      <c r="X70" s="4">
        <f t="shared" si="5"/>
        <v>684615.03</v>
      </c>
    </row>
    <row r="71" spans="1:24" x14ac:dyDescent="0.35">
      <c r="A71" t="s">
        <v>106</v>
      </c>
      <c r="B71" t="s">
        <v>26</v>
      </c>
      <c r="C71" t="s">
        <v>17</v>
      </c>
      <c r="D71" t="s">
        <v>35</v>
      </c>
      <c r="E71" s="5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  <c r="S71" t="str">
        <f t="shared" si="3"/>
        <v>Recomendado</v>
      </c>
      <c r="T71" t="str">
        <f>VLOOKUP(A71,AssuranceTable,2,FALSE)</f>
        <v>Premium</v>
      </c>
      <c r="U71" t="str">
        <f t="shared" si="4"/>
        <v>RZ33670 California</v>
      </c>
      <c r="X71" s="4">
        <f t="shared" si="5"/>
        <v>1172777.6499999999</v>
      </c>
    </row>
    <row r="72" spans="1:24" x14ac:dyDescent="0.35">
      <c r="A72" t="s">
        <v>107</v>
      </c>
      <c r="B72" t="s">
        <v>33</v>
      </c>
      <c r="C72" t="s">
        <v>17</v>
      </c>
      <c r="D72" t="s">
        <v>31</v>
      </c>
      <c r="E72" s="5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  <c r="S72" t="str">
        <f t="shared" si="3"/>
        <v>Recomendado</v>
      </c>
      <c r="T72" t="str">
        <f>VLOOKUP(A72,AssuranceTable,2,FALSE)</f>
        <v>Basic</v>
      </c>
      <c r="U72" t="str">
        <f t="shared" si="4"/>
        <v>PY70169 Oregon</v>
      </c>
      <c r="X72" s="4">
        <f t="shared" si="5"/>
        <v>2264383.48</v>
      </c>
    </row>
    <row r="73" spans="1:24" x14ac:dyDescent="0.35">
      <c r="A73" t="s">
        <v>108</v>
      </c>
      <c r="B73" t="s">
        <v>33</v>
      </c>
      <c r="C73" t="s">
        <v>17</v>
      </c>
      <c r="D73" t="s">
        <v>2</v>
      </c>
      <c r="E73" s="5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  <c r="S73" t="str">
        <f t="shared" si="3"/>
        <v>Recomendado</v>
      </c>
      <c r="T73" t="str">
        <f>VLOOKUP(A73,AssuranceTable,2,FALSE)</f>
        <v>Basic</v>
      </c>
      <c r="U73" t="str">
        <f t="shared" si="4"/>
        <v>MO91628 Oregon</v>
      </c>
      <c r="X73" s="4">
        <f t="shared" si="5"/>
        <v>261447.43</v>
      </c>
    </row>
    <row r="74" spans="1:24" x14ac:dyDescent="0.35">
      <c r="A74" t="s">
        <v>109</v>
      </c>
      <c r="B74" t="s">
        <v>33</v>
      </c>
      <c r="C74" t="s">
        <v>17</v>
      </c>
      <c r="D74" t="s">
        <v>2</v>
      </c>
      <c r="E74" s="5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  <c r="S74" t="str">
        <f t="shared" si="3"/>
        <v>Recomendado</v>
      </c>
      <c r="T74" t="str">
        <f>VLOOKUP(A74,AssuranceTable,2,FALSE)</f>
        <v>Basic</v>
      </c>
      <c r="U74" t="str">
        <f t="shared" si="4"/>
        <v>HW87852 Oregon</v>
      </c>
      <c r="X74" s="4">
        <f t="shared" si="5"/>
        <v>245175.27</v>
      </c>
    </row>
    <row r="75" spans="1:24" x14ac:dyDescent="0.35">
      <c r="A75" t="s">
        <v>110</v>
      </c>
      <c r="B75" t="s">
        <v>33</v>
      </c>
      <c r="C75" t="s">
        <v>17</v>
      </c>
      <c r="D75" t="s">
        <v>4</v>
      </c>
      <c r="E75" s="5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  <c r="S75" t="str">
        <f t="shared" si="3"/>
        <v>No recomendado</v>
      </c>
      <c r="T75" t="str">
        <f>VLOOKUP(A75,AssuranceTable,2,FALSE)</f>
        <v>Basic</v>
      </c>
      <c r="U75" t="str">
        <f t="shared" si="4"/>
        <v>HB20453 Oregon</v>
      </c>
      <c r="X75" s="4">
        <f t="shared" si="5"/>
        <v>678127.02</v>
      </c>
    </row>
    <row r="76" spans="1:24" x14ac:dyDescent="0.35">
      <c r="A76" t="s">
        <v>111</v>
      </c>
      <c r="B76" t="s">
        <v>33</v>
      </c>
      <c r="C76" t="s">
        <v>17</v>
      </c>
      <c r="D76" t="s">
        <v>4</v>
      </c>
      <c r="E76" s="5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  <c r="S76" t="str">
        <f t="shared" si="3"/>
        <v>Recomendado</v>
      </c>
      <c r="T76" t="str">
        <f>VLOOKUP(A76,AssuranceTable,2,FALSE)</f>
        <v>Basic</v>
      </c>
      <c r="U76" t="str">
        <f t="shared" si="4"/>
        <v>BN87372 Oregon</v>
      </c>
      <c r="X76" s="4">
        <f t="shared" si="5"/>
        <v>497480.15</v>
      </c>
    </row>
    <row r="77" spans="1:24" x14ac:dyDescent="0.35">
      <c r="A77" t="s">
        <v>112</v>
      </c>
      <c r="B77" t="s">
        <v>33</v>
      </c>
      <c r="C77" t="s">
        <v>17</v>
      </c>
      <c r="D77" t="s">
        <v>4</v>
      </c>
      <c r="E77" s="5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  <c r="S77" t="str">
        <f t="shared" si="3"/>
        <v>Recomendado</v>
      </c>
      <c r="T77" t="str">
        <f>VLOOKUP(A77,AssuranceTable,2,FALSE)</f>
        <v>Basic</v>
      </c>
      <c r="U77" t="str">
        <f t="shared" si="4"/>
        <v>YX23800 Oregon</v>
      </c>
      <c r="X77" s="4">
        <f t="shared" si="5"/>
        <v>859160.49</v>
      </c>
    </row>
    <row r="78" spans="1:24" x14ac:dyDescent="0.35">
      <c r="A78" t="s">
        <v>113</v>
      </c>
      <c r="B78" t="s">
        <v>33</v>
      </c>
      <c r="C78" t="s">
        <v>17</v>
      </c>
      <c r="D78" t="s">
        <v>31</v>
      </c>
      <c r="E78" s="5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  <c r="S78" t="str">
        <f t="shared" si="3"/>
        <v>Recomendado</v>
      </c>
      <c r="T78" t="str">
        <f>VLOOKUP(A78,AssuranceTable,2,FALSE)</f>
        <v>Basic</v>
      </c>
      <c r="U78" t="str">
        <f t="shared" si="4"/>
        <v>DZ87709 Oregon</v>
      </c>
      <c r="X78" s="4">
        <f t="shared" si="5"/>
        <v>559216.14</v>
      </c>
    </row>
    <row r="79" spans="1:24" x14ac:dyDescent="0.35">
      <c r="A79" t="s">
        <v>114</v>
      </c>
      <c r="B79" t="s">
        <v>23</v>
      </c>
      <c r="C79" t="s">
        <v>17</v>
      </c>
      <c r="D79" t="s">
        <v>35</v>
      </c>
      <c r="E79" s="5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  <c r="S79" t="str">
        <f t="shared" si="3"/>
        <v>Recomendado</v>
      </c>
      <c r="T79" t="str">
        <f>VLOOKUP(A79,AssuranceTable,2,FALSE)</f>
        <v>Basic</v>
      </c>
      <c r="U79" t="str">
        <f t="shared" si="4"/>
        <v>XW13033 Nevada</v>
      </c>
      <c r="X79" s="4">
        <f t="shared" si="5"/>
        <v>800947.28</v>
      </c>
    </row>
    <row r="80" spans="1:24" x14ac:dyDescent="0.35">
      <c r="A80" t="s">
        <v>115</v>
      </c>
      <c r="B80" t="s">
        <v>3</v>
      </c>
      <c r="C80" t="s">
        <v>21</v>
      </c>
      <c r="D80" t="s">
        <v>2</v>
      </c>
      <c r="E80" s="5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  <c r="S80" t="str">
        <f t="shared" si="3"/>
        <v>Recomendado</v>
      </c>
      <c r="T80" t="str">
        <f>VLOOKUP(A80,AssuranceTable,2,FALSE)</f>
        <v>Extended</v>
      </c>
      <c r="U80" t="str">
        <f t="shared" si="4"/>
        <v>SP81997 Washington</v>
      </c>
      <c r="X80" s="4">
        <f t="shared" si="5"/>
        <v>0</v>
      </c>
    </row>
    <row r="81" spans="1:24" x14ac:dyDescent="0.35">
      <c r="A81" t="s">
        <v>116</v>
      </c>
      <c r="B81" t="s">
        <v>26</v>
      </c>
      <c r="C81" t="s">
        <v>17</v>
      </c>
      <c r="D81" t="s">
        <v>4</v>
      </c>
      <c r="E81" s="5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  <c r="S81" t="str">
        <f t="shared" si="3"/>
        <v>Recomendado</v>
      </c>
      <c r="T81" t="str">
        <f>VLOOKUP(A81,AssuranceTable,2,FALSE)</f>
        <v>Basic</v>
      </c>
      <c r="U81" t="str">
        <f t="shared" si="4"/>
        <v>OM82309 California</v>
      </c>
      <c r="X81" s="4">
        <f t="shared" si="5"/>
        <v>5816655.3499999996</v>
      </c>
    </row>
    <row r="82" spans="1:24" x14ac:dyDescent="0.35">
      <c r="A82" t="s">
        <v>118</v>
      </c>
      <c r="B82" t="s">
        <v>26</v>
      </c>
      <c r="C82" t="s">
        <v>17</v>
      </c>
      <c r="D82" t="s">
        <v>35</v>
      </c>
      <c r="E82" s="5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  <c r="S82" t="str">
        <f t="shared" si="3"/>
        <v>No recomendado</v>
      </c>
      <c r="T82" t="str">
        <f>VLOOKUP(A82,AssuranceTable,2,FALSE)</f>
        <v>Extended</v>
      </c>
      <c r="U82" t="str">
        <f t="shared" si="4"/>
        <v>ZU35962 California</v>
      </c>
      <c r="X82" s="4">
        <f t="shared" si="5"/>
        <v>802522.94</v>
      </c>
    </row>
    <row r="83" spans="1:24" x14ac:dyDescent="0.35">
      <c r="A83" t="s">
        <v>119</v>
      </c>
      <c r="B83" t="s">
        <v>26</v>
      </c>
      <c r="C83" t="s">
        <v>17</v>
      </c>
      <c r="D83" t="s">
        <v>31</v>
      </c>
      <c r="E83" s="5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  <c r="S83" t="str">
        <f t="shared" si="3"/>
        <v>Recomendado</v>
      </c>
      <c r="T83" t="str">
        <f>VLOOKUP(A83,AssuranceTable,2,FALSE)</f>
        <v>Basic</v>
      </c>
      <c r="U83" t="str">
        <f t="shared" si="4"/>
        <v>VH85817 California</v>
      </c>
      <c r="X83" s="4">
        <f t="shared" si="5"/>
        <v>578018.22</v>
      </c>
    </row>
    <row r="84" spans="1:24" x14ac:dyDescent="0.35">
      <c r="A84" t="s">
        <v>120</v>
      </c>
      <c r="B84" t="s">
        <v>26</v>
      </c>
      <c r="C84" t="s">
        <v>17</v>
      </c>
      <c r="D84" t="s">
        <v>80</v>
      </c>
      <c r="E84" s="5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  <c r="S84" t="str">
        <f t="shared" si="3"/>
        <v>Recomendado</v>
      </c>
      <c r="T84" t="str">
        <f>VLOOKUP(A84,AssuranceTable,2,FALSE)</f>
        <v>Basic</v>
      </c>
      <c r="U84" t="str">
        <f t="shared" si="4"/>
        <v>DT85712 California</v>
      </c>
      <c r="X84" s="4">
        <f t="shared" si="5"/>
        <v>411853.91</v>
      </c>
    </row>
    <row r="85" spans="1:24" x14ac:dyDescent="0.35">
      <c r="A85" t="s">
        <v>121</v>
      </c>
      <c r="B85" t="s">
        <v>23</v>
      </c>
      <c r="C85" t="s">
        <v>17</v>
      </c>
      <c r="D85" t="s">
        <v>2</v>
      </c>
      <c r="E85" s="5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  <c r="S85" t="str">
        <f t="shared" si="3"/>
        <v>Recomendado</v>
      </c>
      <c r="T85" t="str">
        <f>VLOOKUP(A85,AssuranceTable,2,FALSE)</f>
        <v>Basic</v>
      </c>
      <c r="U85" t="str">
        <f t="shared" si="4"/>
        <v>YJ88573 Nevada</v>
      </c>
      <c r="X85" s="4">
        <f t="shared" si="5"/>
        <v>252307.02</v>
      </c>
    </row>
    <row r="86" spans="1:24" x14ac:dyDescent="0.35">
      <c r="A86" t="s">
        <v>122</v>
      </c>
      <c r="B86" t="s">
        <v>33</v>
      </c>
      <c r="C86" t="s">
        <v>17</v>
      </c>
      <c r="D86" t="s">
        <v>35</v>
      </c>
      <c r="E86" s="5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  <c r="S86" t="str">
        <f t="shared" si="3"/>
        <v>Recomendado</v>
      </c>
      <c r="T86" t="str">
        <f>VLOOKUP(A86,AssuranceTable,2,FALSE)</f>
        <v>Extended</v>
      </c>
      <c r="U86" t="str">
        <f t="shared" si="4"/>
        <v>SQ19467 Oregon</v>
      </c>
      <c r="X86" s="4">
        <f t="shared" si="5"/>
        <v>655421.64</v>
      </c>
    </row>
    <row r="87" spans="1:24" x14ac:dyDescent="0.35">
      <c r="A87" t="s">
        <v>123</v>
      </c>
      <c r="B87" t="s">
        <v>3</v>
      </c>
      <c r="C87" t="s">
        <v>21</v>
      </c>
      <c r="D87" t="s">
        <v>4</v>
      </c>
      <c r="E87" s="5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  <c r="S87" t="str">
        <f t="shared" si="3"/>
        <v>Recomendado</v>
      </c>
      <c r="T87" t="str">
        <f>VLOOKUP(A87,AssuranceTable,2,FALSE)</f>
        <v>Basic</v>
      </c>
      <c r="U87" t="str">
        <f t="shared" si="4"/>
        <v>YB66933 Washington</v>
      </c>
      <c r="X87" s="4">
        <f t="shared" si="5"/>
        <v>538275.19999999995</v>
      </c>
    </row>
    <row r="88" spans="1:24" x14ac:dyDescent="0.35">
      <c r="A88" t="s">
        <v>124</v>
      </c>
      <c r="B88" t="s">
        <v>26</v>
      </c>
      <c r="C88" t="s">
        <v>17</v>
      </c>
      <c r="D88" t="s">
        <v>35</v>
      </c>
      <c r="E88" s="5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  <c r="S88" t="str">
        <f t="shared" si="3"/>
        <v>Recomendado</v>
      </c>
      <c r="T88" t="str">
        <f>VLOOKUP(A88,AssuranceTable,2,FALSE)</f>
        <v>Extended</v>
      </c>
      <c r="U88" t="str">
        <f t="shared" si="4"/>
        <v>ET79815 California</v>
      </c>
      <c r="X88" s="4">
        <f t="shared" si="5"/>
        <v>592672.93999999994</v>
      </c>
    </row>
    <row r="89" spans="1:24" x14ac:dyDescent="0.35">
      <c r="A89" t="s">
        <v>125</v>
      </c>
      <c r="B89" t="s">
        <v>26</v>
      </c>
      <c r="C89" t="s">
        <v>17</v>
      </c>
      <c r="D89" t="s">
        <v>4</v>
      </c>
      <c r="E89" s="5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  <c r="S89" t="str">
        <f t="shared" si="3"/>
        <v>Recomendado</v>
      </c>
      <c r="T89" t="str">
        <f>VLOOKUP(A89,AssuranceTable,2,FALSE)</f>
        <v>Basic</v>
      </c>
      <c r="U89" t="str">
        <f t="shared" si="4"/>
        <v>QC35222 California</v>
      </c>
      <c r="X89" s="4">
        <f t="shared" si="5"/>
        <v>268347.07</v>
      </c>
    </row>
    <row r="90" spans="1:24" x14ac:dyDescent="0.35">
      <c r="A90" t="s">
        <v>126</v>
      </c>
      <c r="B90" t="s">
        <v>33</v>
      </c>
      <c r="C90" t="s">
        <v>17</v>
      </c>
      <c r="D90" t="s">
        <v>4</v>
      </c>
      <c r="E90" s="5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  <c r="S90" t="str">
        <f t="shared" si="3"/>
        <v>Recomendado</v>
      </c>
      <c r="T90" t="str">
        <f>VLOOKUP(A90,AssuranceTable,2,FALSE)</f>
        <v>Basic</v>
      </c>
      <c r="U90" t="str">
        <f t="shared" si="4"/>
        <v>CJ15590 Oregon</v>
      </c>
      <c r="X90" s="4">
        <f t="shared" si="5"/>
        <v>269518.24</v>
      </c>
    </row>
    <row r="91" spans="1:24" x14ac:dyDescent="0.35">
      <c r="A91" t="s">
        <v>127</v>
      </c>
      <c r="B91" t="s">
        <v>26</v>
      </c>
      <c r="C91" t="s">
        <v>17</v>
      </c>
      <c r="D91" t="s">
        <v>35</v>
      </c>
      <c r="E91" s="5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  <c r="S91" t="str">
        <f t="shared" si="3"/>
        <v>Recomendado</v>
      </c>
      <c r="T91" t="str">
        <f>VLOOKUP(A91,AssuranceTable,2,FALSE)</f>
        <v>Extended</v>
      </c>
      <c r="U91" t="str">
        <f t="shared" si="4"/>
        <v>OI48267 California</v>
      </c>
      <c r="X91" s="4">
        <f t="shared" si="5"/>
        <v>604702.52</v>
      </c>
    </row>
    <row r="92" spans="1:24" x14ac:dyDescent="0.35">
      <c r="A92" t="s">
        <v>128</v>
      </c>
      <c r="B92" t="s">
        <v>33</v>
      </c>
      <c r="C92" t="s">
        <v>17</v>
      </c>
      <c r="D92" t="s">
        <v>35</v>
      </c>
      <c r="E92" s="5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  <c r="S92" t="str">
        <f t="shared" si="3"/>
        <v>Recomendado</v>
      </c>
      <c r="T92" t="str">
        <f>VLOOKUP(A92,AssuranceTable,2,FALSE)</f>
        <v>Premium</v>
      </c>
      <c r="U92" t="str">
        <f t="shared" si="4"/>
        <v>JY67916 Oregon</v>
      </c>
      <c r="X92" s="4">
        <f t="shared" si="5"/>
        <v>1317101.28</v>
      </c>
    </row>
    <row r="93" spans="1:24" x14ac:dyDescent="0.35">
      <c r="A93" t="s">
        <v>129</v>
      </c>
      <c r="B93" t="s">
        <v>3</v>
      </c>
      <c r="C93" t="s">
        <v>21</v>
      </c>
      <c r="D93" t="s">
        <v>35</v>
      </c>
      <c r="E93" s="5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  <c r="S93" t="str">
        <f t="shared" si="3"/>
        <v>No recomendado</v>
      </c>
      <c r="T93" t="str">
        <f>VLOOKUP(A93,AssuranceTable,2,FALSE)</f>
        <v>Extended</v>
      </c>
      <c r="U93" t="str">
        <f t="shared" si="4"/>
        <v>OW15518 Washington</v>
      </c>
      <c r="X93" s="4">
        <f t="shared" si="5"/>
        <v>1595001.95</v>
      </c>
    </row>
    <row r="94" spans="1:24" x14ac:dyDescent="0.35">
      <c r="A94" t="s">
        <v>130</v>
      </c>
      <c r="B94" t="s">
        <v>33</v>
      </c>
      <c r="C94" t="s">
        <v>17</v>
      </c>
      <c r="D94" t="s">
        <v>4</v>
      </c>
      <c r="E94" s="5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  <c r="S94" t="str">
        <f t="shared" si="3"/>
        <v>Recomendado</v>
      </c>
      <c r="T94" t="str">
        <f>VLOOKUP(A94,AssuranceTable,2,FALSE)</f>
        <v>Basic</v>
      </c>
      <c r="U94" t="str">
        <f t="shared" si="4"/>
        <v>CZ33664 Oregon</v>
      </c>
      <c r="X94" s="4">
        <f t="shared" si="5"/>
        <v>252765.38</v>
      </c>
    </row>
    <row r="95" spans="1:24" x14ac:dyDescent="0.35">
      <c r="A95" t="s">
        <v>131</v>
      </c>
      <c r="B95" t="s">
        <v>33</v>
      </c>
      <c r="C95" t="s">
        <v>17</v>
      </c>
      <c r="D95" t="s">
        <v>4</v>
      </c>
      <c r="E95" s="5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S95" t="str">
        <f t="shared" si="3"/>
        <v>Recomendado</v>
      </c>
      <c r="T95" t="str">
        <f>VLOOKUP(A95,AssuranceTable,2,FALSE)</f>
        <v>Basic</v>
      </c>
      <c r="U95" t="str">
        <f t="shared" si="4"/>
        <v>WK30175 Oregon</v>
      </c>
      <c r="X95" s="4">
        <f t="shared" si="5"/>
        <v>267209.58</v>
      </c>
    </row>
    <row r="96" spans="1:24" x14ac:dyDescent="0.35">
      <c r="A96" t="s">
        <v>132</v>
      </c>
      <c r="B96" t="s">
        <v>26</v>
      </c>
      <c r="C96" t="s">
        <v>17</v>
      </c>
      <c r="D96" t="s">
        <v>31</v>
      </c>
      <c r="E96" s="5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  <c r="S96" t="str">
        <f t="shared" si="3"/>
        <v>No recomendado</v>
      </c>
      <c r="T96" t="str">
        <f>VLOOKUP(A96,AssuranceTable,2,FALSE)</f>
        <v>Extended</v>
      </c>
      <c r="U96" t="str">
        <f t="shared" si="4"/>
        <v>ON44465 California</v>
      </c>
      <c r="X96" s="4">
        <f t="shared" si="5"/>
        <v>531329.4</v>
      </c>
    </row>
    <row r="97" spans="1:24" x14ac:dyDescent="0.35">
      <c r="A97" t="s">
        <v>133</v>
      </c>
      <c r="B97" t="s">
        <v>33</v>
      </c>
      <c r="C97" t="s">
        <v>17</v>
      </c>
      <c r="D97" t="s">
        <v>4</v>
      </c>
      <c r="E97" s="5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  <c r="S97" t="str">
        <f t="shared" si="3"/>
        <v>Recomendado</v>
      </c>
      <c r="T97" t="str">
        <f>VLOOKUP(A97,AssuranceTable,2,FALSE)</f>
        <v>Basic</v>
      </c>
      <c r="U97" t="str">
        <f t="shared" si="4"/>
        <v>TV87155 Oregon</v>
      </c>
      <c r="X97" s="4">
        <f t="shared" si="5"/>
        <v>2094619.25</v>
      </c>
    </row>
    <row r="98" spans="1:24" x14ac:dyDescent="0.35">
      <c r="A98" t="s">
        <v>134</v>
      </c>
      <c r="B98" t="s">
        <v>61</v>
      </c>
      <c r="C98" t="s">
        <v>17</v>
      </c>
      <c r="D98" t="s">
        <v>2</v>
      </c>
      <c r="E98" s="5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  <c r="S98" t="str">
        <f t="shared" si="3"/>
        <v>Recomendado</v>
      </c>
      <c r="T98" t="str">
        <f>VLOOKUP(A98,AssuranceTable,2,FALSE)</f>
        <v>Basic</v>
      </c>
      <c r="U98" t="str">
        <f t="shared" si="4"/>
        <v>KH48895 AZ</v>
      </c>
      <c r="X98" s="4">
        <f t="shared" si="5"/>
        <v>837535.39</v>
      </c>
    </row>
    <row r="99" spans="1:24" x14ac:dyDescent="0.35">
      <c r="A99" t="s">
        <v>135</v>
      </c>
      <c r="B99" t="s">
        <v>26</v>
      </c>
      <c r="C99" t="s">
        <v>17</v>
      </c>
      <c r="D99" t="s">
        <v>4</v>
      </c>
      <c r="E99" s="5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  <c r="S99" t="str">
        <f t="shared" si="3"/>
        <v>Recomendado</v>
      </c>
      <c r="T99" t="str">
        <f>VLOOKUP(A99,AssuranceTable,2,FALSE)</f>
        <v>Basic</v>
      </c>
      <c r="U99" t="str">
        <f t="shared" si="4"/>
        <v>NZ30757 California</v>
      </c>
      <c r="X99" s="4">
        <f t="shared" si="5"/>
        <v>480166.15</v>
      </c>
    </row>
    <row r="100" spans="1:24" x14ac:dyDescent="0.35">
      <c r="A100" t="s">
        <v>136</v>
      </c>
      <c r="B100" t="s">
        <v>61</v>
      </c>
      <c r="C100" t="s">
        <v>17</v>
      </c>
      <c r="D100" t="s">
        <v>4</v>
      </c>
      <c r="E100" s="5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  <c r="S100" t="str">
        <f t="shared" si="3"/>
        <v>Recomendado</v>
      </c>
      <c r="T100" t="str">
        <f>VLOOKUP(A100,AssuranceTable,2,FALSE)</f>
        <v>Basic</v>
      </c>
      <c r="U100" t="str">
        <f t="shared" si="4"/>
        <v>RI22468 AZ</v>
      </c>
      <c r="X100" s="4">
        <f t="shared" si="5"/>
        <v>574594.32999999996</v>
      </c>
    </row>
    <row r="101" spans="1:24" x14ac:dyDescent="0.35">
      <c r="A101" t="s">
        <v>137</v>
      </c>
      <c r="B101" t="s">
        <v>33</v>
      </c>
      <c r="C101" t="s">
        <v>17</v>
      </c>
      <c r="D101" t="s">
        <v>35</v>
      </c>
      <c r="E101" s="5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  <c r="S101" t="str">
        <f t="shared" si="3"/>
        <v>Recomendado</v>
      </c>
      <c r="T101" t="str">
        <f>VLOOKUP(A101,AssuranceTable,2,FALSE)</f>
        <v>Extended</v>
      </c>
      <c r="U101" t="str">
        <f t="shared" si="4"/>
        <v>FZ30935 Oregon</v>
      </c>
      <c r="X101" s="4">
        <f t="shared" si="5"/>
        <v>606611.6</v>
      </c>
    </row>
    <row r="102" spans="1:24" x14ac:dyDescent="0.35">
      <c r="A102" t="s">
        <v>138</v>
      </c>
      <c r="B102" t="s">
        <v>26</v>
      </c>
      <c r="C102" t="s">
        <v>17</v>
      </c>
      <c r="D102" t="s">
        <v>35</v>
      </c>
      <c r="E102" s="5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  <c r="S102" t="str">
        <f t="shared" si="3"/>
        <v>No recomendado</v>
      </c>
      <c r="T102" t="str">
        <f>VLOOKUP(A102,AssuranceTable,2,FALSE)</f>
        <v>Basic</v>
      </c>
      <c r="U102" t="str">
        <f t="shared" si="4"/>
        <v>UG93476 California</v>
      </c>
      <c r="X102" s="4">
        <f t="shared" si="5"/>
        <v>800230.83</v>
      </c>
    </row>
    <row r="103" spans="1:24" x14ac:dyDescent="0.35">
      <c r="A103" t="s">
        <v>139</v>
      </c>
      <c r="B103" t="s">
        <v>26</v>
      </c>
      <c r="C103" t="s">
        <v>17</v>
      </c>
      <c r="D103" t="s">
        <v>35</v>
      </c>
      <c r="E103" s="5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  <c r="S103" t="str">
        <f t="shared" si="3"/>
        <v>No recomendado</v>
      </c>
      <c r="T103" t="str">
        <f>VLOOKUP(A103,AssuranceTable,2,FALSE)</f>
        <v>Basic</v>
      </c>
      <c r="U103" t="str">
        <f t="shared" si="4"/>
        <v>AB96670 California</v>
      </c>
      <c r="X103" s="4">
        <f t="shared" si="5"/>
        <v>239391.54</v>
      </c>
    </row>
    <row r="104" spans="1:24" x14ac:dyDescent="0.35">
      <c r="A104" t="s">
        <v>140</v>
      </c>
      <c r="B104" t="s">
        <v>33</v>
      </c>
      <c r="C104" t="s">
        <v>17</v>
      </c>
      <c r="D104" t="s">
        <v>4</v>
      </c>
      <c r="E104" s="5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S104" t="str">
        <f t="shared" si="3"/>
        <v>Recomendado</v>
      </c>
      <c r="T104" t="str">
        <f>VLOOKUP(A104,AssuranceTable,2,FALSE)</f>
        <v>Basic</v>
      </c>
      <c r="U104" t="str">
        <f t="shared" si="4"/>
        <v>XK64261 Oregon</v>
      </c>
      <c r="X104" s="4">
        <f t="shared" si="5"/>
        <v>476281.79</v>
      </c>
    </row>
    <row r="105" spans="1:24" x14ac:dyDescent="0.35">
      <c r="A105" t="s">
        <v>141</v>
      </c>
      <c r="B105" t="s">
        <v>26</v>
      </c>
      <c r="C105" t="s">
        <v>17</v>
      </c>
      <c r="D105" t="s">
        <v>35</v>
      </c>
      <c r="E105" s="5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  <c r="S105" t="str">
        <f t="shared" si="3"/>
        <v>Recomendado</v>
      </c>
      <c r="T105" t="str">
        <f>VLOOKUP(A105,AssuranceTable,2,FALSE)</f>
        <v>Premium</v>
      </c>
      <c r="U105" t="str">
        <f t="shared" si="4"/>
        <v>EV68375 California</v>
      </c>
      <c r="X105" s="4">
        <f t="shared" si="5"/>
        <v>433038.6</v>
      </c>
    </row>
    <row r="106" spans="1:24" x14ac:dyDescent="0.35">
      <c r="A106" t="s">
        <v>142</v>
      </c>
      <c r="B106" t="s">
        <v>26</v>
      </c>
      <c r="C106" t="s">
        <v>17</v>
      </c>
      <c r="D106" t="s">
        <v>31</v>
      </c>
      <c r="E106" s="5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  <c r="S106" t="str">
        <f t="shared" si="3"/>
        <v>No recomendado</v>
      </c>
      <c r="T106" t="str">
        <f>VLOOKUP(A106,AssuranceTable,2,FALSE)</f>
        <v>Extended</v>
      </c>
      <c r="U106" t="str">
        <f t="shared" si="4"/>
        <v>UN51653 California</v>
      </c>
      <c r="X106" s="4">
        <f t="shared" si="5"/>
        <v>940272.98</v>
      </c>
    </row>
    <row r="107" spans="1:24" x14ac:dyDescent="0.35">
      <c r="A107" t="s">
        <v>143</v>
      </c>
      <c r="B107" t="s">
        <v>33</v>
      </c>
      <c r="C107" t="s">
        <v>17</v>
      </c>
      <c r="D107" t="s">
        <v>4</v>
      </c>
      <c r="E107" s="5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  <c r="S107" t="str">
        <f t="shared" si="3"/>
        <v>Recomendado</v>
      </c>
      <c r="T107" t="str">
        <f>VLOOKUP(A107,AssuranceTable,2,FALSE)</f>
        <v>Extended</v>
      </c>
      <c r="U107" t="str">
        <f t="shared" si="4"/>
        <v>TO96662 Oregon</v>
      </c>
      <c r="X107" s="4">
        <f t="shared" si="5"/>
        <v>696669.45</v>
      </c>
    </row>
    <row r="108" spans="1:24" x14ac:dyDescent="0.35">
      <c r="A108" t="s">
        <v>144</v>
      </c>
      <c r="B108" t="s">
        <v>26</v>
      </c>
      <c r="C108" t="s">
        <v>17</v>
      </c>
      <c r="D108" t="s">
        <v>4</v>
      </c>
      <c r="E108" s="5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  <c r="S108" t="str">
        <f t="shared" si="3"/>
        <v>Recomendado</v>
      </c>
      <c r="T108" t="str">
        <f>VLOOKUP(A108,AssuranceTable,2,FALSE)</f>
        <v>Basic</v>
      </c>
      <c r="U108" t="str">
        <f t="shared" si="4"/>
        <v>MR52087 California</v>
      </c>
      <c r="X108" s="4">
        <f t="shared" si="5"/>
        <v>769406.43</v>
      </c>
    </row>
    <row r="109" spans="1:24" x14ac:dyDescent="0.35">
      <c r="A109" t="s">
        <v>145</v>
      </c>
      <c r="B109" t="s">
        <v>33</v>
      </c>
      <c r="C109" t="s">
        <v>17</v>
      </c>
      <c r="D109" t="s">
        <v>31</v>
      </c>
      <c r="E109" s="5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  <c r="S109" t="str">
        <f t="shared" si="3"/>
        <v>No recomendado</v>
      </c>
      <c r="T109" t="str">
        <f>VLOOKUP(A109,AssuranceTable,2,FALSE)</f>
        <v>Basic</v>
      </c>
      <c r="U109" t="str">
        <f t="shared" si="4"/>
        <v>DE75225 Oregon</v>
      </c>
      <c r="X109" s="4">
        <f t="shared" si="5"/>
        <v>871756.11</v>
      </c>
    </row>
    <row r="110" spans="1:24" x14ac:dyDescent="0.35">
      <c r="A110" t="s">
        <v>146</v>
      </c>
      <c r="B110" t="s">
        <v>26</v>
      </c>
      <c r="C110" t="s">
        <v>17</v>
      </c>
      <c r="D110" t="s">
        <v>4</v>
      </c>
      <c r="E110" s="5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  <c r="S110" t="str">
        <f t="shared" si="3"/>
        <v>Recomendado</v>
      </c>
      <c r="T110" t="str">
        <f>VLOOKUP(A110,AssuranceTable,2,FALSE)</f>
        <v>Basic</v>
      </c>
      <c r="U110" t="str">
        <f t="shared" si="4"/>
        <v>EP80820 California</v>
      </c>
      <c r="X110" s="4">
        <f t="shared" si="5"/>
        <v>592874.85</v>
      </c>
    </row>
    <row r="111" spans="1:24" x14ac:dyDescent="0.35">
      <c r="A111" t="s">
        <v>147</v>
      </c>
      <c r="B111" t="s">
        <v>33</v>
      </c>
      <c r="C111" t="s">
        <v>17</v>
      </c>
      <c r="D111" t="s">
        <v>35</v>
      </c>
      <c r="E111" s="5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  <c r="S111" t="str">
        <f t="shared" si="3"/>
        <v>Recomendado</v>
      </c>
      <c r="T111" t="str">
        <f>VLOOKUP(A111,AssuranceTable,2,FALSE)</f>
        <v>Basic</v>
      </c>
      <c r="U111" t="str">
        <f t="shared" si="4"/>
        <v>GU99037 Oregon</v>
      </c>
      <c r="X111" s="4">
        <f t="shared" si="5"/>
        <v>245297.73</v>
      </c>
    </row>
    <row r="112" spans="1:24" x14ac:dyDescent="0.35">
      <c r="A112" t="s">
        <v>148</v>
      </c>
      <c r="B112" t="s">
        <v>26</v>
      </c>
      <c r="C112" t="s">
        <v>17</v>
      </c>
      <c r="D112" t="s">
        <v>35</v>
      </c>
      <c r="E112" s="5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  <c r="S112" t="str">
        <f t="shared" si="3"/>
        <v>Recomendado</v>
      </c>
      <c r="T112" t="str">
        <f>VLOOKUP(A112,AssuranceTable,2,FALSE)</f>
        <v>Extended</v>
      </c>
      <c r="U112" t="str">
        <f t="shared" si="4"/>
        <v>WI57118 California</v>
      </c>
      <c r="X112" s="4">
        <f t="shared" si="5"/>
        <v>670157.17000000004</v>
      </c>
    </row>
    <row r="113" spans="1:24" x14ac:dyDescent="0.35">
      <c r="A113" t="s">
        <v>149</v>
      </c>
      <c r="B113" t="s">
        <v>3</v>
      </c>
      <c r="C113" t="s">
        <v>27</v>
      </c>
      <c r="D113" t="s">
        <v>31</v>
      </c>
      <c r="E113" s="5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  <c r="S113" t="str">
        <f t="shared" si="3"/>
        <v>Recomendado</v>
      </c>
      <c r="T113" t="str">
        <f>VLOOKUP(A113,AssuranceTable,2,FALSE)</f>
        <v>Basic</v>
      </c>
      <c r="U113" t="str">
        <f t="shared" si="4"/>
        <v>GP39118 Washington</v>
      </c>
      <c r="X113" s="4">
        <f t="shared" si="5"/>
        <v>499655.27</v>
      </c>
    </row>
    <row r="114" spans="1:24" x14ac:dyDescent="0.35">
      <c r="A114" t="s">
        <v>150</v>
      </c>
      <c r="B114" t="s">
        <v>61</v>
      </c>
      <c r="C114" t="s">
        <v>17</v>
      </c>
      <c r="D114" t="s">
        <v>35</v>
      </c>
      <c r="E114" s="5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  <c r="S114" t="str">
        <f t="shared" si="3"/>
        <v>Recomendado</v>
      </c>
      <c r="T114" t="str">
        <f>VLOOKUP(A114,AssuranceTable,2,FALSE)</f>
        <v>Basic</v>
      </c>
      <c r="U114" t="str">
        <f t="shared" si="4"/>
        <v>MQ14219 AZ</v>
      </c>
      <c r="X114" s="4">
        <f t="shared" si="5"/>
        <v>849269.88</v>
      </c>
    </row>
    <row r="115" spans="1:24" x14ac:dyDescent="0.35">
      <c r="A115" t="s">
        <v>151</v>
      </c>
      <c r="B115" t="s">
        <v>33</v>
      </c>
      <c r="C115" t="s">
        <v>17</v>
      </c>
      <c r="D115" t="s">
        <v>4</v>
      </c>
      <c r="E115" s="5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  <c r="S115" t="str">
        <f t="shared" si="3"/>
        <v>Recomendado</v>
      </c>
      <c r="T115" t="str">
        <f>VLOOKUP(A115,AssuranceTable,2,FALSE)</f>
        <v>Basic</v>
      </c>
      <c r="U115" t="str">
        <f t="shared" si="4"/>
        <v>KN20603 Oregon</v>
      </c>
      <c r="X115" s="4">
        <f t="shared" si="5"/>
        <v>771349.4</v>
      </c>
    </row>
    <row r="116" spans="1:24" x14ac:dyDescent="0.35">
      <c r="A116" t="s">
        <v>152</v>
      </c>
      <c r="B116" t="s">
        <v>3</v>
      </c>
      <c r="C116" t="s">
        <v>21</v>
      </c>
      <c r="D116" t="s">
        <v>2</v>
      </c>
      <c r="E116" s="5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  <c r="S116" t="str">
        <f t="shared" si="3"/>
        <v>Recomendado</v>
      </c>
      <c r="T116" t="str">
        <f>VLOOKUP(A116,AssuranceTable,2,FALSE)</f>
        <v>Basic</v>
      </c>
      <c r="U116" t="str">
        <f t="shared" si="4"/>
        <v>SG20925 Washington</v>
      </c>
      <c r="X116" s="4">
        <f t="shared" si="5"/>
        <v>518579.76</v>
      </c>
    </row>
    <row r="117" spans="1:24" x14ac:dyDescent="0.35">
      <c r="A117" t="s">
        <v>153</v>
      </c>
      <c r="B117" t="s">
        <v>26</v>
      </c>
      <c r="C117" t="s">
        <v>17</v>
      </c>
      <c r="D117" t="s">
        <v>31</v>
      </c>
      <c r="E117" s="5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S117" t="str">
        <f t="shared" si="3"/>
        <v>No recomendado</v>
      </c>
      <c r="T117" t="str">
        <f>VLOOKUP(A117,AssuranceTable,2,FALSE)</f>
        <v>Basic</v>
      </c>
      <c r="U117" t="str">
        <f t="shared" si="4"/>
        <v>JI70886 California</v>
      </c>
      <c r="X117" s="4">
        <f t="shared" si="5"/>
        <v>729006.98</v>
      </c>
    </row>
    <row r="118" spans="1:24" x14ac:dyDescent="0.35">
      <c r="A118" t="s">
        <v>154</v>
      </c>
      <c r="B118" t="s">
        <v>33</v>
      </c>
      <c r="C118" t="s">
        <v>17</v>
      </c>
      <c r="D118" t="s">
        <v>31</v>
      </c>
      <c r="E118" s="5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  <c r="S118" t="str">
        <f t="shared" si="3"/>
        <v>Recomendado</v>
      </c>
      <c r="T118" t="str">
        <f>VLOOKUP(A118,AssuranceTable,2,FALSE)</f>
        <v>Extended</v>
      </c>
      <c r="U118" t="str">
        <f t="shared" si="4"/>
        <v>VF72557 Oregon</v>
      </c>
      <c r="X118" s="4">
        <f t="shared" si="5"/>
        <v>477294.38</v>
      </c>
    </row>
    <row r="119" spans="1:24" x14ac:dyDescent="0.35">
      <c r="A119" t="s">
        <v>155</v>
      </c>
      <c r="B119" t="s">
        <v>61</v>
      </c>
      <c r="C119" t="s">
        <v>17</v>
      </c>
      <c r="D119" t="s">
        <v>31</v>
      </c>
      <c r="E119" s="5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  <c r="S119" t="str">
        <f t="shared" si="3"/>
        <v>Recomendado</v>
      </c>
      <c r="T119" t="str">
        <f>VLOOKUP(A119,AssuranceTable,2,FALSE)</f>
        <v>Extended</v>
      </c>
      <c r="U119" t="str">
        <f t="shared" si="4"/>
        <v>OX28638 AZ</v>
      </c>
      <c r="X119" s="4">
        <f t="shared" si="5"/>
        <v>680649.14</v>
      </c>
    </row>
    <row r="120" spans="1:24" x14ac:dyDescent="0.35">
      <c r="A120" t="s">
        <v>156</v>
      </c>
      <c r="B120" t="s">
        <v>26</v>
      </c>
      <c r="C120" t="s">
        <v>17</v>
      </c>
      <c r="D120" t="s">
        <v>4</v>
      </c>
      <c r="E120" s="5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  <c r="S120" t="str">
        <f t="shared" si="3"/>
        <v>Recomendado</v>
      </c>
      <c r="T120" t="str">
        <f>VLOOKUP(A120,AssuranceTable,2,FALSE)</f>
        <v>Basic</v>
      </c>
      <c r="U120" t="str">
        <f t="shared" si="4"/>
        <v>SK55033 California</v>
      </c>
      <c r="X120" s="4">
        <f t="shared" si="5"/>
        <v>246978.13</v>
      </c>
    </row>
    <row r="121" spans="1:24" x14ac:dyDescent="0.35">
      <c r="A121" t="s">
        <v>157</v>
      </c>
      <c r="B121" t="s">
        <v>26</v>
      </c>
      <c r="C121" t="s">
        <v>17</v>
      </c>
      <c r="D121" t="s">
        <v>35</v>
      </c>
      <c r="E121" s="5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  <c r="S121" t="str">
        <f t="shared" si="3"/>
        <v>Recomendado</v>
      </c>
      <c r="T121" t="str">
        <f>VLOOKUP(A121,AssuranceTable,2,FALSE)</f>
        <v>Extended</v>
      </c>
      <c r="U121" t="str">
        <f t="shared" si="4"/>
        <v>OO88645 California</v>
      </c>
      <c r="X121" s="4">
        <f t="shared" si="5"/>
        <v>310392.3</v>
      </c>
    </row>
    <row r="122" spans="1:24" x14ac:dyDescent="0.35">
      <c r="A122" t="s">
        <v>158</v>
      </c>
      <c r="B122" t="s">
        <v>3</v>
      </c>
      <c r="C122" t="s">
        <v>21</v>
      </c>
      <c r="D122" t="s">
        <v>35</v>
      </c>
      <c r="E122" s="5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  <c r="S122" t="str">
        <f t="shared" si="3"/>
        <v>Recomendado</v>
      </c>
      <c r="T122" t="str">
        <f>VLOOKUP(A122,AssuranceTable,2,FALSE)</f>
        <v>Extended</v>
      </c>
      <c r="U122" t="str">
        <f t="shared" si="4"/>
        <v>FM14335 Washington</v>
      </c>
      <c r="X122" s="4">
        <f t="shared" si="5"/>
        <v>1048491.54</v>
      </c>
    </row>
    <row r="123" spans="1:24" x14ac:dyDescent="0.35">
      <c r="A123" t="s">
        <v>159</v>
      </c>
      <c r="B123" t="s">
        <v>26</v>
      </c>
      <c r="C123" t="s">
        <v>17</v>
      </c>
      <c r="D123" t="s">
        <v>4</v>
      </c>
      <c r="E123" s="5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  <c r="S123" t="str">
        <f t="shared" si="3"/>
        <v>Recomendado</v>
      </c>
      <c r="T123" t="str">
        <f>VLOOKUP(A123,AssuranceTable,2,FALSE)</f>
        <v>Basic</v>
      </c>
      <c r="U123" t="str">
        <f t="shared" si="4"/>
        <v>CW82151 California</v>
      </c>
      <c r="X123" s="4">
        <f t="shared" si="5"/>
        <v>890273.76</v>
      </c>
    </row>
    <row r="124" spans="1:24" x14ac:dyDescent="0.35">
      <c r="A124" t="s">
        <v>160</v>
      </c>
      <c r="B124" t="s">
        <v>33</v>
      </c>
      <c r="C124" t="s">
        <v>17</v>
      </c>
      <c r="D124" t="s">
        <v>31</v>
      </c>
      <c r="E124" s="5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  <c r="S124" t="str">
        <f t="shared" si="3"/>
        <v>Recomendado</v>
      </c>
      <c r="T124" t="str">
        <f>VLOOKUP(A124,AssuranceTable,2,FALSE)</f>
        <v>Basic</v>
      </c>
      <c r="U124" t="str">
        <f t="shared" si="4"/>
        <v>DY22043 Oregon</v>
      </c>
      <c r="X124" s="4">
        <f t="shared" si="5"/>
        <v>549944.72</v>
      </c>
    </row>
    <row r="125" spans="1:24" x14ac:dyDescent="0.35">
      <c r="A125" t="s">
        <v>161</v>
      </c>
      <c r="B125" t="s">
        <v>26</v>
      </c>
      <c r="C125" t="s">
        <v>17</v>
      </c>
      <c r="D125" t="s">
        <v>31</v>
      </c>
      <c r="E125" s="5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  <c r="S125" t="str">
        <f t="shared" si="3"/>
        <v>Recomendado</v>
      </c>
      <c r="T125" t="str">
        <f>VLOOKUP(A125,AssuranceTable,2,FALSE)</f>
        <v>Basic</v>
      </c>
      <c r="U125" t="str">
        <f t="shared" si="4"/>
        <v>SH36774 California</v>
      </c>
      <c r="X125" s="4">
        <f t="shared" si="5"/>
        <v>1502359.86</v>
      </c>
    </row>
    <row r="126" spans="1:24" x14ac:dyDescent="0.35">
      <c r="A126" t="s">
        <v>162</v>
      </c>
      <c r="B126" t="s">
        <v>23</v>
      </c>
      <c r="C126" t="s">
        <v>17</v>
      </c>
      <c r="D126" t="s">
        <v>4</v>
      </c>
      <c r="E126" s="5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  <c r="S126" t="str">
        <f t="shared" si="3"/>
        <v>Recomendado</v>
      </c>
      <c r="T126" t="str">
        <f>VLOOKUP(A126,AssuranceTable,2,FALSE)</f>
        <v>Basic</v>
      </c>
      <c r="U126" t="str">
        <f t="shared" si="4"/>
        <v>EM43724 Nevada</v>
      </c>
      <c r="X126" s="4">
        <f t="shared" si="5"/>
        <v>250910.79</v>
      </c>
    </row>
    <row r="127" spans="1:24" x14ac:dyDescent="0.35">
      <c r="A127" t="s">
        <v>163</v>
      </c>
      <c r="B127" t="s">
        <v>33</v>
      </c>
      <c r="C127" t="s">
        <v>17</v>
      </c>
      <c r="D127" t="s">
        <v>35</v>
      </c>
      <c r="E127" s="5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  <c r="S127" t="str">
        <f t="shared" si="3"/>
        <v>Recomendado</v>
      </c>
      <c r="T127" t="str">
        <f>VLOOKUP(A127,AssuranceTable,2,FALSE)</f>
        <v>Premium</v>
      </c>
      <c r="U127" t="str">
        <f t="shared" si="4"/>
        <v>FH85960 Oregon</v>
      </c>
      <c r="X127" s="4">
        <f t="shared" si="5"/>
        <v>3122174.81</v>
      </c>
    </row>
    <row r="128" spans="1:24" x14ac:dyDescent="0.35">
      <c r="A128" t="s">
        <v>164</v>
      </c>
      <c r="B128" t="s">
        <v>33</v>
      </c>
      <c r="C128" t="s">
        <v>17</v>
      </c>
      <c r="D128" t="s">
        <v>2</v>
      </c>
      <c r="E128" s="5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  <c r="S128" t="str">
        <f t="shared" si="3"/>
        <v>Recomendado</v>
      </c>
      <c r="T128" t="str">
        <f>VLOOKUP(A128,AssuranceTable,2,FALSE)</f>
        <v>Extended</v>
      </c>
      <c r="U128" t="str">
        <f t="shared" si="4"/>
        <v>XA55993 Oregon</v>
      </c>
      <c r="X128" s="4">
        <f t="shared" si="5"/>
        <v>313350.34000000003</v>
      </c>
    </row>
    <row r="129" spans="1:24" x14ac:dyDescent="0.35">
      <c r="A129" t="s">
        <v>165</v>
      </c>
      <c r="B129" t="s">
        <v>61</v>
      </c>
      <c r="C129" t="s">
        <v>17</v>
      </c>
      <c r="D129" t="s">
        <v>35</v>
      </c>
      <c r="E129" s="5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  <c r="S129" t="str">
        <f t="shared" si="3"/>
        <v>Recomendado</v>
      </c>
      <c r="T129" t="str">
        <f>VLOOKUP(A129,AssuranceTable,2,FALSE)</f>
        <v>Extended</v>
      </c>
      <c r="U129" t="str">
        <f t="shared" si="4"/>
        <v>GO36627 AZ</v>
      </c>
      <c r="X129" s="4">
        <f t="shared" si="5"/>
        <v>383745.19</v>
      </c>
    </row>
    <row r="130" spans="1:24" x14ac:dyDescent="0.35">
      <c r="A130" t="s">
        <v>166</v>
      </c>
      <c r="B130" t="s">
        <v>33</v>
      </c>
      <c r="C130" t="s">
        <v>17</v>
      </c>
      <c r="D130" t="s">
        <v>35</v>
      </c>
      <c r="E130" s="5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  <c r="S130" t="str">
        <f t="shared" si="3"/>
        <v>Recomendado</v>
      </c>
      <c r="T130" t="str">
        <f>VLOOKUP(A130,AssuranceTable,2,FALSE)</f>
        <v>Basic</v>
      </c>
      <c r="U130" t="str">
        <f t="shared" si="4"/>
        <v>QH48047 Oregon</v>
      </c>
      <c r="X130" s="4">
        <f t="shared" si="5"/>
        <v>1179049.6200000001</v>
      </c>
    </row>
    <row r="131" spans="1:24" x14ac:dyDescent="0.35">
      <c r="A131" t="s">
        <v>167</v>
      </c>
      <c r="B131" t="s">
        <v>3</v>
      </c>
      <c r="C131" t="s">
        <v>21</v>
      </c>
      <c r="D131" t="s">
        <v>31</v>
      </c>
      <c r="E131" s="5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  <c r="S131" t="str">
        <f t="shared" ref="S131:S194" si="6">IF(F131&gt;3000,"Recomendado","No recomendado")</f>
        <v>Recomendado</v>
      </c>
      <c r="T131" t="str">
        <f>VLOOKUP(A131,AssuranceTable,2,FALSE)</f>
        <v>Basic</v>
      </c>
      <c r="U131" t="str">
        <f t="shared" ref="U131:U194" si="7">_xlfn.CONCAT(A131, " ",B131)</f>
        <v>HS28694 Washington</v>
      </c>
      <c r="X131" s="4">
        <f t="shared" ref="X131:X194" si="8">ROUND(E131,3)</f>
        <v>282986.39</v>
      </c>
    </row>
    <row r="132" spans="1:24" x14ac:dyDescent="0.35">
      <c r="A132" t="s">
        <v>168</v>
      </c>
      <c r="B132" t="s">
        <v>61</v>
      </c>
      <c r="C132" t="s">
        <v>17</v>
      </c>
      <c r="D132" t="s">
        <v>31</v>
      </c>
      <c r="E132" s="5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  <c r="S132" t="str">
        <f t="shared" si="6"/>
        <v>Recomendado</v>
      </c>
      <c r="T132" t="str">
        <f>VLOOKUP(A132,AssuranceTable,2,FALSE)</f>
        <v>Basic</v>
      </c>
      <c r="U132" t="str">
        <f t="shared" si="7"/>
        <v>UH65059 AZ</v>
      </c>
      <c r="X132" s="4">
        <f t="shared" si="8"/>
        <v>430580.83</v>
      </c>
    </row>
    <row r="133" spans="1:24" x14ac:dyDescent="0.35">
      <c r="A133" t="s">
        <v>169</v>
      </c>
      <c r="B133" t="s">
        <v>23</v>
      </c>
      <c r="C133" t="s">
        <v>17</v>
      </c>
      <c r="D133" t="s">
        <v>4</v>
      </c>
      <c r="E133" s="5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  <c r="S133" t="str">
        <f t="shared" si="6"/>
        <v>Recomendado</v>
      </c>
      <c r="T133" t="str">
        <f>VLOOKUP(A133,AssuranceTable,2,FALSE)</f>
        <v>Basic</v>
      </c>
      <c r="U133" t="str">
        <f t="shared" si="7"/>
        <v>FV21968 Nevada</v>
      </c>
      <c r="X133" s="4">
        <f t="shared" si="8"/>
        <v>597397.68999999994</v>
      </c>
    </row>
    <row r="134" spans="1:24" x14ac:dyDescent="0.35">
      <c r="A134" t="s">
        <v>170</v>
      </c>
      <c r="B134" t="s">
        <v>33</v>
      </c>
      <c r="C134" t="s">
        <v>17</v>
      </c>
      <c r="D134" t="s">
        <v>4</v>
      </c>
      <c r="E134" s="5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  <c r="S134" t="str">
        <f t="shared" si="6"/>
        <v>Recomendado</v>
      </c>
      <c r="T134" t="str">
        <f>VLOOKUP(A134,AssuranceTable,2,FALSE)</f>
        <v>Basic</v>
      </c>
      <c r="U134" t="str">
        <f t="shared" si="7"/>
        <v>QA87025 Oregon</v>
      </c>
      <c r="X134" s="4">
        <f t="shared" si="8"/>
        <v>567044.24</v>
      </c>
    </row>
    <row r="135" spans="1:24" x14ac:dyDescent="0.35">
      <c r="A135" t="s">
        <v>171</v>
      </c>
      <c r="B135" t="s">
        <v>61</v>
      </c>
      <c r="C135" t="s">
        <v>17</v>
      </c>
      <c r="D135" t="s">
        <v>35</v>
      </c>
      <c r="E135" s="5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  <c r="S135" t="str">
        <f t="shared" si="6"/>
        <v>Recomendado</v>
      </c>
      <c r="T135" t="str">
        <f>VLOOKUP(A135,AssuranceTable,2,FALSE)</f>
        <v>Premium</v>
      </c>
      <c r="U135" t="str">
        <f t="shared" si="7"/>
        <v>TQ13499 AZ</v>
      </c>
      <c r="X135" s="4">
        <f t="shared" si="8"/>
        <v>473174.93</v>
      </c>
    </row>
    <row r="136" spans="1:24" x14ac:dyDescent="0.35">
      <c r="A136" t="s">
        <v>172</v>
      </c>
      <c r="B136" t="s">
        <v>61</v>
      </c>
      <c r="C136" t="s">
        <v>17</v>
      </c>
      <c r="D136" t="s">
        <v>31</v>
      </c>
      <c r="E136" s="5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  <c r="S136" t="str">
        <f t="shared" si="6"/>
        <v>No recomendado</v>
      </c>
      <c r="T136" t="str">
        <f>VLOOKUP(A136,AssuranceTable,2,FALSE)</f>
        <v>Basic</v>
      </c>
      <c r="U136" t="str">
        <f t="shared" si="7"/>
        <v>BU44523 AZ</v>
      </c>
      <c r="X136" s="4">
        <f t="shared" si="8"/>
        <v>802637.96</v>
      </c>
    </row>
    <row r="137" spans="1:24" x14ac:dyDescent="0.35">
      <c r="A137" t="s">
        <v>173</v>
      </c>
      <c r="B137" t="s">
        <v>61</v>
      </c>
      <c r="C137" t="s">
        <v>17</v>
      </c>
      <c r="D137" t="s">
        <v>31</v>
      </c>
      <c r="E137" s="5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  <c r="S137" t="str">
        <f t="shared" si="6"/>
        <v>No recomendado</v>
      </c>
      <c r="T137" t="str">
        <f>VLOOKUP(A137,AssuranceTable,2,FALSE)</f>
        <v>Basic</v>
      </c>
      <c r="U137" t="str">
        <f t="shared" si="7"/>
        <v>MS41162 AZ</v>
      </c>
      <c r="X137" s="4">
        <f t="shared" si="8"/>
        <v>402296.35</v>
      </c>
    </row>
    <row r="138" spans="1:24" x14ac:dyDescent="0.35">
      <c r="A138" t="s">
        <v>174</v>
      </c>
      <c r="B138" t="s">
        <v>33</v>
      </c>
      <c r="C138" t="s">
        <v>17</v>
      </c>
      <c r="D138" t="s">
        <v>31</v>
      </c>
      <c r="E138" s="5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S138" t="str">
        <f t="shared" si="6"/>
        <v>Recomendado</v>
      </c>
      <c r="T138" t="str">
        <f>VLOOKUP(A138,AssuranceTable,2,FALSE)</f>
        <v>Basic</v>
      </c>
      <c r="U138" t="str">
        <f t="shared" si="7"/>
        <v>PU25891 Oregon</v>
      </c>
      <c r="X138" s="4">
        <f t="shared" si="8"/>
        <v>961831.09</v>
      </c>
    </row>
    <row r="139" spans="1:24" x14ac:dyDescent="0.35">
      <c r="A139" t="s">
        <v>175</v>
      </c>
      <c r="B139" t="s">
        <v>3</v>
      </c>
      <c r="C139" t="s">
        <v>21</v>
      </c>
      <c r="D139" t="s">
        <v>53</v>
      </c>
      <c r="E139" s="5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  <c r="S139" t="str">
        <f t="shared" si="6"/>
        <v>Recomendado</v>
      </c>
      <c r="T139" t="str">
        <f>VLOOKUP(A139,AssuranceTable,2,FALSE)</f>
        <v>Extended</v>
      </c>
      <c r="U139" t="str">
        <f t="shared" si="7"/>
        <v>LH92841 Washington</v>
      </c>
      <c r="X139" s="4">
        <f t="shared" si="8"/>
        <v>725595.38</v>
      </c>
    </row>
    <row r="140" spans="1:24" x14ac:dyDescent="0.35">
      <c r="A140" t="s">
        <v>176</v>
      </c>
      <c r="B140" t="s">
        <v>33</v>
      </c>
      <c r="C140" t="s">
        <v>17</v>
      </c>
      <c r="D140" t="s">
        <v>35</v>
      </c>
      <c r="E140" s="5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  <c r="S140" t="str">
        <f t="shared" si="6"/>
        <v>Recomendado</v>
      </c>
      <c r="T140" t="str">
        <f>VLOOKUP(A140,AssuranceTable,2,FALSE)</f>
        <v>Extended</v>
      </c>
      <c r="U140" t="str">
        <f t="shared" si="7"/>
        <v>SX26335 Oregon</v>
      </c>
      <c r="X140" s="4">
        <f t="shared" si="8"/>
        <v>955292.69</v>
      </c>
    </row>
    <row r="141" spans="1:24" x14ac:dyDescent="0.35">
      <c r="A141" t="s">
        <v>177</v>
      </c>
      <c r="B141" t="s">
        <v>61</v>
      </c>
      <c r="C141" t="s">
        <v>21</v>
      </c>
      <c r="D141" t="s">
        <v>4</v>
      </c>
      <c r="E141" s="5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  <c r="S141" t="str">
        <f t="shared" si="6"/>
        <v>Recomendado</v>
      </c>
      <c r="T141" t="str">
        <f>VLOOKUP(A141,AssuranceTable,2,FALSE)</f>
        <v>Extended</v>
      </c>
      <c r="U141" t="str">
        <f t="shared" si="7"/>
        <v>AZ95587 AZ</v>
      </c>
      <c r="X141" s="4">
        <f t="shared" si="8"/>
        <v>1038855.32</v>
      </c>
    </row>
    <row r="142" spans="1:24" x14ac:dyDescent="0.35">
      <c r="A142" t="s">
        <v>178</v>
      </c>
      <c r="B142" t="s">
        <v>33</v>
      </c>
      <c r="C142" t="s">
        <v>27</v>
      </c>
      <c r="D142" t="s">
        <v>35</v>
      </c>
      <c r="E142" s="5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  <c r="S142" t="str">
        <f t="shared" si="6"/>
        <v>No recomendado</v>
      </c>
      <c r="T142" t="str">
        <f>VLOOKUP(A142,AssuranceTable,2,FALSE)</f>
        <v>Basic</v>
      </c>
      <c r="U142" t="str">
        <f t="shared" si="7"/>
        <v>DS81757 Oregon</v>
      </c>
      <c r="X142" s="4">
        <f t="shared" si="8"/>
        <v>247012.12</v>
      </c>
    </row>
    <row r="143" spans="1:24" x14ac:dyDescent="0.35">
      <c r="A143" t="s">
        <v>179</v>
      </c>
      <c r="B143" t="s">
        <v>61</v>
      </c>
      <c r="C143" t="s">
        <v>27</v>
      </c>
      <c r="D143" t="s">
        <v>2</v>
      </c>
      <c r="E143" s="5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  <c r="S143" t="str">
        <f t="shared" si="6"/>
        <v>Recomendado</v>
      </c>
      <c r="T143" t="str">
        <f>VLOOKUP(A143,AssuranceTable,2,FALSE)</f>
        <v>Premium</v>
      </c>
      <c r="U143" t="str">
        <f t="shared" si="7"/>
        <v>OJ94107 AZ</v>
      </c>
      <c r="X143" s="4">
        <f t="shared" si="8"/>
        <v>561906.85</v>
      </c>
    </row>
    <row r="144" spans="1:24" x14ac:dyDescent="0.35">
      <c r="A144" t="s">
        <v>180</v>
      </c>
      <c r="B144" t="s">
        <v>26</v>
      </c>
      <c r="C144" t="s">
        <v>21</v>
      </c>
      <c r="D144" t="s">
        <v>31</v>
      </c>
      <c r="E144" s="5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  <c r="S144" t="str">
        <f t="shared" si="6"/>
        <v>No recomendado</v>
      </c>
      <c r="T144" t="str">
        <f>VLOOKUP(A144,AssuranceTable,2,FALSE)</f>
        <v>Extended</v>
      </c>
      <c r="U144" t="str">
        <f t="shared" si="7"/>
        <v>LP84436 California</v>
      </c>
      <c r="X144" s="4">
        <f t="shared" si="8"/>
        <v>904711.92</v>
      </c>
    </row>
    <row r="145" spans="1:24" x14ac:dyDescent="0.35">
      <c r="A145" t="s">
        <v>181</v>
      </c>
      <c r="B145" t="s">
        <v>3</v>
      </c>
      <c r="C145" t="s">
        <v>21</v>
      </c>
      <c r="D145" t="s">
        <v>80</v>
      </c>
      <c r="E145" s="5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  <c r="S145" t="str">
        <f t="shared" si="6"/>
        <v>Recomendado</v>
      </c>
      <c r="T145" t="str">
        <f>VLOOKUP(A145,AssuranceTable,2,FALSE)</f>
        <v>Basic</v>
      </c>
      <c r="U145" t="str">
        <f t="shared" si="7"/>
        <v>FF22360 Washington</v>
      </c>
      <c r="X145" s="4">
        <f t="shared" si="8"/>
        <v>268731.40999999997</v>
      </c>
    </row>
    <row r="146" spans="1:24" x14ac:dyDescent="0.35">
      <c r="A146" t="s">
        <v>182</v>
      </c>
      <c r="B146" t="s">
        <v>33</v>
      </c>
      <c r="C146" t="s">
        <v>21</v>
      </c>
      <c r="D146" t="s">
        <v>31</v>
      </c>
      <c r="E146" s="5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  <c r="S146" t="str">
        <f t="shared" si="6"/>
        <v>No recomendado</v>
      </c>
      <c r="T146" t="str">
        <f>VLOOKUP(A146,AssuranceTable,2,FALSE)</f>
        <v>Extended</v>
      </c>
      <c r="U146" t="str">
        <f t="shared" si="7"/>
        <v>LM19287 Oregon</v>
      </c>
      <c r="X146" s="4">
        <f t="shared" si="8"/>
        <v>373150.46</v>
      </c>
    </row>
    <row r="147" spans="1:24" x14ac:dyDescent="0.35">
      <c r="A147" t="s">
        <v>183</v>
      </c>
      <c r="B147" t="s">
        <v>23</v>
      </c>
      <c r="C147" t="s">
        <v>27</v>
      </c>
      <c r="D147" t="s">
        <v>4</v>
      </c>
      <c r="E147" s="5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  <c r="S147" t="str">
        <f t="shared" si="6"/>
        <v>Recomendado</v>
      </c>
      <c r="T147" t="str">
        <f>VLOOKUP(A147,AssuranceTable,2,FALSE)</f>
        <v>Extended</v>
      </c>
      <c r="U147" t="str">
        <f t="shared" si="7"/>
        <v>ZU18643 Nevada</v>
      </c>
      <c r="X147" s="4">
        <f t="shared" si="8"/>
        <v>366077.03</v>
      </c>
    </row>
    <row r="148" spans="1:24" x14ac:dyDescent="0.35">
      <c r="A148" t="s">
        <v>184</v>
      </c>
      <c r="B148" t="s">
        <v>26</v>
      </c>
      <c r="C148" t="s">
        <v>21</v>
      </c>
      <c r="D148" t="s">
        <v>35</v>
      </c>
      <c r="E148" s="5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  <c r="S148" t="str">
        <f t="shared" si="6"/>
        <v>No recomendado</v>
      </c>
      <c r="T148" t="str">
        <f>VLOOKUP(A148,AssuranceTable,2,FALSE)</f>
        <v>Basic</v>
      </c>
      <c r="U148" t="str">
        <f t="shared" si="7"/>
        <v>AZ82578 California</v>
      </c>
      <c r="X148" s="4">
        <f t="shared" si="8"/>
        <v>792882.93</v>
      </c>
    </row>
    <row r="149" spans="1:24" x14ac:dyDescent="0.35">
      <c r="A149" t="s">
        <v>185</v>
      </c>
      <c r="B149" t="s">
        <v>5</v>
      </c>
      <c r="C149" t="s">
        <v>21</v>
      </c>
      <c r="D149" t="s">
        <v>4</v>
      </c>
      <c r="E149" s="5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S149" t="str">
        <f t="shared" si="6"/>
        <v>Recomendado</v>
      </c>
      <c r="T149" t="str">
        <f>VLOOKUP(A149,AssuranceTable,2,FALSE)</f>
        <v>Basic</v>
      </c>
      <c r="U149" t="str">
        <f t="shared" si="7"/>
        <v>XC67861 Arizona</v>
      </c>
      <c r="X149" s="4">
        <f t="shared" si="8"/>
        <v>501175.16</v>
      </c>
    </row>
    <row r="150" spans="1:24" x14ac:dyDescent="0.35">
      <c r="A150" t="s">
        <v>186</v>
      </c>
      <c r="B150" t="s">
        <v>5</v>
      </c>
      <c r="C150" t="s">
        <v>21</v>
      </c>
      <c r="D150" t="s">
        <v>31</v>
      </c>
      <c r="E150" s="5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  <c r="S150" t="str">
        <f t="shared" si="6"/>
        <v>Recomendado</v>
      </c>
      <c r="T150" t="str">
        <f>VLOOKUP(A150,AssuranceTable,2,FALSE)</f>
        <v>Extended</v>
      </c>
      <c r="U150" t="str">
        <f t="shared" si="7"/>
        <v>YC43143 Arizona</v>
      </c>
      <c r="X150" s="4">
        <f t="shared" si="8"/>
        <v>798825.83</v>
      </c>
    </row>
    <row r="151" spans="1:24" x14ac:dyDescent="0.35">
      <c r="A151" t="s">
        <v>187</v>
      </c>
      <c r="B151" t="s">
        <v>33</v>
      </c>
      <c r="C151" t="s">
        <v>27</v>
      </c>
      <c r="D151" t="s">
        <v>35</v>
      </c>
      <c r="E151" s="5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  <c r="S151" t="str">
        <f t="shared" si="6"/>
        <v>No recomendado</v>
      </c>
      <c r="T151" t="str">
        <f>VLOOKUP(A151,AssuranceTable,2,FALSE)</f>
        <v>Premium</v>
      </c>
      <c r="U151" t="str">
        <f t="shared" si="7"/>
        <v>EK59571 Oregon</v>
      </c>
      <c r="X151" s="4">
        <f t="shared" si="8"/>
        <v>388545.64</v>
      </c>
    </row>
    <row r="152" spans="1:24" x14ac:dyDescent="0.35">
      <c r="A152" t="s">
        <v>188</v>
      </c>
      <c r="B152" t="s">
        <v>3</v>
      </c>
      <c r="C152" t="s">
        <v>21</v>
      </c>
      <c r="D152" t="s">
        <v>31</v>
      </c>
      <c r="E152" s="5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  <c r="S152" t="str">
        <f t="shared" si="6"/>
        <v>Recomendado</v>
      </c>
      <c r="T152" t="str">
        <f>VLOOKUP(A152,AssuranceTable,2,FALSE)</f>
        <v>Premium</v>
      </c>
      <c r="U152" t="str">
        <f t="shared" si="7"/>
        <v>PA38372 Washington</v>
      </c>
      <c r="X152" s="4">
        <f t="shared" si="8"/>
        <v>935773.78</v>
      </c>
    </row>
    <row r="153" spans="1:24" x14ac:dyDescent="0.35">
      <c r="A153" t="s">
        <v>189</v>
      </c>
      <c r="B153" t="s">
        <v>3</v>
      </c>
      <c r="C153" t="s">
        <v>27</v>
      </c>
      <c r="D153" t="s">
        <v>2</v>
      </c>
      <c r="E153" s="5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  <c r="S153" t="str">
        <f t="shared" si="6"/>
        <v>Recomendado</v>
      </c>
      <c r="T153" t="str">
        <f>VLOOKUP(A153,AssuranceTable,2,FALSE)</f>
        <v>Basic</v>
      </c>
      <c r="U153" t="str">
        <f t="shared" si="7"/>
        <v>RO18530 Washington</v>
      </c>
      <c r="X153" s="4">
        <f t="shared" si="8"/>
        <v>254068.98</v>
      </c>
    </row>
    <row r="154" spans="1:24" x14ac:dyDescent="0.35">
      <c r="A154" t="s">
        <v>190</v>
      </c>
      <c r="B154" t="s">
        <v>5</v>
      </c>
      <c r="C154" t="s">
        <v>27</v>
      </c>
      <c r="D154" t="s">
        <v>31</v>
      </c>
      <c r="E154" s="5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  <c r="S154" t="str">
        <f t="shared" si="6"/>
        <v>Recomendado</v>
      </c>
      <c r="T154" t="str">
        <f>VLOOKUP(A154,AssuranceTable,2,FALSE)</f>
        <v>Extended</v>
      </c>
      <c r="U154" t="str">
        <f t="shared" si="7"/>
        <v>PD27940 Arizona</v>
      </c>
      <c r="X154" s="4">
        <f t="shared" si="8"/>
        <v>488516.25</v>
      </c>
    </row>
    <row r="155" spans="1:24" x14ac:dyDescent="0.35">
      <c r="A155" t="s">
        <v>191</v>
      </c>
      <c r="B155" t="s">
        <v>5</v>
      </c>
      <c r="C155" t="s">
        <v>21</v>
      </c>
      <c r="D155" t="s">
        <v>4</v>
      </c>
      <c r="E155" s="5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  <c r="S155" t="str">
        <f t="shared" si="6"/>
        <v>Recomendado</v>
      </c>
      <c r="T155" t="str">
        <f>VLOOKUP(A155,AssuranceTable,2,FALSE)</f>
        <v>Extended</v>
      </c>
      <c r="U155" t="str">
        <f t="shared" si="7"/>
        <v>BS77946 Arizona</v>
      </c>
      <c r="X155" s="4">
        <f t="shared" si="8"/>
        <v>975330.71</v>
      </c>
    </row>
    <row r="156" spans="1:24" x14ac:dyDescent="0.35">
      <c r="A156" t="s">
        <v>192</v>
      </c>
      <c r="B156" t="s">
        <v>26</v>
      </c>
      <c r="C156" t="s">
        <v>193</v>
      </c>
      <c r="D156" t="s">
        <v>4</v>
      </c>
      <c r="E156" s="5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  <c r="S156" t="str">
        <f t="shared" si="6"/>
        <v>Recomendado</v>
      </c>
      <c r="T156" t="str">
        <f>VLOOKUP(A156,AssuranceTable,2,FALSE)</f>
        <v>Basic</v>
      </c>
      <c r="U156" t="str">
        <f t="shared" si="7"/>
        <v>YM50253 California</v>
      </c>
      <c r="X156" s="4">
        <f t="shared" si="8"/>
        <v>294615.37</v>
      </c>
    </row>
    <row r="157" spans="1:24" x14ac:dyDescent="0.35">
      <c r="A157" t="s">
        <v>194</v>
      </c>
      <c r="B157" t="s">
        <v>26</v>
      </c>
      <c r="C157" t="s">
        <v>27</v>
      </c>
      <c r="D157" t="s">
        <v>31</v>
      </c>
      <c r="E157" s="5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  <c r="S157" t="str">
        <f t="shared" si="6"/>
        <v>Recomendado</v>
      </c>
      <c r="T157" t="str">
        <f>VLOOKUP(A157,AssuranceTable,2,FALSE)</f>
        <v>Basic</v>
      </c>
      <c r="U157" t="str">
        <f t="shared" si="7"/>
        <v>NR15332 California</v>
      </c>
      <c r="X157" s="4">
        <f t="shared" si="8"/>
        <v>258111.09</v>
      </c>
    </row>
    <row r="158" spans="1:24" x14ac:dyDescent="0.35">
      <c r="A158" t="s">
        <v>195</v>
      </c>
      <c r="B158" t="s">
        <v>33</v>
      </c>
      <c r="C158" t="s">
        <v>27</v>
      </c>
      <c r="D158" t="s">
        <v>35</v>
      </c>
      <c r="E158" s="5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  <c r="S158" t="str">
        <f t="shared" si="6"/>
        <v>Recomendado</v>
      </c>
      <c r="T158" t="str">
        <f>VLOOKUP(A158,AssuranceTable,2,FALSE)</f>
        <v>Extended</v>
      </c>
      <c r="U158" t="str">
        <f t="shared" si="7"/>
        <v>RC62865 Oregon</v>
      </c>
      <c r="X158" s="4">
        <f t="shared" si="8"/>
        <v>351738.58</v>
      </c>
    </row>
    <row r="159" spans="1:24" x14ac:dyDescent="0.35">
      <c r="A159" t="s">
        <v>196</v>
      </c>
      <c r="B159" t="s">
        <v>33</v>
      </c>
      <c r="C159" t="s">
        <v>21</v>
      </c>
      <c r="D159" t="s">
        <v>4</v>
      </c>
      <c r="E159" s="5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  <c r="S159" t="str">
        <f t="shared" si="6"/>
        <v>Recomendado</v>
      </c>
      <c r="T159" t="str">
        <f>VLOOKUP(A159,AssuranceTable,2,FALSE)</f>
        <v>Extended</v>
      </c>
      <c r="U159" t="str">
        <f t="shared" si="7"/>
        <v>CC15295 Oregon</v>
      </c>
      <c r="X159" s="4">
        <f t="shared" si="8"/>
        <v>974335.01</v>
      </c>
    </row>
    <row r="160" spans="1:24" x14ac:dyDescent="0.35">
      <c r="A160" t="s">
        <v>197</v>
      </c>
      <c r="B160" t="s">
        <v>5</v>
      </c>
      <c r="C160" t="s">
        <v>27</v>
      </c>
      <c r="D160" t="s">
        <v>35</v>
      </c>
      <c r="E160" s="5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  <c r="S160" t="str">
        <f t="shared" si="6"/>
        <v>Recomendado</v>
      </c>
      <c r="T160" t="str">
        <f>VLOOKUP(A160,AssuranceTable,2,FALSE)</f>
        <v>Basic</v>
      </c>
      <c r="U160" t="str">
        <f t="shared" si="7"/>
        <v>KA61892 Arizona</v>
      </c>
      <c r="X160" s="4">
        <f t="shared" si="8"/>
        <v>387364.7</v>
      </c>
    </row>
    <row r="161" spans="1:24" x14ac:dyDescent="0.35">
      <c r="A161" t="s">
        <v>198</v>
      </c>
      <c r="B161" t="s">
        <v>5</v>
      </c>
      <c r="C161" t="s">
        <v>21</v>
      </c>
      <c r="D161" t="s">
        <v>4</v>
      </c>
      <c r="E161" s="5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  <c r="S161" t="str">
        <f t="shared" si="6"/>
        <v>Recomendado</v>
      </c>
      <c r="T161" t="str">
        <f>VLOOKUP(A161,AssuranceTable,2,FALSE)</f>
        <v>Basic</v>
      </c>
      <c r="U161" t="str">
        <f t="shared" si="7"/>
        <v>OS94884 Arizona</v>
      </c>
      <c r="X161" s="4">
        <f t="shared" si="8"/>
        <v>764928.2</v>
      </c>
    </row>
    <row r="162" spans="1:24" x14ac:dyDescent="0.35">
      <c r="A162" t="s">
        <v>199</v>
      </c>
      <c r="B162" t="s">
        <v>26</v>
      </c>
      <c r="C162" t="s">
        <v>27</v>
      </c>
      <c r="D162" t="s">
        <v>31</v>
      </c>
      <c r="E162" s="5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S162" t="str">
        <f t="shared" si="6"/>
        <v>No recomendado</v>
      </c>
      <c r="T162" t="str">
        <f>VLOOKUP(A162,AssuranceTable,2,FALSE)</f>
        <v>Basic</v>
      </c>
      <c r="U162" t="str">
        <f t="shared" si="7"/>
        <v>ND87334 California</v>
      </c>
      <c r="X162" s="4">
        <f t="shared" si="8"/>
        <v>228759.69</v>
      </c>
    </row>
    <row r="163" spans="1:24" x14ac:dyDescent="0.35">
      <c r="A163" t="s">
        <v>200</v>
      </c>
      <c r="B163" t="s">
        <v>3</v>
      </c>
      <c r="C163" t="s">
        <v>21</v>
      </c>
      <c r="D163" t="s">
        <v>31</v>
      </c>
      <c r="E163" s="5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  <c r="S163" t="str">
        <f t="shared" si="6"/>
        <v>Recomendado</v>
      </c>
      <c r="T163" t="str">
        <f>VLOOKUP(A163,AssuranceTable,2,FALSE)</f>
        <v>Basic</v>
      </c>
      <c r="U163" t="str">
        <f t="shared" si="7"/>
        <v>OY51402 Washington</v>
      </c>
      <c r="X163" s="4">
        <f t="shared" si="8"/>
        <v>825576.39</v>
      </c>
    </row>
    <row r="164" spans="1:24" x14ac:dyDescent="0.35">
      <c r="A164" t="s">
        <v>201</v>
      </c>
      <c r="B164" t="s">
        <v>26</v>
      </c>
      <c r="C164" t="s">
        <v>21</v>
      </c>
      <c r="D164" t="s">
        <v>35</v>
      </c>
      <c r="E164" s="5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  <c r="S164" t="str">
        <f t="shared" si="6"/>
        <v>No recomendado</v>
      </c>
      <c r="T164" t="str">
        <f>VLOOKUP(A164,AssuranceTable,2,FALSE)</f>
        <v>Basic</v>
      </c>
      <c r="U164" t="str">
        <f t="shared" si="7"/>
        <v>YL74911 California</v>
      </c>
      <c r="X164" s="4">
        <f t="shared" si="8"/>
        <v>871492.21</v>
      </c>
    </row>
    <row r="165" spans="1:24" x14ac:dyDescent="0.35">
      <c r="A165" t="s">
        <v>202</v>
      </c>
      <c r="B165" t="s">
        <v>3</v>
      </c>
      <c r="C165" t="s">
        <v>21</v>
      </c>
      <c r="D165" t="s">
        <v>80</v>
      </c>
      <c r="E165" s="5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  <c r="S165" t="str">
        <f t="shared" si="6"/>
        <v>Recomendado</v>
      </c>
      <c r="T165" t="str">
        <f>VLOOKUP(A165,AssuranceTable,2,FALSE)</f>
        <v>Extended</v>
      </c>
      <c r="U165" t="str">
        <f t="shared" si="7"/>
        <v>GK92563 Washington</v>
      </c>
      <c r="X165" s="4">
        <f t="shared" si="8"/>
        <v>681923.12</v>
      </c>
    </row>
    <row r="166" spans="1:24" x14ac:dyDescent="0.35">
      <c r="A166" t="s">
        <v>203</v>
      </c>
      <c r="B166" t="s">
        <v>26</v>
      </c>
      <c r="C166" t="s">
        <v>27</v>
      </c>
      <c r="D166" t="s">
        <v>4</v>
      </c>
      <c r="E166" s="5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  <c r="S166" t="str">
        <f t="shared" si="6"/>
        <v>No recomendado</v>
      </c>
      <c r="T166" t="str">
        <f>VLOOKUP(A166,AssuranceTable,2,FALSE)</f>
        <v>Extended</v>
      </c>
      <c r="U166" t="str">
        <f t="shared" si="7"/>
        <v>HL53154 California</v>
      </c>
      <c r="X166" s="4">
        <f t="shared" si="8"/>
        <v>741619.73</v>
      </c>
    </row>
    <row r="167" spans="1:24" x14ac:dyDescent="0.35">
      <c r="A167" t="s">
        <v>204</v>
      </c>
      <c r="B167" t="s">
        <v>33</v>
      </c>
      <c r="C167" t="s">
        <v>27</v>
      </c>
      <c r="D167" t="s">
        <v>2</v>
      </c>
      <c r="E167" s="5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  <c r="S167" t="str">
        <f t="shared" si="6"/>
        <v>Recomendado</v>
      </c>
      <c r="T167" t="str">
        <f>VLOOKUP(A167,AssuranceTable,2,FALSE)</f>
        <v>Basic</v>
      </c>
      <c r="U167" t="str">
        <f t="shared" si="7"/>
        <v>RI78966 Oregon</v>
      </c>
      <c r="X167" s="4">
        <f t="shared" si="8"/>
        <v>777115.9</v>
      </c>
    </row>
    <row r="168" spans="1:24" x14ac:dyDescent="0.35">
      <c r="A168" t="s">
        <v>205</v>
      </c>
      <c r="B168" t="s">
        <v>26</v>
      </c>
      <c r="C168" t="s">
        <v>21</v>
      </c>
      <c r="D168" t="s">
        <v>4</v>
      </c>
      <c r="E168" s="5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  <c r="S168" t="str">
        <f t="shared" si="6"/>
        <v>No recomendado</v>
      </c>
      <c r="T168" t="str">
        <f>VLOOKUP(A168,AssuranceTable,2,FALSE)</f>
        <v>Basic</v>
      </c>
      <c r="U168" t="str">
        <f t="shared" si="7"/>
        <v>IC13702 California</v>
      </c>
      <c r="X168" s="4">
        <f t="shared" si="8"/>
        <v>696834.19</v>
      </c>
    </row>
    <row r="169" spans="1:24" x14ac:dyDescent="0.35">
      <c r="A169" t="s">
        <v>206</v>
      </c>
      <c r="B169" t="s">
        <v>26</v>
      </c>
      <c r="C169" t="s">
        <v>21</v>
      </c>
      <c r="D169" t="s">
        <v>31</v>
      </c>
      <c r="E169" s="5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  <c r="S169" t="str">
        <f t="shared" si="6"/>
        <v>No recomendado</v>
      </c>
      <c r="T169" t="str">
        <f>VLOOKUP(A169,AssuranceTable,2,FALSE)</f>
        <v>Basic</v>
      </c>
      <c r="U169" t="str">
        <f t="shared" si="7"/>
        <v>BE10809 California</v>
      </c>
      <c r="X169" s="4">
        <f t="shared" si="8"/>
        <v>425028.26</v>
      </c>
    </row>
    <row r="170" spans="1:24" x14ac:dyDescent="0.35">
      <c r="A170" t="s">
        <v>207</v>
      </c>
      <c r="B170" t="s">
        <v>33</v>
      </c>
      <c r="C170" t="s">
        <v>21</v>
      </c>
      <c r="D170" t="s">
        <v>31</v>
      </c>
      <c r="E170" s="5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  <c r="S170" t="str">
        <f t="shared" si="6"/>
        <v>Recomendado</v>
      </c>
      <c r="T170" t="str">
        <f>VLOOKUP(A170,AssuranceTable,2,FALSE)</f>
        <v>Extended</v>
      </c>
      <c r="U170" t="str">
        <f t="shared" si="7"/>
        <v>HT87217 Oregon</v>
      </c>
      <c r="X170" s="4">
        <f t="shared" si="8"/>
        <v>1977656.65</v>
      </c>
    </row>
    <row r="171" spans="1:24" x14ac:dyDescent="0.35">
      <c r="A171" t="s">
        <v>208</v>
      </c>
      <c r="B171" t="s">
        <v>26</v>
      </c>
      <c r="C171" t="s">
        <v>21</v>
      </c>
      <c r="D171" t="s">
        <v>31</v>
      </c>
      <c r="E171" s="5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  <c r="S171" t="str">
        <f t="shared" si="6"/>
        <v>No recomendado</v>
      </c>
      <c r="T171" t="str">
        <f>VLOOKUP(A171,AssuranceTable,2,FALSE)</f>
        <v>Basic</v>
      </c>
      <c r="U171" t="str">
        <f t="shared" si="7"/>
        <v>TH95618 California</v>
      </c>
      <c r="X171" s="4">
        <f t="shared" si="8"/>
        <v>2134346.6</v>
      </c>
    </row>
    <row r="172" spans="1:24" x14ac:dyDescent="0.35">
      <c r="A172" t="s">
        <v>209</v>
      </c>
      <c r="B172" t="s">
        <v>26</v>
      </c>
      <c r="C172" t="s">
        <v>27</v>
      </c>
      <c r="D172" t="s">
        <v>35</v>
      </c>
      <c r="E172" s="5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  <c r="S172" t="str">
        <f t="shared" si="6"/>
        <v>Recomendado</v>
      </c>
      <c r="T172" t="str">
        <f>VLOOKUP(A172,AssuranceTable,2,FALSE)</f>
        <v>Basic</v>
      </c>
      <c r="U172" t="str">
        <f t="shared" si="7"/>
        <v>TS19868 California</v>
      </c>
      <c r="X172" s="4">
        <f t="shared" si="8"/>
        <v>241313.97</v>
      </c>
    </row>
    <row r="173" spans="1:24" x14ac:dyDescent="0.35">
      <c r="A173" t="s">
        <v>210</v>
      </c>
      <c r="B173" t="s">
        <v>33</v>
      </c>
      <c r="C173" t="s">
        <v>21</v>
      </c>
      <c r="D173" t="s">
        <v>80</v>
      </c>
      <c r="E173" s="5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  <c r="S173" t="str">
        <f t="shared" si="6"/>
        <v>Recomendado</v>
      </c>
      <c r="T173" t="str">
        <f>VLOOKUP(A173,AssuranceTable,2,FALSE)</f>
        <v>Premium</v>
      </c>
      <c r="U173" t="str">
        <f t="shared" si="7"/>
        <v>LP45550 Oregon</v>
      </c>
      <c r="X173" s="4">
        <f t="shared" si="8"/>
        <v>1536384.72</v>
      </c>
    </row>
    <row r="174" spans="1:24" x14ac:dyDescent="0.35">
      <c r="A174" t="s">
        <v>211</v>
      </c>
      <c r="B174" t="s">
        <v>23</v>
      </c>
      <c r="C174" t="s">
        <v>21</v>
      </c>
      <c r="D174" t="s">
        <v>35</v>
      </c>
      <c r="E174" s="5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  <c r="S174" t="str">
        <f t="shared" si="6"/>
        <v>Recomendado</v>
      </c>
      <c r="T174" t="str">
        <f>VLOOKUP(A174,AssuranceTable,2,FALSE)</f>
        <v>Basic</v>
      </c>
      <c r="U174" t="str">
        <f t="shared" si="7"/>
        <v>QR87004 Nevada</v>
      </c>
      <c r="X174" s="4">
        <f t="shared" si="8"/>
        <v>845696.19</v>
      </c>
    </row>
    <row r="175" spans="1:24" x14ac:dyDescent="0.35">
      <c r="A175" t="s">
        <v>212</v>
      </c>
      <c r="B175" t="s">
        <v>23</v>
      </c>
      <c r="C175" t="s">
        <v>21</v>
      </c>
      <c r="D175" t="s">
        <v>35</v>
      </c>
      <c r="E175" s="5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  <c r="S175" t="str">
        <f t="shared" si="6"/>
        <v>No recomendado</v>
      </c>
      <c r="T175" t="str">
        <f>VLOOKUP(A175,AssuranceTable,2,FALSE)</f>
        <v>Basic</v>
      </c>
      <c r="U175" t="str">
        <f t="shared" si="7"/>
        <v>OE75747 Nevada</v>
      </c>
      <c r="X175" s="4">
        <f t="shared" si="8"/>
        <v>218964.25</v>
      </c>
    </row>
    <row r="176" spans="1:24" x14ac:dyDescent="0.35">
      <c r="A176" t="s">
        <v>213</v>
      </c>
      <c r="B176" t="s">
        <v>26</v>
      </c>
      <c r="C176" t="s">
        <v>27</v>
      </c>
      <c r="D176" t="s">
        <v>31</v>
      </c>
      <c r="E176" s="5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  <c r="S176" t="str">
        <f t="shared" si="6"/>
        <v>Recomendado</v>
      </c>
      <c r="T176" t="str">
        <f>VLOOKUP(A176,AssuranceTable,2,FALSE)</f>
        <v>Basic</v>
      </c>
      <c r="U176" t="str">
        <f t="shared" si="7"/>
        <v>DX91392 California</v>
      </c>
      <c r="X176" s="4">
        <f t="shared" si="8"/>
        <v>578018.22</v>
      </c>
    </row>
    <row r="177" spans="1:24" x14ac:dyDescent="0.35">
      <c r="A177" t="s">
        <v>214</v>
      </c>
      <c r="B177" t="s">
        <v>26</v>
      </c>
      <c r="C177" t="s">
        <v>21</v>
      </c>
      <c r="D177" t="s">
        <v>4</v>
      </c>
      <c r="E177" s="5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  <c r="S177" t="str">
        <f t="shared" si="6"/>
        <v>Recomendado</v>
      </c>
      <c r="T177" t="str">
        <f>VLOOKUP(A177,AssuranceTable,2,FALSE)</f>
        <v>Basic</v>
      </c>
      <c r="U177" t="str">
        <f t="shared" si="7"/>
        <v>AB72731 California</v>
      </c>
      <c r="X177" s="4">
        <f t="shared" si="8"/>
        <v>463998.16</v>
      </c>
    </row>
    <row r="178" spans="1:24" x14ac:dyDescent="0.35">
      <c r="A178" t="s">
        <v>215</v>
      </c>
      <c r="B178" t="s">
        <v>3</v>
      </c>
      <c r="C178" t="s">
        <v>21</v>
      </c>
      <c r="D178" t="s">
        <v>80</v>
      </c>
      <c r="E178" s="5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  <c r="S178" t="str">
        <f t="shared" si="6"/>
        <v>Recomendado</v>
      </c>
      <c r="T178" t="str">
        <f>VLOOKUP(A178,AssuranceTable,2,FALSE)</f>
        <v>Extended</v>
      </c>
      <c r="U178" t="str">
        <f t="shared" si="7"/>
        <v>GX84338 Washington</v>
      </c>
      <c r="X178" s="4">
        <f t="shared" si="8"/>
        <v>382443.13</v>
      </c>
    </row>
    <row r="179" spans="1:24" x14ac:dyDescent="0.35">
      <c r="A179" t="s">
        <v>216</v>
      </c>
      <c r="B179" t="s">
        <v>5</v>
      </c>
      <c r="C179" t="s">
        <v>21</v>
      </c>
      <c r="D179" t="s">
        <v>4</v>
      </c>
      <c r="E179" s="5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  <c r="S179" t="str">
        <f t="shared" si="6"/>
        <v>Recomendado</v>
      </c>
      <c r="T179" t="str">
        <f>VLOOKUP(A179,AssuranceTable,2,FALSE)</f>
        <v>Basic</v>
      </c>
      <c r="U179" t="str">
        <f t="shared" si="7"/>
        <v>IS12901 Arizona</v>
      </c>
      <c r="X179" s="4">
        <f t="shared" si="8"/>
        <v>596811.89</v>
      </c>
    </row>
    <row r="180" spans="1:24" x14ac:dyDescent="0.35">
      <c r="A180" t="s">
        <v>217</v>
      </c>
      <c r="B180" t="s">
        <v>3</v>
      </c>
      <c r="C180" t="s">
        <v>21</v>
      </c>
      <c r="D180" t="s">
        <v>4</v>
      </c>
      <c r="E180" s="5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  <c r="S180" t="str">
        <f t="shared" si="6"/>
        <v>Recomendado</v>
      </c>
      <c r="T180" t="str">
        <f>VLOOKUP(A180,AssuranceTable,2,FALSE)</f>
        <v>Basic</v>
      </c>
      <c r="U180" t="str">
        <f t="shared" si="7"/>
        <v>BN90616 Washington</v>
      </c>
      <c r="X180" s="4">
        <f t="shared" si="8"/>
        <v>859033.5</v>
      </c>
    </row>
    <row r="181" spans="1:24" x14ac:dyDescent="0.35">
      <c r="A181" t="s">
        <v>218</v>
      </c>
      <c r="B181" t="s">
        <v>26</v>
      </c>
      <c r="C181" t="s">
        <v>21</v>
      </c>
      <c r="D181" t="s">
        <v>4</v>
      </c>
      <c r="E181" s="5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  <c r="S181" t="str">
        <f t="shared" si="6"/>
        <v>Recomendado</v>
      </c>
      <c r="T181" t="str">
        <f>VLOOKUP(A181,AssuranceTable,2,FALSE)</f>
        <v>Basic</v>
      </c>
      <c r="U181" t="str">
        <f t="shared" si="7"/>
        <v>HH90090 California</v>
      </c>
      <c r="X181" s="4">
        <f t="shared" si="8"/>
        <v>407663.47</v>
      </c>
    </row>
    <row r="182" spans="1:24" x14ac:dyDescent="0.35">
      <c r="A182" t="s">
        <v>219</v>
      </c>
      <c r="B182" t="s">
        <v>26</v>
      </c>
      <c r="C182" t="s">
        <v>21</v>
      </c>
      <c r="D182" t="s">
        <v>4</v>
      </c>
      <c r="E182" s="5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  <c r="S182" t="str">
        <f t="shared" si="6"/>
        <v>No recomendado</v>
      </c>
      <c r="T182" t="str">
        <f>VLOOKUP(A182,AssuranceTable,2,FALSE)</f>
        <v>Premium</v>
      </c>
      <c r="U182" t="str">
        <f t="shared" si="7"/>
        <v>IU25463 California</v>
      </c>
      <c r="X182" s="4">
        <f t="shared" si="8"/>
        <v>1225260.18</v>
      </c>
    </row>
    <row r="183" spans="1:24" x14ac:dyDescent="0.35">
      <c r="A183" t="s">
        <v>220</v>
      </c>
      <c r="B183" t="s">
        <v>23</v>
      </c>
      <c r="C183" t="s">
        <v>21</v>
      </c>
      <c r="D183" t="s">
        <v>4</v>
      </c>
      <c r="E183" s="5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  <c r="S183" t="str">
        <f t="shared" si="6"/>
        <v>Recomendado</v>
      </c>
      <c r="T183" t="str">
        <f>VLOOKUP(A183,AssuranceTable,2,FALSE)</f>
        <v>Extended</v>
      </c>
      <c r="U183" t="str">
        <f t="shared" si="7"/>
        <v>KC11055 Nevada</v>
      </c>
      <c r="X183" s="4">
        <f t="shared" si="8"/>
        <v>1693627.15</v>
      </c>
    </row>
    <row r="184" spans="1:24" x14ac:dyDescent="0.35">
      <c r="A184" t="s">
        <v>221</v>
      </c>
      <c r="B184" t="s">
        <v>33</v>
      </c>
      <c r="C184" t="s">
        <v>27</v>
      </c>
      <c r="D184" t="s">
        <v>31</v>
      </c>
      <c r="E184" s="5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  <c r="S184" t="str">
        <f t="shared" si="6"/>
        <v>Recomendado</v>
      </c>
      <c r="T184" t="str">
        <f>VLOOKUP(A184,AssuranceTable,2,FALSE)</f>
        <v>Basic</v>
      </c>
      <c r="U184" t="str">
        <f t="shared" si="7"/>
        <v>PD33979 Oregon</v>
      </c>
      <c r="X184" s="4">
        <f t="shared" si="8"/>
        <v>489243.55</v>
      </c>
    </row>
    <row r="185" spans="1:24" x14ac:dyDescent="0.35">
      <c r="A185" t="s">
        <v>222</v>
      </c>
      <c r="B185" t="s">
        <v>23</v>
      </c>
      <c r="C185" t="s">
        <v>27</v>
      </c>
      <c r="D185" t="s">
        <v>4</v>
      </c>
      <c r="E185" s="5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  <c r="S185" t="str">
        <f t="shared" si="6"/>
        <v>Recomendado</v>
      </c>
      <c r="T185" t="str">
        <f>VLOOKUP(A185,AssuranceTable,2,FALSE)</f>
        <v>Extended</v>
      </c>
      <c r="U185" t="str">
        <f t="shared" si="7"/>
        <v>NK71023 Nevada</v>
      </c>
      <c r="X185" s="4">
        <f t="shared" si="8"/>
        <v>994230.48</v>
      </c>
    </row>
    <row r="186" spans="1:24" x14ac:dyDescent="0.35">
      <c r="A186" t="s">
        <v>223</v>
      </c>
      <c r="B186" t="s">
        <v>26</v>
      </c>
      <c r="C186" t="s">
        <v>27</v>
      </c>
      <c r="D186" t="s">
        <v>4</v>
      </c>
      <c r="E186" s="5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  <c r="S186" t="str">
        <f t="shared" si="6"/>
        <v>No recomendado</v>
      </c>
      <c r="T186" t="str">
        <f>VLOOKUP(A186,AssuranceTable,2,FALSE)</f>
        <v>Basic</v>
      </c>
      <c r="U186" t="str">
        <f t="shared" si="7"/>
        <v>AB13432 California</v>
      </c>
      <c r="X186" s="4">
        <f t="shared" si="8"/>
        <v>373583.81</v>
      </c>
    </row>
    <row r="187" spans="1:24" x14ac:dyDescent="0.35">
      <c r="A187" t="s">
        <v>224</v>
      </c>
      <c r="B187" t="s">
        <v>26</v>
      </c>
      <c r="C187" t="s">
        <v>21</v>
      </c>
      <c r="D187" t="s">
        <v>31</v>
      </c>
      <c r="E187" s="5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  <c r="S187" t="str">
        <f t="shared" si="6"/>
        <v>Recomendado</v>
      </c>
      <c r="T187" t="str">
        <f>VLOOKUP(A187,AssuranceTable,2,FALSE)</f>
        <v>Basic</v>
      </c>
      <c r="U187" t="str">
        <f t="shared" si="7"/>
        <v>OZ97704 California</v>
      </c>
      <c r="X187" s="4">
        <f t="shared" si="8"/>
        <v>1311752.22</v>
      </c>
    </row>
    <row r="188" spans="1:24" x14ac:dyDescent="0.35">
      <c r="A188" t="s">
        <v>225</v>
      </c>
      <c r="B188" t="s">
        <v>26</v>
      </c>
      <c r="C188" t="s">
        <v>21</v>
      </c>
      <c r="D188" t="s">
        <v>35</v>
      </c>
      <c r="E188" s="5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S188" t="str">
        <f t="shared" si="6"/>
        <v>Recomendado</v>
      </c>
      <c r="T188" t="str">
        <f>VLOOKUP(A188,AssuranceTable,2,FALSE)</f>
        <v>Basic</v>
      </c>
      <c r="U188" t="str">
        <f t="shared" si="7"/>
        <v>UF46533 California</v>
      </c>
      <c r="X188" s="4">
        <f t="shared" si="8"/>
        <v>457452.41</v>
      </c>
    </row>
    <row r="189" spans="1:24" x14ac:dyDescent="0.35">
      <c r="A189" t="s">
        <v>226</v>
      </c>
      <c r="B189" t="s">
        <v>5</v>
      </c>
      <c r="C189" t="s">
        <v>21</v>
      </c>
      <c r="D189" t="s">
        <v>4</v>
      </c>
      <c r="E189" s="5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  <c r="S189" t="str">
        <f t="shared" si="6"/>
        <v>Recomendado</v>
      </c>
      <c r="T189" t="str">
        <f>VLOOKUP(A189,AssuranceTable,2,FALSE)</f>
        <v>Extended</v>
      </c>
      <c r="U189" t="str">
        <f t="shared" si="7"/>
        <v>XP47431 Arizona</v>
      </c>
      <c r="X189" s="4">
        <f t="shared" si="8"/>
        <v>547006.06000000006</v>
      </c>
    </row>
    <row r="190" spans="1:24" x14ac:dyDescent="0.35">
      <c r="A190" t="s">
        <v>227</v>
      </c>
      <c r="B190" t="s">
        <v>26</v>
      </c>
      <c r="C190" t="s">
        <v>21</v>
      </c>
      <c r="D190" t="s">
        <v>4</v>
      </c>
      <c r="E190" s="5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  <c r="S190" t="str">
        <f t="shared" si="6"/>
        <v>Recomendado</v>
      </c>
      <c r="T190" t="str">
        <f>VLOOKUP(A190,AssuranceTable,2,FALSE)</f>
        <v>Extended</v>
      </c>
      <c r="U190" t="str">
        <f t="shared" si="7"/>
        <v>GK73582 California</v>
      </c>
      <c r="X190" s="4">
        <f t="shared" si="8"/>
        <v>297884.59999999998</v>
      </c>
    </row>
    <row r="191" spans="1:24" x14ac:dyDescent="0.35">
      <c r="A191" t="s">
        <v>228</v>
      </c>
      <c r="B191" t="s">
        <v>33</v>
      </c>
      <c r="C191" t="s">
        <v>27</v>
      </c>
      <c r="D191" t="s">
        <v>35</v>
      </c>
      <c r="E191" s="5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  <c r="S191" t="str">
        <f t="shared" si="6"/>
        <v>Recomendado</v>
      </c>
      <c r="T191" t="str">
        <f>VLOOKUP(A191,AssuranceTable,2,FALSE)</f>
        <v>Extended</v>
      </c>
      <c r="U191" t="str">
        <f t="shared" si="7"/>
        <v>RV98763 Oregon</v>
      </c>
      <c r="X191" s="4">
        <f t="shared" si="8"/>
        <v>641096.75</v>
      </c>
    </row>
    <row r="192" spans="1:24" x14ac:dyDescent="0.35">
      <c r="A192" t="s">
        <v>229</v>
      </c>
      <c r="B192" t="s">
        <v>26</v>
      </c>
      <c r="C192" t="s">
        <v>27</v>
      </c>
      <c r="D192" t="s">
        <v>2</v>
      </c>
      <c r="E192" s="5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S192" t="str">
        <f t="shared" si="6"/>
        <v>Recomendado</v>
      </c>
      <c r="T192" t="str">
        <f>VLOOKUP(A192,AssuranceTable,2,FALSE)</f>
        <v>Basic</v>
      </c>
      <c r="U192" t="str">
        <f t="shared" si="7"/>
        <v>II62831 California</v>
      </c>
      <c r="X192" s="4">
        <f t="shared" si="8"/>
        <v>447902.31</v>
      </c>
    </row>
    <row r="193" spans="1:24" x14ac:dyDescent="0.35">
      <c r="A193" t="s">
        <v>230</v>
      </c>
      <c r="B193" t="s">
        <v>26</v>
      </c>
      <c r="C193" t="s">
        <v>21</v>
      </c>
      <c r="D193" t="s">
        <v>31</v>
      </c>
      <c r="E193" s="5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S193" t="str">
        <f t="shared" si="6"/>
        <v>No recomendado</v>
      </c>
      <c r="T193" t="str">
        <f>VLOOKUP(A193,AssuranceTable,2,FALSE)</f>
        <v>Basic</v>
      </c>
      <c r="U193" t="str">
        <f t="shared" si="7"/>
        <v>XK33449 California</v>
      </c>
      <c r="X193" s="4">
        <f t="shared" si="8"/>
        <v>238373.19</v>
      </c>
    </row>
    <row r="194" spans="1:24" x14ac:dyDescent="0.35">
      <c r="A194" t="s">
        <v>231</v>
      </c>
      <c r="B194" t="s">
        <v>26</v>
      </c>
      <c r="C194" t="s">
        <v>27</v>
      </c>
      <c r="D194" t="s">
        <v>4</v>
      </c>
      <c r="E194" s="5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  <c r="S194" t="str">
        <f t="shared" si="6"/>
        <v>Recomendado</v>
      </c>
      <c r="T194" t="str">
        <f>VLOOKUP(A194,AssuranceTable,2,FALSE)</f>
        <v>Basic</v>
      </c>
      <c r="U194" t="str">
        <f t="shared" si="7"/>
        <v>TR85083 California</v>
      </c>
      <c r="X194" s="4">
        <f t="shared" si="8"/>
        <v>276449.37</v>
      </c>
    </row>
    <row r="195" spans="1:24" x14ac:dyDescent="0.35">
      <c r="A195" t="s">
        <v>232</v>
      </c>
      <c r="B195" t="s">
        <v>33</v>
      </c>
      <c r="C195" t="s">
        <v>21</v>
      </c>
      <c r="D195" t="s">
        <v>4</v>
      </c>
      <c r="E195" s="5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  <c r="S195" t="str">
        <f t="shared" ref="S195:S258" si="9">IF(F195&gt;3000,"Recomendado","No recomendado")</f>
        <v>Recomendado</v>
      </c>
      <c r="T195" t="str">
        <f>VLOOKUP(A195,AssuranceTable,2,FALSE)</f>
        <v>Basic</v>
      </c>
      <c r="U195" t="str">
        <f t="shared" ref="U195:U258" si="10">_xlfn.CONCAT(A195, " ",B195)</f>
        <v>EO95328 Oregon</v>
      </c>
      <c r="X195" s="4">
        <f t="shared" ref="X195:X258" si="11">ROUND(E195,3)</f>
        <v>792010.54</v>
      </c>
    </row>
    <row r="196" spans="1:24" x14ac:dyDescent="0.35">
      <c r="A196" t="s">
        <v>233</v>
      </c>
      <c r="B196" t="s">
        <v>5</v>
      </c>
      <c r="C196" t="s">
        <v>21</v>
      </c>
      <c r="D196" t="s">
        <v>31</v>
      </c>
      <c r="E196" s="5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  <c r="S196" t="str">
        <f t="shared" si="9"/>
        <v>No recomendado</v>
      </c>
      <c r="T196" t="str">
        <f>VLOOKUP(A196,AssuranceTable,2,FALSE)</f>
        <v>Basic</v>
      </c>
      <c r="U196" t="str">
        <f t="shared" si="10"/>
        <v>EN21086 Arizona</v>
      </c>
      <c r="X196" s="4">
        <f t="shared" si="11"/>
        <v>688909.8</v>
      </c>
    </row>
    <row r="197" spans="1:24" x14ac:dyDescent="0.35">
      <c r="A197" t="s">
        <v>234</v>
      </c>
      <c r="B197" t="s">
        <v>102</v>
      </c>
      <c r="C197" t="s">
        <v>21</v>
      </c>
      <c r="D197" t="s">
        <v>4</v>
      </c>
      <c r="E197" s="5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  <c r="S197" t="str">
        <f t="shared" si="9"/>
        <v>Recomendado</v>
      </c>
      <c r="T197" t="str">
        <f>VLOOKUP(A197,AssuranceTable,2,FALSE)</f>
        <v>Extended</v>
      </c>
      <c r="U197" t="str">
        <f t="shared" si="10"/>
        <v>YL83902 WA</v>
      </c>
      <c r="X197" s="4">
        <f t="shared" si="11"/>
        <v>327419.46000000002</v>
      </c>
    </row>
    <row r="198" spans="1:24" x14ac:dyDescent="0.35">
      <c r="A198" t="s">
        <v>235</v>
      </c>
      <c r="B198" t="s">
        <v>33</v>
      </c>
      <c r="C198" t="s">
        <v>27</v>
      </c>
      <c r="D198" t="s">
        <v>31</v>
      </c>
      <c r="E198" s="5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S198" t="str">
        <f t="shared" si="9"/>
        <v>Recomendado</v>
      </c>
      <c r="T198" t="str">
        <f>VLOOKUP(A198,AssuranceTable,2,FALSE)</f>
        <v>Premium</v>
      </c>
      <c r="U198" t="str">
        <f t="shared" si="10"/>
        <v>AZ62651 Oregon</v>
      </c>
      <c r="X198" s="4">
        <f t="shared" si="11"/>
        <v>995170.77</v>
      </c>
    </row>
    <row r="199" spans="1:24" x14ac:dyDescent="0.35">
      <c r="A199" t="s">
        <v>236</v>
      </c>
      <c r="B199" t="s">
        <v>33</v>
      </c>
      <c r="C199" t="s">
        <v>27</v>
      </c>
      <c r="D199" t="s">
        <v>4</v>
      </c>
      <c r="E199" s="5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  <c r="S199" t="str">
        <f t="shared" si="9"/>
        <v>Recomendado</v>
      </c>
      <c r="T199" t="str">
        <f>VLOOKUP(A199,AssuranceTable,2,FALSE)</f>
        <v>Basic</v>
      </c>
      <c r="U199" t="str">
        <f t="shared" si="10"/>
        <v>ZW25874 Oregon</v>
      </c>
      <c r="X199" s="4">
        <f t="shared" si="11"/>
        <v>252155.57</v>
      </c>
    </row>
    <row r="200" spans="1:24" x14ac:dyDescent="0.35">
      <c r="A200" t="s">
        <v>237</v>
      </c>
      <c r="B200" t="s">
        <v>102</v>
      </c>
      <c r="C200" t="s">
        <v>21</v>
      </c>
      <c r="D200" t="s">
        <v>31</v>
      </c>
      <c r="E200" s="5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  <c r="S200" t="str">
        <f t="shared" si="9"/>
        <v>No recomendado</v>
      </c>
      <c r="T200" t="str">
        <f>VLOOKUP(A200,AssuranceTable,2,FALSE)</f>
        <v>Extended</v>
      </c>
      <c r="U200" t="str">
        <f t="shared" si="10"/>
        <v>EH41854 WA</v>
      </c>
      <c r="X200" s="4">
        <f t="shared" si="11"/>
        <v>2370611.34</v>
      </c>
    </row>
    <row r="201" spans="1:24" x14ac:dyDescent="0.35">
      <c r="A201" t="s">
        <v>238</v>
      </c>
      <c r="B201" t="s">
        <v>26</v>
      </c>
      <c r="C201" t="s">
        <v>27</v>
      </c>
      <c r="D201" t="s">
        <v>35</v>
      </c>
      <c r="E201" s="5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  <c r="S201" t="str">
        <f t="shared" si="9"/>
        <v>Recomendado</v>
      </c>
      <c r="T201" t="str">
        <f>VLOOKUP(A201,AssuranceTable,2,FALSE)</f>
        <v>Extended</v>
      </c>
      <c r="U201" t="str">
        <f t="shared" si="10"/>
        <v>MW70227 California</v>
      </c>
      <c r="X201" s="4">
        <f t="shared" si="11"/>
        <v>604702.52</v>
      </c>
    </row>
    <row r="202" spans="1:24" x14ac:dyDescent="0.35">
      <c r="A202" t="s">
        <v>239</v>
      </c>
      <c r="B202" t="s">
        <v>26</v>
      </c>
      <c r="C202" t="s">
        <v>21</v>
      </c>
      <c r="D202" t="s">
        <v>2</v>
      </c>
      <c r="E202" s="5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  <c r="S202" t="str">
        <f t="shared" si="9"/>
        <v>Recomendado</v>
      </c>
      <c r="T202" t="str">
        <f>VLOOKUP(A202,AssuranceTable,2,FALSE)</f>
        <v>Premium</v>
      </c>
      <c r="U202" t="str">
        <f t="shared" si="10"/>
        <v>SL22297 California</v>
      </c>
      <c r="X202" s="4">
        <f t="shared" si="11"/>
        <v>1114030.25</v>
      </c>
    </row>
    <row r="203" spans="1:24" x14ac:dyDescent="0.35">
      <c r="A203" t="s">
        <v>240</v>
      </c>
      <c r="B203" t="s">
        <v>23</v>
      </c>
      <c r="C203" t="s">
        <v>21</v>
      </c>
      <c r="D203" t="s">
        <v>4</v>
      </c>
      <c r="E203" s="5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  <c r="S203" t="str">
        <f t="shared" si="9"/>
        <v>Recomendado</v>
      </c>
      <c r="T203" t="str">
        <f>VLOOKUP(A203,AssuranceTable,2,FALSE)</f>
        <v>Extended</v>
      </c>
      <c r="U203" t="str">
        <f t="shared" si="10"/>
        <v>RV14138 Nevada</v>
      </c>
      <c r="X203" s="4">
        <f t="shared" si="11"/>
        <v>433406.41</v>
      </c>
    </row>
    <row r="204" spans="1:24" x14ac:dyDescent="0.35">
      <c r="A204" t="s">
        <v>241</v>
      </c>
      <c r="B204" t="s">
        <v>5</v>
      </c>
      <c r="C204" t="s">
        <v>21</v>
      </c>
      <c r="D204" t="s">
        <v>31</v>
      </c>
      <c r="E204" s="5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  <c r="S204" t="str">
        <f t="shared" si="9"/>
        <v>Recomendado</v>
      </c>
      <c r="T204" t="str">
        <f>VLOOKUP(A204,AssuranceTable,2,FALSE)</f>
        <v>Basic</v>
      </c>
      <c r="U204" t="str">
        <f t="shared" si="10"/>
        <v>UO62808 Arizona</v>
      </c>
      <c r="X204" s="4">
        <f t="shared" si="11"/>
        <v>279974.78999999998</v>
      </c>
    </row>
    <row r="205" spans="1:24" x14ac:dyDescent="0.35">
      <c r="A205" t="s">
        <v>242</v>
      </c>
      <c r="B205" t="s">
        <v>26</v>
      </c>
      <c r="C205" t="s">
        <v>27</v>
      </c>
      <c r="D205" t="s">
        <v>35</v>
      </c>
      <c r="E205" s="5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  <c r="S205" t="str">
        <f t="shared" si="9"/>
        <v>No recomendado</v>
      </c>
      <c r="T205" t="str">
        <f>VLOOKUP(A205,AssuranceTable,2,FALSE)</f>
        <v>Basic</v>
      </c>
      <c r="U205" t="str">
        <f t="shared" si="10"/>
        <v>ZX64745 California</v>
      </c>
      <c r="X205" s="4">
        <f t="shared" si="11"/>
        <v>792313.66</v>
      </c>
    </row>
    <row r="206" spans="1:24" x14ac:dyDescent="0.35">
      <c r="A206" t="s">
        <v>243</v>
      </c>
      <c r="B206" t="s">
        <v>26</v>
      </c>
      <c r="C206" t="s">
        <v>27</v>
      </c>
      <c r="D206" t="s">
        <v>31</v>
      </c>
      <c r="E206" s="5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  <c r="S206" t="str">
        <f t="shared" si="9"/>
        <v>No recomendado</v>
      </c>
      <c r="T206" t="str">
        <f>VLOOKUP(A206,AssuranceTable,2,FALSE)</f>
        <v>Basic</v>
      </c>
      <c r="U206" t="str">
        <f t="shared" si="10"/>
        <v>FL34139 California</v>
      </c>
      <c r="X206" s="4">
        <f t="shared" si="11"/>
        <v>368811.09</v>
      </c>
    </row>
    <row r="207" spans="1:24" x14ac:dyDescent="0.35">
      <c r="A207" t="s">
        <v>244</v>
      </c>
      <c r="B207" t="s">
        <v>26</v>
      </c>
      <c r="C207" t="s">
        <v>27</v>
      </c>
      <c r="D207" t="s">
        <v>35</v>
      </c>
      <c r="E207" s="5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  <c r="S207" t="str">
        <f t="shared" si="9"/>
        <v>No recomendado</v>
      </c>
      <c r="T207" t="str">
        <f>VLOOKUP(A207,AssuranceTable,2,FALSE)</f>
        <v>Basic</v>
      </c>
      <c r="U207" t="str">
        <f t="shared" si="10"/>
        <v>TS11219 California</v>
      </c>
      <c r="X207" s="4">
        <f t="shared" si="11"/>
        <v>1206745.6000000001</v>
      </c>
    </row>
    <row r="208" spans="1:24" x14ac:dyDescent="0.35">
      <c r="A208" t="s">
        <v>245</v>
      </c>
      <c r="B208" t="s">
        <v>26</v>
      </c>
      <c r="C208" t="s">
        <v>21</v>
      </c>
      <c r="D208" t="s">
        <v>35</v>
      </c>
      <c r="E208" s="5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  <c r="S208" t="str">
        <f t="shared" si="9"/>
        <v>Recomendado</v>
      </c>
      <c r="T208" t="str">
        <f>VLOOKUP(A208,AssuranceTable,2,FALSE)</f>
        <v>Basic</v>
      </c>
      <c r="U208" t="str">
        <f t="shared" si="10"/>
        <v>XX12304 California</v>
      </c>
      <c r="X208" s="4">
        <f t="shared" si="11"/>
        <v>292497.67</v>
      </c>
    </row>
    <row r="209" spans="1:24" x14ac:dyDescent="0.35">
      <c r="A209" t="s">
        <v>246</v>
      </c>
      <c r="B209" t="s">
        <v>26</v>
      </c>
      <c r="C209" t="s">
        <v>27</v>
      </c>
      <c r="D209" t="s">
        <v>35</v>
      </c>
      <c r="E209" s="5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S209" t="str">
        <f t="shared" si="9"/>
        <v>Recomendado</v>
      </c>
      <c r="T209" t="str">
        <f>VLOOKUP(A209,AssuranceTable,2,FALSE)</f>
        <v>Premium</v>
      </c>
      <c r="U209" t="str">
        <f t="shared" si="10"/>
        <v>SD64087 California</v>
      </c>
      <c r="X209" s="4">
        <f t="shared" si="11"/>
        <v>1501409.27</v>
      </c>
    </row>
    <row r="210" spans="1:24" x14ac:dyDescent="0.35">
      <c r="A210" t="s">
        <v>247</v>
      </c>
      <c r="B210" t="s">
        <v>33</v>
      </c>
      <c r="C210" t="s">
        <v>21</v>
      </c>
      <c r="D210" t="s">
        <v>31</v>
      </c>
      <c r="E210" s="5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S210" t="str">
        <f t="shared" si="9"/>
        <v>Recomendado</v>
      </c>
      <c r="T210" t="str">
        <f>VLOOKUP(A210,AssuranceTable,2,FALSE)</f>
        <v>Basic</v>
      </c>
      <c r="U210" t="str">
        <f t="shared" si="10"/>
        <v>OY38576 Oregon</v>
      </c>
      <c r="X210" s="4">
        <f t="shared" si="11"/>
        <v>927723.38</v>
      </c>
    </row>
    <row r="211" spans="1:24" x14ac:dyDescent="0.35">
      <c r="A211" t="s">
        <v>248</v>
      </c>
      <c r="B211" t="s">
        <v>102</v>
      </c>
      <c r="C211" t="s">
        <v>21</v>
      </c>
      <c r="D211" t="s">
        <v>4</v>
      </c>
      <c r="E211" s="5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  <c r="S211" t="str">
        <f t="shared" si="9"/>
        <v>Recomendado</v>
      </c>
      <c r="T211" t="str">
        <f>VLOOKUP(A211,AssuranceTable,2,FALSE)</f>
        <v>Extended</v>
      </c>
      <c r="U211" t="str">
        <f t="shared" si="10"/>
        <v>BG76355 WA</v>
      </c>
      <c r="X211" s="4">
        <f t="shared" si="11"/>
        <v>627412.39</v>
      </c>
    </row>
    <row r="212" spans="1:24" x14ac:dyDescent="0.35">
      <c r="A212" t="s">
        <v>249</v>
      </c>
      <c r="B212" t="s">
        <v>48</v>
      </c>
      <c r="C212" t="s">
        <v>27</v>
      </c>
      <c r="D212" t="s">
        <v>31</v>
      </c>
      <c r="E212" s="5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  <c r="S212" t="str">
        <f t="shared" si="9"/>
        <v>Recomendado</v>
      </c>
      <c r="T212" t="str">
        <f>VLOOKUP(A212,AssuranceTable,2,FALSE)</f>
        <v>Extended</v>
      </c>
      <c r="U212" t="str">
        <f t="shared" si="10"/>
        <v>IP66913 Cali</v>
      </c>
      <c r="X212" s="4">
        <f t="shared" si="11"/>
        <v>388664.74</v>
      </c>
    </row>
    <row r="213" spans="1:24" x14ac:dyDescent="0.35">
      <c r="A213" t="s">
        <v>250</v>
      </c>
      <c r="B213" t="s">
        <v>48</v>
      </c>
      <c r="C213" t="s">
        <v>27</v>
      </c>
      <c r="D213" t="s">
        <v>35</v>
      </c>
      <c r="E213" s="5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  <c r="S213" t="str">
        <f t="shared" si="9"/>
        <v>Recomendado</v>
      </c>
      <c r="T213" t="str">
        <f>VLOOKUP(A213,AssuranceTable,2,FALSE)</f>
        <v>Basic</v>
      </c>
      <c r="U213" t="str">
        <f t="shared" si="10"/>
        <v>LE95702 Cali</v>
      </c>
      <c r="X213" s="4">
        <f t="shared" si="11"/>
        <v>438627.76</v>
      </c>
    </row>
    <row r="214" spans="1:24" x14ac:dyDescent="0.35">
      <c r="A214" t="s">
        <v>251</v>
      </c>
      <c r="B214" t="s">
        <v>102</v>
      </c>
      <c r="C214" t="s">
        <v>27</v>
      </c>
      <c r="D214" t="s">
        <v>35</v>
      </c>
      <c r="E214" s="5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S214" t="str">
        <f t="shared" si="9"/>
        <v>Recomendado</v>
      </c>
      <c r="T214" t="str">
        <f>VLOOKUP(A214,AssuranceTable,2,FALSE)</f>
        <v>Extended</v>
      </c>
      <c r="U214" t="str">
        <f t="shared" si="10"/>
        <v>KX54357 WA</v>
      </c>
      <c r="X214" s="4">
        <f t="shared" si="11"/>
        <v>1136526.77</v>
      </c>
    </row>
    <row r="215" spans="1:24" x14ac:dyDescent="0.35">
      <c r="A215" t="s">
        <v>252</v>
      </c>
      <c r="B215" t="s">
        <v>48</v>
      </c>
      <c r="C215" t="s">
        <v>193</v>
      </c>
      <c r="D215" t="s">
        <v>31</v>
      </c>
      <c r="E215" s="5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  <c r="S215" t="str">
        <f t="shared" si="9"/>
        <v>Recomendado</v>
      </c>
      <c r="T215" t="str">
        <f>VLOOKUP(A215,AssuranceTable,2,FALSE)</f>
        <v>Basic</v>
      </c>
      <c r="U215" t="str">
        <f t="shared" si="10"/>
        <v>EZ78112 Cali</v>
      </c>
      <c r="X215" s="4">
        <f t="shared" si="11"/>
        <v>561096.43000000005</v>
      </c>
    </row>
    <row r="216" spans="1:24" x14ac:dyDescent="0.35">
      <c r="A216" t="s">
        <v>253</v>
      </c>
      <c r="B216" t="s">
        <v>5</v>
      </c>
      <c r="C216" t="s">
        <v>27</v>
      </c>
      <c r="D216" t="s">
        <v>35</v>
      </c>
      <c r="E216" s="5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  <c r="S216" t="str">
        <f t="shared" si="9"/>
        <v>Recomendado</v>
      </c>
      <c r="T216" t="str">
        <f>VLOOKUP(A216,AssuranceTable,2,FALSE)</f>
        <v>Basic</v>
      </c>
      <c r="U216" t="str">
        <f t="shared" si="10"/>
        <v>XN16891 Arizona</v>
      </c>
      <c r="X216" s="4">
        <f t="shared" si="11"/>
        <v>291289.2</v>
      </c>
    </row>
    <row r="217" spans="1:24" x14ac:dyDescent="0.35">
      <c r="A217" t="s">
        <v>254</v>
      </c>
      <c r="B217" t="s">
        <v>33</v>
      </c>
      <c r="C217" t="s">
        <v>193</v>
      </c>
      <c r="D217" t="s">
        <v>35</v>
      </c>
      <c r="E217" s="5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  <c r="S217" t="str">
        <f t="shared" si="9"/>
        <v>Recomendado</v>
      </c>
      <c r="T217" t="str">
        <f>VLOOKUP(A217,AssuranceTable,2,FALSE)</f>
        <v>Extended</v>
      </c>
      <c r="U217" t="str">
        <f t="shared" si="10"/>
        <v>XK31350 Oregon</v>
      </c>
      <c r="X217" s="4">
        <f t="shared" si="11"/>
        <v>691572.99</v>
      </c>
    </row>
    <row r="218" spans="1:24" x14ac:dyDescent="0.35">
      <c r="A218" t="s">
        <v>255</v>
      </c>
      <c r="B218" t="s">
        <v>33</v>
      </c>
      <c r="C218" t="s">
        <v>27</v>
      </c>
      <c r="D218" t="s">
        <v>35</v>
      </c>
      <c r="E218" s="5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S218" t="str">
        <f t="shared" si="9"/>
        <v>Recomendado</v>
      </c>
      <c r="T218" t="str">
        <f>VLOOKUP(A218,AssuranceTable,2,FALSE)</f>
        <v>Premium</v>
      </c>
      <c r="U218" t="str">
        <f t="shared" si="10"/>
        <v>CC30924 Oregon</v>
      </c>
      <c r="X218" s="4">
        <f t="shared" si="11"/>
        <v>626266.32999999996</v>
      </c>
    </row>
    <row r="219" spans="1:24" x14ac:dyDescent="0.35">
      <c r="A219" t="s">
        <v>256</v>
      </c>
      <c r="B219" t="s">
        <v>33</v>
      </c>
      <c r="C219" t="s">
        <v>193</v>
      </c>
      <c r="D219" t="s">
        <v>31</v>
      </c>
      <c r="E219" s="5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S219" t="str">
        <f t="shared" si="9"/>
        <v>Recomendado</v>
      </c>
      <c r="T219" t="str">
        <f>VLOOKUP(A219,AssuranceTable,2,FALSE)</f>
        <v>Extended</v>
      </c>
      <c r="U219" t="str">
        <f t="shared" si="10"/>
        <v>IT78748 Oregon</v>
      </c>
      <c r="X219" s="4">
        <f t="shared" si="11"/>
        <v>650339.69999999995</v>
      </c>
    </row>
    <row r="220" spans="1:24" x14ac:dyDescent="0.35">
      <c r="A220" t="s">
        <v>257</v>
      </c>
      <c r="B220" t="s">
        <v>102</v>
      </c>
      <c r="C220" t="s">
        <v>193</v>
      </c>
      <c r="D220" t="s">
        <v>31</v>
      </c>
      <c r="E220" s="5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  <c r="S220" t="str">
        <f t="shared" si="9"/>
        <v>No recomendado</v>
      </c>
      <c r="T220" t="str">
        <f>VLOOKUP(A220,AssuranceTable,2,FALSE)</f>
        <v>Basic</v>
      </c>
      <c r="U220" t="str">
        <f t="shared" si="10"/>
        <v>KY33386 WA</v>
      </c>
      <c r="X220" s="4">
        <f t="shared" si="11"/>
        <v>800739.94</v>
      </c>
    </row>
    <row r="221" spans="1:24" x14ac:dyDescent="0.35">
      <c r="A221" t="s">
        <v>258</v>
      </c>
      <c r="B221" t="s">
        <v>48</v>
      </c>
      <c r="C221" t="s">
        <v>27</v>
      </c>
      <c r="D221" t="s">
        <v>35</v>
      </c>
      <c r="E221" s="5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  <c r="S221" t="str">
        <f t="shared" si="9"/>
        <v>Recomendado</v>
      </c>
      <c r="T221" t="str">
        <f>VLOOKUP(A221,AssuranceTable,2,FALSE)</f>
        <v>Basic</v>
      </c>
      <c r="U221" t="str">
        <f t="shared" si="10"/>
        <v>CO44221 Cali</v>
      </c>
      <c r="X221" s="4">
        <f t="shared" si="11"/>
        <v>292991.65000000002</v>
      </c>
    </row>
    <row r="222" spans="1:24" x14ac:dyDescent="0.35">
      <c r="A222" t="s">
        <v>259</v>
      </c>
      <c r="B222" t="s">
        <v>33</v>
      </c>
      <c r="C222" t="s">
        <v>193</v>
      </c>
      <c r="D222" t="s">
        <v>4</v>
      </c>
      <c r="E222" s="5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  <c r="S222" t="str">
        <f t="shared" si="9"/>
        <v>Recomendado</v>
      </c>
      <c r="T222" t="str">
        <f>VLOOKUP(A222,AssuranceTable,2,FALSE)</f>
        <v>Basic</v>
      </c>
      <c r="U222" t="str">
        <f t="shared" si="10"/>
        <v>LK60013 Oregon</v>
      </c>
      <c r="X222" s="4">
        <f t="shared" si="11"/>
        <v>596955.30000000005</v>
      </c>
    </row>
    <row r="223" spans="1:24" x14ac:dyDescent="0.35">
      <c r="A223" t="s">
        <v>260</v>
      </c>
      <c r="B223" t="s">
        <v>48</v>
      </c>
      <c r="C223" t="s">
        <v>27</v>
      </c>
      <c r="D223" t="s">
        <v>4</v>
      </c>
      <c r="E223" s="5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  <c r="S223" t="str">
        <f t="shared" si="9"/>
        <v>Recomendado</v>
      </c>
      <c r="T223" t="str">
        <f>VLOOKUP(A223,AssuranceTable,2,FALSE)</f>
        <v>Basic</v>
      </c>
      <c r="U223" t="str">
        <f t="shared" si="10"/>
        <v>DE21533 Cali</v>
      </c>
      <c r="X223" s="4">
        <f t="shared" si="11"/>
        <v>547315.99</v>
      </c>
    </row>
    <row r="224" spans="1:24" x14ac:dyDescent="0.35">
      <c r="A224" t="s">
        <v>261</v>
      </c>
      <c r="B224" t="s">
        <v>23</v>
      </c>
      <c r="C224" t="s">
        <v>27</v>
      </c>
      <c r="D224" t="s">
        <v>31</v>
      </c>
      <c r="E224" s="5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  <c r="S224" t="str">
        <f t="shared" si="9"/>
        <v>Recomendado</v>
      </c>
      <c r="T224" t="str">
        <f>VLOOKUP(A224,AssuranceTable,2,FALSE)</f>
        <v>Basic</v>
      </c>
      <c r="U224" t="str">
        <f t="shared" si="10"/>
        <v>YS94121 Nevada</v>
      </c>
      <c r="X224" s="4">
        <f t="shared" si="11"/>
        <v>564539.67000000004</v>
      </c>
    </row>
    <row r="225" spans="1:24" x14ac:dyDescent="0.35">
      <c r="A225" t="s">
        <v>262</v>
      </c>
      <c r="B225" t="s">
        <v>102</v>
      </c>
      <c r="C225" t="s">
        <v>27</v>
      </c>
      <c r="D225" t="s">
        <v>31</v>
      </c>
      <c r="E225" s="5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  <c r="S225" t="str">
        <f t="shared" si="9"/>
        <v>Recomendado</v>
      </c>
      <c r="T225" t="str">
        <f>VLOOKUP(A225,AssuranceTable,2,FALSE)</f>
        <v>Extended</v>
      </c>
      <c r="U225" t="str">
        <f t="shared" si="10"/>
        <v>UK68427 WA</v>
      </c>
      <c r="X225" s="4">
        <f t="shared" si="11"/>
        <v>636926.24</v>
      </c>
    </row>
    <row r="226" spans="1:24" x14ac:dyDescent="0.35">
      <c r="A226" t="s">
        <v>263</v>
      </c>
      <c r="B226" t="s">
        <v>33</v>
      </c>
      <c r="C226" t="s">
        <v>193</v>
      </c>
      <c r="D226" t="s">
        <v>35</v>
      </c>
      <c r="E226" s="5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  <c r="S226" t="str">
        <f t="shared" si="9"/>
        <v>Recomendado</v>
      </c>
      <c r="T226" t="str">
        <f>VLOOKUP(A226,AssuranceTable,2,FALSE)</f>
        <v>Basic</v>
      </c>
      <c r="U226" t="str">
        <f t="shared" si="10"/>
        <v>TE49565 Oregon</v>
      </c>
      <c r="X226" s="4">
        <f t="shared" si="11"/>
        <v>1183376.73</v>
      </c>
    </row>
    <row r="227" spans="1:24" x14ac:dyDescent="0.35">
      <c r="A227" t="s">
        <v>264</v>
      </c>
      <c r="B227" t="s">
        <v>33</v>
      </c>
      <c r="C227" t="s">
        <v>193</v>
      </c>
      <c r="D227" t="s">
        <v>35</v>
      </c>
      <c r="E227" s="5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  <c r="S227" t="str">
        <f t="shared" si="9"/>
        <v>Recomendado</v>
      </c>
      <c r="T227" t="str">
        <f>VLOOKUP(A227,AssuranceTable,2,FALSE)</f>
        <v>Extended</v>
      </c>
      <c r="U227" t="str">
        <f t="shared" si="10"/>
        <v>RA88421 Oregon</v>
      </c>
      <c r="X227" s="4">
        <f t="shared" si="11"/>
        <v>612110.79</v>
      </c>
    </row>
    <row r="228" spans="1:24" x14ac:dyDescent="0.35">
      <c r="A228" t="s">
        <v>265</v>
      </c>
      <c r="B228" t="s">
        <v>23</v>
      </c>
      <c r="C228" t="s">
        <v>27</v>
      </c>
      <c r="D228" t="s">
        <v>35</v>
      </c>
      <c r="E228" s="5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  <c r="S228" t="str">
        <f t="shared" si="9"/>
        <v>No recomendado</v>
      </c>
      <c r="T228" t="str">
        <f>VLOOKUP(A228,AssuranceTable,2,FALSE)</f>
        <v>Basic</v>
      </c>
      <c r="U228" t="str">
        <f t="shared" si="10"/>
        <v>KQ51983 Nevada</v>
      </c>
      <c r="X228" s="4">
        <f t="shared" si="11"/>
        <v>515936.97</v>
      </c>
    </row>
    <row r="229" spans="1:24" x14ac:dyDescent="0.35">
      <c r="A229" t="s">
        <v>266</v>
      </c>
      <c r="B229" t="s">
        <v>23</v>
      </c>
      <c r="C229" t="s">
        <v>193</v>
      </c>
      <c r="D229" t="s">
        <v>31</v>
      </c>
      <c r="E229" s="5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  <c r="S229" t="str">
        <f t="shared" si="9"/>
        <v>Recomendado</v>
      </c>
      <c r="T229" t="str">
        <f>VLOOKUP(A229,AssuranceTable,2,FALSE)</f>
        <v>Basic</v>
      </c>
      <c r="U229" t="str">
        <f t="shared" si="10"/>
        <v>CD88896 Nevada</v>
      </c>
      <c r="X229" s="4">
        <f t="shared" si="11"/>
        <v>251459.20000000001</v>
      </c>
    </row>
    <row r="230" spans="1:24" x14ac:dyDescent="0.35">
      <c r="A230" t="s">
        <v>267</v>
      </c>
      <c r="B230" t="s">
        <v>5</v>
      </c>
      <c r="C230" t="s">
        <v>27</v>
      </c>
      <c r="D230" t="s">
        <v>31</v>
      </c>
      <c r="E230" s="5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S230" t="str">
        <f t="shared" si="9"/>
        <v>Recomendado</v>
      </c>
      <c r="T230" t="str">
        <f>VLOOKUP(A230,AssuranceTable,2,FALSE)</f>
        <v>Basic</v>
      </c>
      <c r="U230" t="str">
        <f t="shared" si="10"/>
        <v>YV22553 Arizona</v>
      </c>
      <c r="X230" s="4">
        <f t="shared" si="11"/>
        <v>866861.13</v>
      </c>
    </row>
    <row r="231" spans="1:24" x14ac:dyDescent="0.35">
      <c r="A231" t="s">
        <v>268</v>
      </c>
      <c r="B231" t="s">
        <v>48</v>
      </c>
      <c r="C231" t="s">
        <v>27</v>
      </c>
      <c r="D231" t="s">
        <v>4</v>
      </c>
      <c r="E231" s="5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  <c r="S231" t="str">
        <f t="shared" si="9"/>
        <v>Recomendado</v>
      </c>
      <c r="T231" t="str">
        <f>VLOOKUP(A231,AssuranceTable,2,FALSE)</f>
        <v>Basic</v>
      </c>
      <c r="U231" t="str">
        <f t="shared" si="10"/>
        <v>WU14435 Cali</v>
      </c>
      <c r="X231" s="4">
        <f t="shared" si="11"/>
        <v>496096.54</v>
      </c>
    </row>
    <row r="232" spans="1:24" x14ac:dyDescent="0.35">
      <c r="A232" t="s">
        <v>269</v>
      </c>
      <c r="B232" t="s">
        <v>5</v>
      </c>
      <c r="C232" t="s">
        <v>193</v>
      </c>
      <c r="D232" t="s">
        <v>4</v>
      </c>
      <c r="E232" s="5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  <c r="S232" t="str">
        <f t="shared" si="9"/>
        <v>No recomendado</v>
      </c>
      <c r="T232" t="str">
        <f>VLOOKUP(A232,AssuranceTable,2,FALSE)</f>
        <v>Basic</v>
      </c>
      <c r="U232" t="str">
        <f t="shared" si="10"/>
        <v>XV84099 Arizona</v>
      </c>
      <c r="X232" s="4">
        <f t="shared" si="11"/>
        <v>550413.9</v>
      </c>
    </row>
    <row r="233" spans="1:24" x14ac:dyDescent="0.35">
      <c r="A233" t="s">
        <v>270</v>
      </c>
      <c r="B233" t="s">
        <v>5</v>
      </c>
      <c r="C233" t="s">
        <v>271</v>
      </c>
      <c r="D233" t="s">
        <v>35</v>
      </c>
      <c r="E233" s="5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  <c r="S233" t="str">
        <f t="shared" si="9"/>
        <v>Recomendado</v>
      </c>
      <c r="T233" t="str">
        <f>VLOOKUP(A233,AssuranceTable,2,FALSE)</f>
        <v>Basic</v>
      </c>
      <c r="U233" t="str">
        <f t="shared" si="10"/>
        <v>RI24911 Arizona</v>
      </c>
      <c r="X233" s="4">
        <f t="shared" si="11"/>
        <v>750745.54</v>
      </c>
    </row>
    <row r="234" spans="1:24" x14ac:dyDescent="0.35">
      <c r="A234" t="s">
        <v>272</v>
      </c>
      <c r="B234" t="s">
        <v>5</v>
      </c>
      <c r="C234" t="s">
        <v>271</v>
      </c>
      <c r="D234" t="s">
        <v>31</v>
      </c>
      <c r="E234" s="5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  <c r="S234" t="str">
        <f t="shared" si="9"/>
        <v>Recomendado</v>
      </c>
      <c r="T234" t="str">
        <f>VLOOKUP(A234,AssuranceTable,2,FALSE)</f>
        <v>Extended</v>
      </c>
      <c r="U234" t="str">
        <f t="shared" si="10"/>
        <v>KO26461 Arizona</v>
      </c>
      <c r="X234" s="4">
        <f t="shared" si="11"/>
        <v>3226985.14</v>
      </c>
    </row>
    <row r="235" spans="1:24" x14ac:dyDescent="0.35">
      <c r="A235" t="s">
        <v>273</v>
      </c>
      <c r="B235" t="s">
        <v>33</v>
      </c>
      <c r="C235" t="s">
        <v>193</v>
      </c>
      <c r="D235" t="s">
        <v>4</v>
      </c>
      <c r="E235" s="5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  <c r="S235" t="str">
        <f t="shared" si="9"/>
        <v>No recomendado</v>
      </c>
      <c r="T235" t="str">
        <f>VLOOKUP(A235,AssuranceTable,2,FALSE)</f>
        <v>Premium</v>
      </c>
      <c r="U235" t="str">
        <f t="shared" si="10"/>
        <v>HI14283 Oregon</v>
      </c>
      <c r="X235" s="4">
        <f t="shared" si="11"/>
        <v>565703.16</v>
      </c>
    </row>
    <row r="236" spans="1:24" x14ac:dyDescent="0.35">
      <c r="A236" t="s">
        <v>274</v>
      </c>
      <c r="B236" t="s">
        <v>5</v>
      </c>
      <c r="C236" t="s">
        <v>271</v>
      </c>
      <c r="D236" t="s">
        <v>31</v>
      </c>
      <c r="E236" s="5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  <c r="S236" t="str">
        <f t="shared" si="9"/>
        <v>No recomendado</v>
      </c>
      <c r="T236" t="str">
        <f>VLOOKUP(A236,AssuranceTable,2,FALSE)</f>
        <v>Basic</v>
      </c>
      <c r="U236" t="str">
        <f t="shared" si="10"/>
        <v>PT50227 Arizona</v>
      </c>
      <c r="X236" s="4">
        <f t="shared" si="11"/>
        <v>506175.79</v>
      </c>
    </row>
    <row r="237" spans="1:24" x14ac:dyDescent="0.35">
      <c r="A237" t="s">
        <v>275</v>
      </c>
      <c r="B237" t="s">
        <v>48</v>
      </c>
      <c r="C237" t="s">
        <v>271</v>
      </c>
      <c r="D237" t="s">
        <v>4</v>
      </c>
      <c r="E237" s="5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  <c r="S237" t="str">
        <f t="shared" si="9"/>
        <v>Recomendado</v>
      </c>
      <c r="T237" t="str">
        <f>VLOOKUP(A237,AssuranceTable,2,FALSE)</f>
        <v>Basic</v>
      </c>
      <c r="U237" t="str">
        <f t="shared" si="10"/>
        <v>BH36570 Cali</v>
      </c>
      <c r="X237" s="4">
        <f t="shared" si="11"/>
        <v>591278.38</v>
      </c>
    </row>
    <row r="238" spans="1:24" x14ac:dyDescent="0.35">
      <c r="A238" t="s">
        <v>276</v>
      </c>
      <c r="B238" t="s">
        <v>48</v>
      </c>
      <c r="C238" t="s">
        <v>193</v>
      </c>
      <c r="D238" t="s">
        <v>4</v>
      </c>
      <c r="E238" s="5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  <c r="S238" t="str">
        <f t="shared" si="9"/>
        <v>Recomendado</v>
      </c>
      <c r="T238" t="str">
        <f>VLOOKUP(A238,AssuranceTable,2,FALSE)</f>
        <v>Basic</v>
      </c>
      <c r="U238" t="str">
        <f t="shared" si="10"/>
        <v>TX17484 Cali</v>
      </c>
      <c r="X238" s="4">
        <f t="shared" si="11"/>
        <v>1518227.98</v>
      </c>
    </row>
    <row r="239" spans="1:24" x14ac:dyDescent="0.35">
      <c r="A239" t="s">
        <v>277</v>
      </c>
      <c r="B239" t="s">
        <v>102</v>
      </c>
      <c r="C239" t="s">
        <v>271</v>
      </c>
      <c r="D239" t="s">
        <v>35</v>
      </c>
      <c r="E239" s="5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S239" t="str">
        <f t="shared" si="9"/>
        <v>Recomendado</v>
      </c>
      <c r="T239" t="str">
        <f>VLOOKUP(A239,AssuranceTable,2,FALSE)</f>
        <v>Extended</v>
      </c>
      <c r="U239" t="str">
        <f t="shared" si="10"/>
        <v>CT41158 WA</v>
      </c>
      <c r="X239" s="4">
        <f t="shared" si="11"/>
        <v>1074703.0900000001</v>
      </c>
    </row>
    <row r="240" spans="1:24" x14ac:dyDescent="0.35">
      <c r="A240" t="s">
        <v>278</v>
      </c>
      <c r="B240" t="s">
        <v>102</v>
      </c>
      <c r="C240" t="s">
        <v>271</v>
      </c>
      <c r="D240" t="s">
        <v>35</v>
      </c>
      <c r="E240" s="5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  <c r="S240" t="str">
        <f t="shared" si="9"/>
        <v>No recomendado</v>
      </c>
      <c r="T240" t="str">
        <f>VLOOKUP(A240,AssuranceTable,2,FALSE)</f>
        <v>Basic</v>
      </c>
      <c r="U240" t="str">
        <f t="shared" si="10"/>
        <v>AO87348 WA</v>
      </c>
      <c r="X240" s="4">
        <f t="shared" si="11"/>
        <v>205062.35</v>
      </c>
    </row>
    <row r="241" spans="1:24" x14ac:dyDescent="0.35">
      <c r="A241" t="s">
        <v>279</v>
      </c>
      <c r="B241" t="s">
        <v>102</v>
      </c>
      <c r="C241" t="s">
        <v>193</v>
      </c>
      <c r="D241" t="s">
        <v>4</v>
      </c>
      <c r="E241" s="5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  <c r="S241" t="str">
        <f t="shared" si="9"/>
        <v>Recomendado</v>
      </c>
      <c r="T241" t="str">
        <f>VLOOKUP(A241,AssuranceTable,2,FALSE)</f>
        <v>Basic</v>
      </c>
      <c r="U241" t="str">
        <f t="shared" si="10"/>
        <v>DE55857 WA</v>
      </c>
      <c r="X241" s="4">
        <f t="shared" si="11"/>
        <v>246544.49</v>
      </c>
    </row>
    <row r="242" spans="1:24" x14ac:dyDescent="0.35">
      <c r="A242" t="s">
        <v>280</v>
      </c>
      <c r="B242" t="s">
        <v>23</v>
      </c>
      <c r="C242" t="s">
        <v>193</v>
      </c>
      <c r="D242" t="s">
        <v>31</v>
      </c>
      <c r="E242" s="5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S242" t="str">
        <f t="shared" si="9"/>
        <v>Recomendado</v>
      </c>
      <c r="T242" t="str">
        <f>VLOOKUP(A242,AssuranceTable,2,FALSE)</f>
        <v>Basic</v>
      </c>
      <c r="U242" t="str">
        <f t="shared" si="10"/>
        <v>LF66923 Nevada</v>
      </c>
      <c r="X242" s="4">
        <f t="shared" si="11"/>
        <v>534312.13</v>
      </c>
    </row>
    <row r="243" spans="1:24" x14ac:dyDescent="0.35">
      <c r="A243" t="s">
        <v>281</v>
      </c>
      <c r="B243" t="s">
        <v>5</v>
      </c>
      <c r="C243" t="s">
        <v>193</v>
      </c>
      <c r="D243" t="s">
        <v>35</v>
      </c>
      <c r="E243" s="5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  <c r="S243" t="str">
        <f t="shared" si="9"/>
        <v>Recomendado</v>
      </c>
      <c r="T243" t="str">
        <f>VLOOKUP(A243,AssuranceTable,2,FALSE)</f>
        <v>Basic</v>
      </c>
      <c r="U243" t="str">
        <f t="shared" si="10"/>
        <v>CN24514 Arizona</v>
      </c>
      <c r="X243" s="4">
        <f t="shared" si="11"/>
        <v>811982.91</v>
      </c>
    </row>
    <row r="244" spans="1:24" x14ac:dyDescent="0.35">
      <c r="A244" t="s">
        <v>282</v>
      </c>
      <c r="B244" t="s">
        <v>33</v>
      </c>
      <c r="C244" t="s">
        <v>193</v>
      </c>
      <c r="D244" t="s">
        <v>35</v>
      </c>
      <c r="E244" s="5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  <c r="S244" t="str">
        <f t="shared" si="9"/>
        <v>No recomendado</v>
      </c>
      <c r="T244" t="str">
        <f>VLOOKUP(A244,AssuranceTable,2,FALSE)</f>
        <v>Basic</v>
      </c>
      <c r="U244" t="str">
        <f t="shared" si="10"/>
        <v>UW32074 Oregon</v>
      </c>
      <c r="X244" s="4">
        <f t="shared" si="11"/>
        <v>460526.52</v>
      </c>
    </row>
    <row r="245" spans="1:24" x14ac:dyDescent="0.35">
      <c r="A245" t="s">
        <v>283</v>
      </c>
      <c r="B245" t="s">
        <v>48</v>
      </c>
      <c r="C245" t="s">
        <v>271</v>
      </c>
      <c r="D245" t="s">
        <v>35</v>
      </c>
      <c r="E245" s="5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  <c r="S245" t="str">
        <f t="shared" si="9"/>
        <v>Recomendado</v>
      </c>
      <c r="T245" t="str">
        <f>VLOOKUP(A245,AssuranceTable,2,FALSE)</f>
        <v>Extended</v>
      </c>
      <c r="U245" t="str">
        <f t="shared" si="10"/>
        <v>HP36979 Cali</v>
      </c>
      <c r="X245" s="4">
        <f t="shared" si="11"/>
        <v>640878.56000000006</v>
      </c>
    </row>
    <row r="246" spans="1:24" x14ac:dyDescent="0.35">
      <c r="A246" t="s">
        <v>284</v>
      </c>
      <c r="B246" t="s">
        <v>48</v>
      </c>
      <c r="C246" t="s">
        <v>193</v>
      </c>
      <c r="D246" t="s">
        <v>35</v>
      </c>
      <c r="E246" s="5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  <c r="S246" t="str">
        <f t="shared" si="9"/>
        <v>No recomendado</v>
      </c>
      <c r="T246" t="str">
        <f>VLOOKUP(A246,AssuranceTable,2,FALSE)</f>
        <v>Extended</v>
      </c>
      <c r="U246" t="str">
        <f t="shared" si="10"/>
        <v>PP40919 Cali</v>
      </c>
      <c r="X246" s="4">
        <f t="shared" si="11"/>
        <v>237653.35</v>
      </c>
    </row>
    <row r="247" spans="1:24" x14ac:dyDescent="0.35">
      <c r="A247" t="s">
        <v>285</v>
      </c>
      <c r="B247" t="s">
        <v>48</v>
      </c>
      <c r="C247" t="s">
        <v>27</v>
      </c>
      <c r="D247" t="s">
        <v>4</v>
      </c>
      <c r="E247" s="5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S247" t="str">
        <f t="shared" si="9"/>
        <v>Recomendado</v>
      </c>
      <c r="T247" t="str">
        <f>VLOOKUP(A247,AssuranceTable,2,FALSE)</f>
        <v>Extended</v>
      </c>
      <c r="U247" t="str">
        <f t="shared" si="10"/>
        <v>RO73268 Cali</v>
      </c>
      <c r="X247" s="4">
        <f t="shared" si="11"/>
        <v>321107</v>
      </c>
    </row>
    <row r="248" spans="1:24" x14ac:dyDescent="0.35">
      <c r="A248" t="s">
        <v>286</v>
      </c>
      <c r="B248" t="s">
        <v>5</v>
      </c>
      <c r="C248" t="s">
        <v>21</v>
      </c>
      <c r="D248" t="s">
        <v>4</v>
      </c>
      <c r="E248" s="5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  <c r="S248" t="str">
        <f t="shared" si="9"/>
        <v>Recomendado</v>
      </c>
      <c r="T248" t="str">
        <f>VLOOKUP(A248,AssuranceTable,2,FALSE)</f>
        <v>Basic</v>
      </c>
      <c r="U248" t="str">
        <f t="shared" si="10"/>
        <v>HO61691 Arizona</v>
      </c>
      <c r="X248" s="4">
        <f t="shared" si="11"/>
        <v>509452.23</v>
      </c>
    </row>
    <row r="249" spans="1:24" x14ac:dyDescent="0.35">
      <c r="A249" t="s">
        <v>287</v>
      </c>
      <c r="B249" t="s">
        <v>5</v>
      </c>
      <c r="C249" t="s">
        <v>21</v>
      </c>
      <c r="D249" t="s">
        <v>31</v>
      </c>
      <c r="E249" s="5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  <c r="S249" t="str">
        <f t="shared" si="9"/>
        <v>No recomendado</v>
      </c>
      <c r="T249" t="str">
        <f>VLOOKUP(A249,AssuranceTable,2,FALSE)</f>
        <v>Extended</v>
      </c>
      <c r="U249" t="str">
        <f t="shared" si="10"/>
        <v>BS13062 Arizona</v>
      </c>
      <c r="X249" s="4">
        <f t="shared" si="11"/>
        <v>2575527.8199999998</v>
      </c>
    </row>
    <row r="250" spans="1:24" x14ac:dyDescent="0.35">
      <c r="A250" t="s">
        <v>288</v>
      </c>
      <c r="B250" t="s">
        <v>33</v>
      </c>
      <c r="C250" t="s">
        <v>27</v>
      </c>
      <c r="D250" t="s">
        <v>4</v>
      </c>
      <c r="E250" s="5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S250" t="str">
        <f t="shared" si="9"/>
        <v>No recomendado</v>
      </c>
      <c r="T250" t="str">
        <f>VLOOKUP(A250,AssuranceTable,2,FALSE)</f>
        <v>Extended</v>
      </c>
      <c r="U250" t="str">
        <f t="shared" si="10"/>
        <v>FO35655 Oregon</v>
      </c>
      <c r="X250" s="4">
        <f t="shared" si="11"/>
        <v>867222.97</v>
      </c>
    </row>
    <row r="251" spans="1:24" x14ac:dyDescent="0.35">
      <c r="A251" t="s">
        <v>289</v>
      </c>
      <c r="B251" t="s">
        <v>48</v>
      </c>
      <c r="C251" t="s">
        <v>27</v>
      </c>
      <c r="D251" t="s">
        <v>2</v>
      </c>
      <c r="E251" s="5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  <c r="S251" t="str">
        <f t="shared" si="9"/>
        <v>Recomendado</v>
      </c>
      <c r="T251" t="str">
        <f>VLOOKUP(A251,AssuranceTable,2,FALSE)</f>
        <v>Basic</v>
      </c>
      <c r="U251" t="str">
        <f t="shared" si="10"/>
        <v>HR10526 Cali</v>
      </c>
      <c r="X251" s="4">
        <f t="shared" si="11"/>
        <v>804473.07</v>
      </c>
    </row>
    <row r="252" spans="1:24" x14ac:dyDescent="0.35">
      <c r="A252" t="s">
        <v>290</v>
      </c>
      <c r="B252" t="s">
        <v>5</v>
      </c>
      <c r="C252" t="s">
        <v>21</v>
      </c>
      <c r="D252" t="s">
        <v>31</v>
      </c>
      <c r="E252" s="5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  <c r="S252" t="str">
        <f t="shared" si="9"/>
        <v>Recomendado</v>
      </c>
      <c r="T252" t="str">
        <f>VLOOKUP(A252,AssuranceTable,2,FALSE)</f>
        <v>Premium</v>
      </c>
      <c r="U252" t="str">
        <f t="shared" si="10"/>
        <v>IA63417 Arizona</v>
      </c>
      <c r="X252" s="4">
        <f t="shared" si="11"/>
        <v>400151.91</v>
      </c>
    </row>
    <row r="253" spans="1:24" x14ac:dyDescent="0.35">
      <c r="A253" t="s">
        <v>291</v>
      </c>
      <c r="B253" t="s">
        <v>23</v>
      </c>
      <c r="C253" t="s">
        <v>21</v>
      </c>
      <c r="D253" t="s">
        <v>4</v>
      </c>
      <c r="E253" s="5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  <c r="S253" t="str">
        <f t="shared" si="9"/>
        <v>Recomendado</v>
      </c>
      <c r="T253" t="str">
        <f>VLOOKUP(A253,AssuranceTable,2,FALSE)</f>
        <v>Basic</v>
      </c>
      <c r="U253" t="str">
        <f t="shared" si="10"/>
        <v>BH35016 Nevada</v>
      </c>
      <c r="X253" s="4">
        <f t="shared" si="11"/>
        <v>1670611.7</v>
      </c>
    </row>
    <row r="254" spans="1:24" x14ac:dyDescent="0.35">
      <c r="A254" t="s">
        <v>292</v>
      </c>
      <c r="B254" t="s">
        <v>5</v>
      </c>
      <c r="C254" t="s">
        <v>27</v>
      </c>
      <c r="D254" t="s">
        <v>80</v>
      </c>
      <c r="E254" s="5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  <c r="S254" t="str">
        <f t="shared" si="9"/>
        <v>Recomendado</v>
      </c>
      <c r="T254" t="str">
        <f>VLOOKUP(A254,AssuranceTable,2,FALSE)</f>
        <v>Basic</v>
      </c>
      <c r="U254" t="str">
        <f t="shared" si="10"/>
        <v>PK52952 Arizona</v>
      </c>
      <c r="X254" s="4">
        <f t="shared" si="11"/>
        <v>854441.11</v>
      </c>
    </row>
    <row r="255" spans="1:24" x14ac:dyDescent="0.35">
      <c r="A255" t="s">
        <v>293</v>
      </c>
      <c r="B255" t="s">
        <v>102</v>
      </c>
      <c r="C255" t="s">
        <v>21</v>
      </c>
      <c r="D255" t="s">
        <v>35</v>
      </c>
      <c r="E255" s="5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  <c r="S255" t="str">
        <f t="shared" si="9"/>
        <v>Recomendado</v>
      </c>
      <c r="T255" t="str">
        <f>VLOOKUP(A255,AssuranceTable,2,FALSE)</f>
        <v>Basic</v>
      </c>
      <c r="U255" t="str">
        <f t="shared" si="10"/>
        <v>OD76309 WA</v>
      </c>
      <c r="X255" s="4">
        <f t="shared" si="11"/>
        <v>780531.29</v>
      </c>
    </row>
    <row r="256" spans="1:24" x14ac:dyDescent="0.35">
      <c r="A256" t="s">
        <v>294</v>
      </c>
      <c r="B256" t="s">
        <v>33</v>
      </c>
      <c r="C256" t="s">
        <v>27</v>
      </c>
      <c r="D256" t="s">
        <v>4</v>
      </c>
      <c r="E256" s="5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  <c r="S256" t="str">
        <f t="shared" si="9"/>
        <v>Recomendado</v>
      </c>
      <c r="T256" t="str">
        <f>VLOOKUP(A256,AssuranceTable,2,FALSE)</f>
        <v>Extended</v>
      </c>
      <c r="U256" t="str">
        <f t="shared" si="10"/>
        <v>IL28481 Oregon</v>
      </c>
      <c r="X256" s="4">
        <f t="shared" si="11"/>
        <v>611275.68999999994</v>
      </c>
    </row>
    <row r="257" spans="1:24" x14ac:dyDescent="0.35">
      <c r="A257" t="s">
        <v>295</v>
      </c>
      <c r="B257" t="s">
        <v>23</v>
      </c>
      <c r="C257" t="s">
        <v>27</v>
      </c>
      <c r="D257" t="s">
        <v>31</v>
      </c>
      <c r="E257" s="5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  <c r="S257" t="str">
        <f t="shared" si="9"/>
        <v>Recomendado</v>
      </c>
      <c r="T257" t="str">
        <f>VLOOKUP(A257,AssuranceTable,2,FALSE)</f>
        <v>Extended</v>
      </c>
      <c r="U257" t="str">
        <f t="shared" si="10"/>
        <v>GY55092 Nevada</v>
      </c>
      <c r="X257" s="4">
        <f t="shared" si="11"/>
        <v>477294.38</v>
      </c>
    </row>
    <row r="258" spans="1:24" x14ac:dyDescent="0.35">
      <c r="A258" t="s">
        <v>296</v>
      </c>
      <c r="B258" t="s">
        <v>33</v>
      </c>
      <c r="C258" t="s">
        <v>21</v>
      </c>
      <c r="D258" t="s">
        <v>4</v>
      </c>
      <c r="E258" s="5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  <c r="S258" t="str">
        <f t="shared" si="9"/>
        <v>Recomendado</v>
      </c>
      <c r="T258" t="str">
        <f>VLOOKUP(A258,AssuranceTable,2,FALSE)</f>
        <v>Extended</v>
      </c>
      <c r="U258" t="str">
        <f t="shared" si="10"/>
        <v>UF33451 Oregon</v>
      </c>
      <c r="X258" s="4">
        <f t="shared" si="11"/>
        <v>1097909.56</v>
      </c>
    </row>
    <row r="259" spans="1:24" x14ac:dyDescent="0.35">
      <c r="A259" t="s">
        <v>297</v>
      </c>
      <c r="B259" t="s">
        <v>48</v>
      </c>
      <c r="C259" t="s">
        <v>21</v>
      </c>
      <c r="D259" t="s">
        <v>2</v>
      </c>
      <c r="E259" s="5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  <c r="S259" t="str">
        <f t="shared" ref="S259:S322" si="12">IF(F259&gt;3000,"Recomendado","No recomendado")</f>
        <v>Recomendado</v>
      </c>
      <c r="T259" t="str">
        <f>VLOOKUP(A259,AssuranceTable,2,FALSE)</f>
        <v>Basic</v>
      </c>
      <c r="U259" t="str">
        <f t="shared" ref="U259:U322" si="13">_xlfn.CONCAT(A259, " ",B259)</f>
        <v>CF15558 Cali</v>
      </c>
      <c r="X259" s="4">
        <f t="shared" ref="X259:X322" si="14">ROUND(E259,3)</f>
        <v>500426.38</v>
      </c>
    </row>
    <row r="260" spans="1:24" x14ac:dyDescent="0.35">
      <c r="A260" t="s">
        <v>298</v>
      </c>
      <c r="B260" t="s">
        <v>102</v>
      </c>
      <c r="C260" t="s">
        <v>27</v>
      </c>
      <c r="D260" t="s">
        <v>4</v>
      </c>
      <c r="E260" s="5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  <c r="S260" t="str">
        <f t="shared" si="12"/>
        <v>Recomendado</v>
      </c>
      <c r="T260" t="str">
        <f>VLOOKUP(A260,AssuranceTable,2,FALSE)</f>
        <v>Extended</v>
      </c>
      <c r="U260" t="str">
        <f t="shared" si="13"/>
        <v>JM62924 WA</v>
      </c>
      <c r="X260" s="4">
        <f t="shared" si="14"/>
        <v>1322304.3799999999</v>
      </c>
    </row>
    <row r="261" spans="1:24" x14ac:dyDescent="0.35">
      <c r="A261" t="s">
        <v>299</v>
      </c>
      <c r="B261" t="s">
        <v>33</v>
      </c>
      <c r="C261" t="s">
        <v>21</v>
      </c>
      <c r="D261" t="s">
        <v>4</v>
      </c>
      <c r="E261" s="5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  <c r="S261" t="str">
        <f t="shared" si="12"/>
        <v>Recomendado</v>
      </c>
      <c r="T261" t="str">
        <f>VLOOKUP(A261,AssuranceTable,2,FALSE)</f>
        <v>Basic</v>
      </c>
      <c r="U261" t="str">
        <f t="shared" si="13"/>
        <v>EM66435 Oregon</v>
      </c>
      <c r="X261" s="4">
        <f t="shared" si="14"/>
        <v>262331.53999999998</v>
      </c>
    </row>
    <row r="262" spans="1:24" x14ac:dyDescent="0.35">
      <c r="A262" t="s">
        <v>300</v>
      </c>
      <c r="B262" t="s">
        <v>48</v>
      </c>
      <c r="C262" t="s">
        <v>27</v>
      </c>
      <c r="D262" t="s">
        <v>4</v>
      </c>
      <c r="E262" s="5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  <c r="S262" t="str">
        <f t="shared" si="12"/>
        <v>No recomendado</v>
      </c>
      <c r="T262" t="str">
        <f>VLOOKUP(A262,AssuranceTable,2,FALSE)</f>
        <v>Basic</v>
      </c>
      <c r="U262" t="str">
        <f t="shared" si="13"/>
        <v>QX45933 Cali</v>
      </c>
      <c r="X262" s="4">
        <f t="shared" si="14"/>
        <v>1784019.56</v>
      </c>
    </row>
    <row r="263" spans="1:24" x14ac:dyDescent="0.35">
      <c r="A263" t="s">
        <v>301</v>
      </c>
      <c r="B263" t="s">
        <v>48</v>
      </c>
      <c r="C263" t="s">
        <v>21</v>
      </c>
      <c r="D263" t="s">
        <v>35</v>
      </c>
      <c r="E263" s="5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  <c r="S263" t="str">
        <f t="shared" si="12"/>
        <v>Recomendado</v>
      </c>
      <c r="T263" t="str">
        <f>VLOOKUP(A263,AssuranceTable,2,FALSE)</f>
        <v>Basic</v>
      </c>
      <c r="U263" t="str">
        <f t="shared" si="13"/>
        <v>JI71369 Cali</v>
      </c>
      <c r="X263" s="4">
        <f t="shared" si="14"/>
        <v>510611.18</v>
      </c>
    </row>
    <row r="264" spans="1:24" x14ac:dyDescent="0.35">
      <c r="A264" t="s">
        <v>302</v>
      </c>
      <c r="B264" t="s">
        <v>5</v>
      </c>
      <c r="C264" t="s">
        <v>21</v>
      </c>
      <c r="D264" t="s">
        <v>35</v>
      </c>
      <c r="E264" s="5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  <c r="S264" t="str">
        <f t="shared" si="12"/>
        <v>Recomendado</v>
      </c>
      <c r="T264" t="str">
        <f>VLOOKUP(A264,AssuranceTable,2,FALSE)</f>
        <v>Basic</v>
      </c>
      <c r="U264" t="str">
        <f t="shared" si="13"/>
        <v>JU93290 Arizona</v>
      </c>
      <c r="X264" s="4">
        <f t="shared" si="14"/>
        <v>1793060.45</v>
      </c>
    </row>
    <row r="265" spans="1:24" x14ac:dyDescent="0.35">
      <c r="A265" t="s">
        <v>303</v>
      </c>
      <c r="B265" t="s">
        <v>5</v>
      </c>
      <c r="C265" t="s">
        <v>27</v>
      </c>
      <c r="D265" t="s">
        <v>31</v>
      </c>
      <c r="E265" s="5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  <c r="S265" t="str">
        <f t="shared" si="12"/>
        <v>Recomendado</v>
      </c>
      <c r="T265" t="str">
        <f>VLOOKUP(A265,AssuranceTable,2,FALSE)</f>
        <v>Basic</v>
      </c>
      <c r="U265" t="str">
        <f t="shared" si="13"/>
        <v>GU66096 Arizona</v>
      </c>
      <c r="X265" s="4">
        <f t="shared" si="14"/>
        <v>545734.26</v>
      </c>
    </row>
    <row r="266" spans="1:24" x14ac:dyDescent="0.35">
      <c r="A266" t="s">
        <v>304</v>
      </c>
      <c r="B266" t="s">
        <v>48</v>
      </c>
      <c r="C266" t="s">
        <v>27</v>
      </c>
      <c r="D266" t="s">
        <v>4</v>
      </c>
      <c r="E266" s="5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  <c r="S266" t="str">
        <f t="shared" si="12"/>
        <v>Recomendado</v>
      </c>
      <c r="T266" t="str">
        <f>VLOOKUP(A266,AssuranceTable,2,FALSE)</f>
        <v>Extended</v>
      </c>
      <c r="U266" t="str">
        <f t="shared" si="13"/>
        <v>UC33108 Cali</v>
      </c>
      <c r="X266" s="4">
        <f t="shared" si="14"/>
        <v>656364.41</v>
      </c>
    </row>
    <row r="267" spans="1:24" x14ac:dyDescent="0.35">
      <c r="A267" t="s">
        <v>305</v>
      </c>
      <c r="B267" t="s">
        <v>33</v>
      </c>
      <c r="C267" t="s">
        <v>27</v>
      </c>
      <c r="D267" t="s">
        <v>35</v>
      </c>
      <c r="E267" s="5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  <c r="S267" t="str">
        <f t="shared" si="12"/>
        <v>Recomendado</v>
      </c>
      <c r="T267" t="str">
        <f>VLOOKUP(A267,AssuranceTable,2,FALSE)</f>
        <v>Basic</v>
      </c>
      <c r="U267" t="str">
        <f t="shared" si="13"/>
        <v>LW93867 Oregon</v>
      </c>
      <c r="X267" s="4">
        <f t="shared" si="14"/>
        <v>481252.52</v>
      </c>
    </row>
    <row r="268" spans="1:24" x14ac:dyDescent="0.35">
      <c r="A268" t="s">
        <v>306</v>
      </c>
      <c r="B268" t="s">
        <v>5</v>
      </c>
      <c r="C268" t="s">
        <v>21</v>
      </c>
      <c r="D268" t="s">
        <v>2</v>
      </c>
      <c r="E268" s="5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  <c r="S268" t="str">
        <f t="shared" si="12"/>
        <v>Recomendado</v>
      </c>
      <c r="T268" t="str">
        <f>VLOOKUP(A268,AssuranceTable,2,FALSE)</f>
        <v>Extended</v>
      </c>
      <c r="U268" t="str">
        <f t="shared" si="13"/>
        <v>OU78470 Arizona</v>
      </c>
      <c r="X268" s="4">
        <f t="shared" si="14"/>
        <v>2932804.19</v>
      </c>
    </row>
    <row r="269" spans="1:24" x14ac:dyDescent="0.35">
      <c r="A269" t="s">
        <v>307</v>
      </c>
      <c r="B269" t="s">
        <v>5</v>
      </c>
      <c r="C269" t="s">
        <v>21</v>
      </c>
      <c r="D269" t="s">
        <v>4</v>
      </c>
      <c r="E269" s="5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  <c r="S269" t="str">
        <f t="shared" si="12"/>
        <v>Recomendado</v>
      </c>
      <c r="T269" t="str">
        <f>VLOOKUP(A269,AssuranceTable,2,FALSE)</f>
        <v>Basic</v>
      </c>
      <c r="U269" t="str">
        <f t="shared" si="13"/>
        <v>XW90265 Arizona</v>
      </c>
      <c r="X269" s="4">
        <f t="shared" si="14"/>
        <v>577352.06999999995</v>
      </c>
    </row>
    <row r="270" spans="1:24" x14ac:dyDescent="0.35">
      <c r="A270" t="s">
        <v>308</v>
      </c>
      <c r="B270" t="s">
        <v>48</v>
      </c>
      <c r="C270" t="s">
        <v>27</v>
      </c>
      <c r="D270" t="s">
        <v>35</v>
      </c>
      <c r="E270" s="5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  <c r="S270" t="str">
        <f t="shared" si="12"/>
        <v>Recomendado</v>
      </c>
      <c r="T270" t="str">
        <f>VLOOKUP(A270,AssuranceTable,2,FALSE)</f>
        <v>Extended</v>
      </c>
      <c r="U270" t="str">
        <f t="shared" si="13"/>
        <v>HS67749 Cali</v>
      </c>
      <c r="X270" s="4">
        <f t="shared" si="14"/>
        <v>684711.89</v>
      </c>
    </row>
    <row r="271" spans="1:24" x14ac:dyDescent="0.35">
      <c r="A271" t="s">
        <v>309</v>
      </c>
      <c r="B271" t="s">
        <v>5</v>
      </c>
      <c r="C271" t="s">
        <v>21</v>
      </c>
      <c r="D271" t="s">
        <v>31</v>
      </c>
      <c r="E271" s="5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S271" t="str">
        <f t="shared" si="12"/>
        <v>No recomendado</v>
      </c>
      <c r="T271" t="str">
        <f>VLOOKUP(A271,AssuranceTable,2,FALSE)</f>
        <v>Basic</v>
      </c>
      <c r="U271" t="str">
        <f t="shared" si="13"/>
        <v>VZ51506 Arizona</v>
      </c>
      <c r="X271" s="4">
        <f t="shared" si="14"/>
        <v>359531.29</v>
      </c>
    </row>
    <row r="272" spans="1:24" x14ac:dyDescent="0.35">
      <c r="A272" t="s">
        <v>310</v>
      </c>
      <c r="B272" t="s">
        <v>23</v>
      </c>
      <c r="C272" t="s">
        <v>21</v>
      </c>
      <c r="D272" t="s">
        <v>2</v>
      </c>
      <c r="E272" s="5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  <c r="S272" t="str">
        <f t="shared" si="12"/>
        <v>Recomendado</v>
      </c>
      <c r="T272" t="str">
        <f>VLOOKUP(A272,AssuranceTable,2,FALSE)</f>
        <v>Basic</v>
      </c>
      <c r="U272" t="str">
        <f t="shared" si="13"/>
        <v>UI64281 Nevada</v>
      </c>
      <c r="X272" s="4">
        <f t="shared" si="14"/>
        <v>2285561.21</v>
      </c>
    </row>
    <row r="273" spans="1:24" x14ac:dyDescent="0.35">
      <c r="A273" t="s">
        <v>311</v>
      </c>
      <c r="B273" t="s">
        <v>102</v>
      </c>
      <c r="C273" t="s">
        <v>27</v>
      </c>
      <c r="D273" t="s">
        <v>31</v>
      </c>
      <c r="E273" s="5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  <c r="S273" t="str">
        <f t="shared" si="12"/>
        <v>No recomendado</v>
      </c>
      <c r="T273" t="str">
        <f>VLOOKUP(A273,AssuranceTable,2,FALSE)</f>
        <v>Basic</v>
      </c>
      <c r="U273" t="str">
        <f t="shared" si="13"/>
        <v>AE98193 WA</v>
      </c>
      <c r="X273" s="4">
        <f t="shared" si="14"/>
        <v>785941.46</v>
      </c>
    </row>
    <row r="274" spans="1:24" x14ac:dyDescent="0.35">
      <c r="A274" t="s">
        <v>312</v>
      </c>
      <c r="B274" t="s">
        <v>33</v>
      </c>
      <c r="C274" t="s">
        <v>27</v>
      </c>
      <c r="D274" t="s">
        <v>31</v>
      </c>
      <c r="E274" s="5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  <c r="S274" t="str">
        <f t="shared" si="12"/>
        <v>Recomendado</v>
      </c>
      <c r="T274" t="str">
        <f>VLOOKUP(A274,AssuranceTable,2,FALSE)</f>
        <v>Premium</v>
      </c>
      <c r="U274" t="str">
        <f t="shared" si="13"/>
        <v>AZ74055 Oregon</v>
      </c>
      <c r="X274" s="4">
        <f t="shared" si="14"/>
        <v>411557.74</v>
      </c>
    </row>
    <row r="275" spans="1:24" x14ac:dyDescent="0.35">
      <c r="A275" t="s">
        <v>313</v>
      </c>
      <c r="B275" t="s">
        <v>5</v>
      </c>
      <c r="C275" t="s">
        <v>21</v>
      </c>
      <c r="D275" t="s">
        <v>31</v>
      </c>
      <c r="E275" s="5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  <c r="S275" t="str">
        <f t="shared" si="12"/>
        <v>No recomendado</v>
      </c>
      <c r="T275" t="str">
        <f>VLOOKUP(A275,AssuranceTable,2,FALSE)</f>
        <v>Extended</v>
      </c>
      <c r="U275" t="str">
        <f t="shared" si="13"/>
        <v>XS76911 Arizona</v>
      </c>
      <c r="X275" s="4">
        <f t="shared" si="14"/>
        <v>502963.88</v>
      </c>
    </row>
    <row r="276" spans="1:24" x14ac:dyDescent="0.35">
      <c r="A276" t="s">
        <v>314</v>
      </c>
      <c r="B276" t="s">
        <v>102</v>
      </c>
      <c r="C276" t="s">
        <v>21</v>
      </c>
      <c r="D276" t="s">
        <v>4</v>
      </c>
      <c r="E276" s="5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  <c r="S276" t="str">
        <f t="shared" si="12"/>
        <v>Recomendado</v>
      </c>
      <c r="T276" t="str">
        <f>VLOOKUP(A276,AssuranceTable,2,FALSE)</f>
        <v>Extended</v>
      </c>
      <c r="U276" t="str">
        <f t="shared" si="13"/>
        <v>AY40674 WA</v>
      </c>
      <c r="X276" s="4">
        <f t="shared" si="14"/>
        <v>482141.85</v>
      </c>
    </row>
    <row r="277" spans="1:24" x14ac:dyDescent="0.35">
      <c r="A277" t="s">
        <v>315</v>
      </c>
      <c r="B277" t="s">
        <v>33</v>
      </c>
      <c r="C277" t="s">
        <v>27</v>
      </c>
      <c r="D277" t="s">
        <v>2</v>
      </c>
      <c r="E277" s="5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S277" t="str">
        <f t="shared" si="12"/>
        <v>Recomendado</v>
      </c>
      <c r="T277" t="str">
        <f>VLOOKUP(A277,AssuranceTable,2,FALSE)</f>
        <v>Basic</v>
      </c>
      <c r="U277" t="str">
        <f t="shared" si="13"/>
        <v>NA12740 Oregon</v>
      </c>
      <c r="X277" s="4">
        <f t="shared" si="14"/>
        <v>500431.05</v>
      </c>
    </row>
    <row r="278" spans="1:24" x14ac:dyDescent="0.35">
      <c r="A278" t="s">
        <v>316</v>
      </c>
      <c r="B278" t="s">
        <v>5</v>
      </c>
      <c r="C278" t="s">
        <v>27</v>
      </c>
      <c r="D278" t="s">
        <v>35</v>
      </c>
      <c r="E278" s="5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  <c r="S278" t="str">
        <f t="shared" si="12"/>
        <v>Recomendado</v>
      </c>
      <c r="T278" t="str">
        <f>VLOOKUP(A278,AssuranceTable,2,FALSE)</f>
        <v>Premium</v>
      </c>
      <c r="U278" t="str">
        <f t="shared" si="13"/>
        <v>UA84837 Arizona</v>
      </c>
      <c r="X278" s="4">
        <f t="shared" si="14"/>
        <v>863005.39</v>
      </c>
    </row>
    <row r="279" spans="1:24" x14ac:dyDescent="0.35">
      <c r="A279" t="s">
        <v>317</v>
      </c>
      <c r="B279" t="s">
        <v>5</v>
      </c>
      <c r="C279" t="s">
        <v>21</v>
      </c>
      <c r="D279" t="s">
        <v>31</v>
      </c>
      <c r="E279" s="5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  <c r="S279" t="str">
        <f t="shared" si="12"/>
        <v>Recomendado</v>
      </c>
      <c r="T279" t="str">
        <f>VLOOKUP(A279,AssuranceTable,2,FALSE)</f>
        <v>Premium</v>
      </c>
      <c r="U279" t="str">
        <f t="shared" si="13"/>
        <v>DJ51510 Arizona</v>
      </c>
      <c r="X279" s="4">
        <f t="shared" si="14"/>
        <v>932208.51</v>
      </c>
    </row>
    <row r="280" spans="1:24" x14ac:dyDescent="0.35">
      <c r="A280" t="s">
        <v>318</v>
      </c>
      <c r="B280" t="s">
        <v>48</v>
      </c>
      <c r="C280" t="s">
        <v>27</v>
      </c>
      <c r="D280" t="s">
        <v>35</v>
      </c>
      <c r="E280" s="5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  <c r="S280" t="str">
        <f t="shared" si="12"/>
        <v>No recomendado</v>
      </c>
      <c r="T280" t="str">
        <f>VLOOKUP(A280,AssuranceTable,2,FALSE)</f>
        <v>Extended</v>
      </c>
      <c r="U280" t="str">
        <f t="shared" si="13"/>
        <v>VM58985 Cali</v>
      </c>
      <c r="X280" s="4">
        <f t="shared" si="14"/>
        <v>1672756.06</v>
      </c>
    </row>
    <row r="281" spans="1:24" x14ac:dyDescent="0.35">
      <c r="A281" t="s">
        <v>319</v>
      </c>
      <c r="B281" t="s">
        <v>33</v>
      </c>
      <c r="C281" t="s">
        <v>21</v>
      </c>
      <c r="D281" t="s">
        <v>31</v>
      </c>
      <c r="E281" s="5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  <c r="S281" t="str">
        <f t="shared" si="12"/>
        <v>Recomendado</v>
      </c>
      <c r="T281" t="str">
        <f>VLOOKUP(A281,AssuranceTable,2,FALSE)</f>
        <v>Extended</v>
      </c>
      <c r="U281" t="str">
        <f t="shared" si="13"/>
        <v>OH60605 Oregon</v>
      </c>
      <c r="X281" s="4">
        <f t="shared" si="14"/>
        <v>365253.24</v>
      </c>
    </row>
    <row r="282" spans="1:24" x14ac:dyDescent="0.35">
      <c r="A282" t="s">
        <v>320</v>
      </c>
      <c r="B282" t="s">
        <v>23</v>
      </c>
      <c r="C282" t="s">
        <v>27</v>
      </c>
      <c r="D282" t="s">
        <v>35</v>
      </c>
      <c r="E282" s="5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  <c r="S282" t="str">
        <f t="shared" si="12"/>
        <v>No recomendado</v>
      </c>
      <c r="T282" t="str">
        <f>VLOOKUP(A282,AssuranceTable,2,FALSE)</f>
        <v>Extended</v>
      </c>
      <c r="U282" t="str">
        <f t="shared" si="13"/>
        <v>UO98052 Nevada</v>
      </c>
      <c r="X282" s="4">
        <f t="shared" si="14"/>
        <v>615860.12</v>
      </c>
    </row>
    <row r="283" spans="1:24" x14ac:dyDescent="0.35">
      <c r="A283" t="s">
        <v>321</v>
      </c>
      <c r="B283" t="s">
        <v>48</v>
      </c>
      <c r="C283" t="s">
        <v>27</v>
      </c>
      <c r="D283" t="s">
        <v>4</v>
      </c>
      <c r="E283" s="5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  <c r="S283" t="str">
        <f t="shared" si="12"/>
        <v>No recomendado</v>
      </c>
      <c r="T283" t="str">
        <f>VLOOKUP(A283,AssuranceTable,2,FALSE)</f>
        <v>Basic</v>
      </c>
      <c r="U283" t="str">
        <f t="shared" si="13"/>
        <v>NC53424 Cali</v>
      </c>
      <c r="X283" s="4">
        <f t="shared" si="14"/>
        <v>437608.4</v>
      </c>
    </row>
    <row r="284" spans="1:24" x14ac:dyDescent="0.35">
      <c r="A284" t="s">
        <v>322</v>
      </c>
      <c r="B284" t="s">
        <v>23</v>
      </c>
      <c r="C284" t="s">
        <v>27</v>
      </c>
      <c r="D284" t="s">
        <v>31</v>
      </c>
      <c r="E284" s="5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  <c r="S284" t="str">
        <f t="shared" si="12"/>
        <v>Recomendado</v>
      </c>
      <c r="T284" t="str">
        <f>VLOOKUP(A284,AssuranceTable,2,FALSE)</f>
        <v>Basic</v>
      </c>
      <c r="U284" t="str">
        <f t="shared" si="13"/>
        <v>LQ13873 Nevada</v>
      </c>
      <c r="X284" s="4">
        <f t="shared" si="14"/>
        <v>556945.62</v>
      </c>
    </row>
    <row r="285" spans="1:24" x14ac:dyDescent="0.35">
      <c r="A285" t="s">
        <v>323</v>
      </c>
      <c r="B285" t="s">
        <v>102</v>
      </c>
      <c r="C285" t="s">
        <v>27</v>
      </c>
      <c r="D285" t="s">
        <v>4</v>
      </c>
      <c r="E285" s="5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  <c r="S285" t="str">
        <f t="shared" si="12"/>
        <v>Recomendado</v>
      </c>
      <c r="T285" t="str">
        <f>VLOOKUP(A285,AssuranceTable,2,FALSE)</f>
        <v>Basic</v>
      </c>
      <c r="U285" t="str">
        <f t="shared" si="13"/>
        <v>LA97014 WA</v>
      </c>
      <c r="X285" s="4">
        <f t="shared" si="14"/>
        <v>257651.3</v>
      </c>
    </row>
    <row r="286" spans="1:24" x14ac:dyDescent="0.35">
      <c r="A286" t="s">
        <v>324</v>
      </c>
      <c r="B286" t="s">
        <v>102</v>
      </c>
      <c r="C286" t="s">
        <v>27</v>
      </c>
      <c r="D286" t="s">
        <v>4</v>
      </c>
      <c r="E286" s="5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  <c r="S286" t="str">
        <f t="shared" si="12"/>
        <v>Recomendado</v>
      </c>
      <c r="T286" t="str">
        <f>VLOOKUP(A286,AssuranceTable,2,FALSE)</f>
        <v>Premium</v>
      </c>
      <c r="U286" t="str">
        <f t="shared" si="13"/>
        <v>NB79936 WA</v>
      </c>
      <c r="X286" s="4">
        <f t="shared" si="14"/>
        <v>834698.32</v>
      </c>
    </row>
    <row r="287" spans="1:24" x14ac:dyDescent="0.35">
      <c r="A287" t="s">
        <v>325</v>
      </c>
      <c r="B287" t="s">
        <v>5</v>
      </c>
      <c r="C287" t="s">
        <v>21</v>
      </c>
      <c r="D287" t="s">
        <v>31</v>
      </c>
      <c r="E287" s="5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  <c r="S287" t="str">
        <f t="shared" si="12"/>
        <v>Recomendado</v>
      </c>
      <c r="T287" t="str">
        <f>VLOOKUP(A287,AssuranceTable,2,FALSE)</f>
        <v>Extended</v>
      </c>
      <c r="U287" t="str">
        <f t="shared" si="13"/>
        <v>NT89061 Arizona</v>
      </c>
      <c r="X287" s="4">
        <f t="shared" si="14"/>
        <v>632392.39</v>
      </c>
    </row>
    <row r="288" spans="1:24" x14ac:dyDescent="0.35">
      <c r="A288" t="s">
        <v>326</v>
      </c>
      <c r="B288" t="s">
        <v>5</v>
      </c>
      <c r="C288" t="s">
        <v>21</v>
      </c>
      <c r="D288" t="s">
        <v>4</v>
      </c>
      <c r="E288" s="5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  <c r="S288" t="str">
        <f t="shared" si="12"/>
        <v>Recomendado</v>
      </c>
      <c r="T288" t="str">
        <f>VLOOKUP(A288,AssuranceTable,2,FALSE)</f>
        <v>Basic</v>
      </c>
      <c r="U288" t="str">
        <f t="shared" si="13"/>
        <v>AF10970 Arizona</v>
      </c>
      <c r="X288" s="4">
        <f t="shared" si="14"/>
        <v>597314.34</v>
      </c>
    </row>
    <row r="289" spans="1:24" x14ac:dyDescent="0.35">
      <c r="A289" t="s">
        <v>327</v>
      </c>
      <c r="B289" t="s">
        <v>48</v>
      </c>
      <c r="C289" t="s">
        <v>27</v>
      </c>
      <c r="D289" t="s">
        <v>4</v>
      </c>
      <c r="E289" s="5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  <c r="S289" t="str">
        <f t="shared" si="12"/>
        <v>No recomendado</v>
      </c>
      <c r="T289" t="str">
        <f>VLOOKUP(A289,AssuranceTable,2,FALSE)</f>
        <v>Basic</v>
      </c>
      <c r="U289" t="str">
        <f t="shared" si="13"/>
        <v>ZG48513 Cali</v>
      </c>
      <c r="X289" s="4">
        <f t="shared" si="14"/>
        <v>470667.7</v>
      </c>
    </row>
    <row r="290" spans="1:24" x14ac:dyDescent="0.35">
      <c r="A290" t="s">
        <v>328</v>
      </c>
      <c r="B290" t="s">
        <v>48</v>
      </c>
      <c r="C290" t="s">
        <v>271</v>
      </c>
      <c r="D290" t="s">
        <v>31</v>
      </c>
      <c r="E290" s="5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  <c r="S290" t="str">
        <f t="shared" si="12"/>
        <v>No recomendado</v>
      </c>
      <c r="T290" t="str">
        <f>VLOOKUP(A290,AssuranceTable,2,FALSE)</f>
        <v>Basic</v>
      </c>
      <c r="U290" t="str">
        <f t="shared" si="13"/>
        <v>JQ59145 Cali</v>
      </c>
      <c r="X290" s="4">
        <f t="shared" si="14"/>
        <v>809341.03</v>
      </c>
    </row>
    <row r="291" spans="1:24" x14ac:dyDescent="0.35">
      <c r="A291" t="s">
        <v>329</v>
      </c>
      <c r="B291" t="s">
        <v>102</v>
      </c>
      <c r="C291" t="s">
        <v>271</v>
      </c>
      <c r="D291" t="s">
        <v>35</v>
      </c>
      <c r="E291" s="5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  <c r="S291" t="str">
        <f t="shared" si="12"/>
        <v>Recomendado</v>
      </c>
      <c r="T291" t="str">
        <f>VLOOKUP(A291,AssuranceTable,2,FALSE)</f>
        <v>Basic</v>
      </c>
      <c r="U291" t="str">
        <f t="shared" si="13"/>
        <v>FE84989 WA</v>
      </c>
      <c r="X291" s="4">
        <f t="shared" si="14"/>
        <v>503574.46</v>
      </c>
    </row>
    <row r="292" spans="1:24" x14ac:dyDescent="0.35">
      <c r="A292" t="s">
        <v>330</v>
      </c>
      <c r="B292" t="s">
        <v>33</v>
      </c>
      <c r="C292" t="s">
        <v>21</v>
      </c>
      <c r="D292" t="s">
        <v>4</v>
      </c>
      <c r="E292" s="5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  <c r="S292" t="str">
        <f t="shared" si="12"/>
        <v>Recomendado</v>
      </c>
      <c r="T292" t="str">
        <f>VLOOKUP(A292,AssuranceTable,2,FALSE)</f>
        <v>Premium</v>
      </c>
      <c r="U292" t="str">
        <f t="shared" si="13"/>
        <v>JT52858 Oregon</v>
      </c>
      <c r="X292" s="4">
        <f t="shared" si="14"/>
        <v>902786.72</v>
      </c>
    </row>
    <row r="293" spans="1:24" x14ac:dyDescent="0.35">
      <c r="A293" t="s">
        <v>331</v>
      </c>
      <c r="B293" t="s">
        <v>26</v>
      </c>
      <c r="C293" t="s">
        <v>271</v>
      </c>
      <c r="D293" t="s">
        <v>31</v>
      </c>
      <c r="E293" s="5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  <c r="S293" t="str">
        <f t="shared" si="12"/>
        <v>Recomendado</v>
      </c>
      <c r="T293" t="str">
        <f>VLOOKUP(A293,AssuranceTable,2,FALSE)</f>
        <v>Extended</v>
      </c>
      <c r="U293" t="str">
        <f t="shared" si="13"/>
        <v>MC62068 California</v>
      </c>
      <c r="X293" s="4">
        <f t="shared" si="14"/>
        <v>728888.48</v>
      </c>
    </row>
    <row r="294" spans="1:24" x14ac:dyDescent="0.35">
      <c r="A294" t="s">
        <v>332</v>
      </c>
      <c r="B294" t="s">
        <v>33</v>
      </c>
      <c r="C294" t="s">
        <v>271</v>
      </c>
      <c r="D294" t="s">
        <v>2</v>
      </c>
      <c r="E294" s="5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  <c r="S294" t="str">
        <f t="shared" si="12"/>
        <v>Recomendado</v>
      </c>
      <c r="T294" t="str">
        <f>VLOOKUP(A294,AssuranceTable,2,FALSE)</f>
        <v>Extended</v>
      </c>
      <c r="U294" t="str">
        <f t="shared" si="13"/>
        <v>EU27538 Oregon</v>
      </c>
      <c r="X294" s="4">
        <f t="shared" si="14"/>
        <v>1804247.94</v>
      </c>
    </row>
    <row r="295" spans="1:24" x14ac:dyDescent="0.35">
      <c r="A295" t="s">
        <v>333</v>
      </c>
      <c r="B295" t="s">
        <v>5</v>
      </c>
      <c r="C295" t="s">
        <v>21</v>
      </c>
      <c r="D295" t="s">
        <v>4</v>
      </c>
      <c r="E295" s="5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  <c r="S295" t="str">
        <f t="shared" si="12"/>
        <v>No recomendado</v>
      </c>
      <c r="T295" t="str">
        <f>VLOOKUP(A295,AssuranceTable,2,FALSE)</f>
        <v>Basic</v>
      </c>
      <c r="U295" t="str">
        <f t="shared" si="13"/>
        <v>RH42306 Arizona</v>
      </c>
      <c r="X295" s="4">
        <f t="shared" si="14"/>
        <v>499206.3</v>
      </c>
    </row>
    <row r="296" spans="1:24" x14ac:dyDescent="0.35">
      <c r="A296" t="s">
        <v>334</v>
      </c>
      <c r="B296" t="s">
        <v>33</v>
      </c>
      <c r="C296" t="s">
        <v>21</v>
      </c>
      <c r="D296" t="s">
        <v>31</v>
      </c>
      <c r="E296" s="5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  <c r="S296" t="str">
        <f t="shared" si="12"/>
        <v>Recomendado</v>
      </c>
      <c r="T296" t="str">
        <f>VLOOKUP(A296,AssuranceTable,2,FALSE)</f>
        <v>Premium</v>
      </c>
      <c r="U296" t="str">
        <f t="shared" si="13"/>
        <v>US23612 Oregon</v>
      </c>
      <c r="X296" s="4">
        <f t="shared" si="14"/>
        <v>910226.78</v>
      </c>
    </row>
    <row r="297" spans="1:24" x14ac:dyDescent="0.35">
      <c r="A297" t="s">
        <v>335</v>
      </c>
      <c r="B297" t="s">
        <v>5</v>
      </c>
      <c r="C297" t="s">
        <v>271</v>
      </c>
      <c r="D297" t="s">
        <v>80</v>
      </c>
      <c r="E297" s="5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  <c r="S297" t="str">
        <f t="shared" si="12"/>
        <v>Recomendado</v>
      </c>
      <c r="T297" t="str">
        <f>VLOOKUP(A297,AssuranceTable,2,FALSE)</f>
        <v>Basic</v>
      </c>
      <c r="U297" t="str">
        <f t="shared" si="13"/>
        <v>WV76014 Arizona</v>
      </c>
      <c r="X297" s="4">
        <f t="shared" si="14"/>
        <v>254040.77</v>
      </c>
    </row>
    <row r="298" spans="1:24" x14ac:dyDescent="0.35">
      <c r="A298" t="s">
        <v>336</v>
      </c>
      <c r="B298" t="s">
        <v>26</v>
      </c>
      <c r="C298" t="s">
        <v>271</v>
      </c>
      <c r="D298" t="s">
        <v>35</v>
      </c>
      <c r="E298" s="5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  <c r="S298" t="str">
        <f t="shared" si="12"/>
        <v>Recomendado</v>
      </c>
      <c r="T298" t="str">
        <f>VLOOKUP(A298,AssuranceTable,2,FALSE)</f>
        <v>Basic</v>
      </c>
      <c r="U298" t="str">
        <f t="shared" si="13"/>
        <v>RK96223 California</v>
      </c>
      <c r="X298" s="4">
        <f t="shared" si="14"/>
        <v>1294189.19</v>
      </c>
    </row>
    <row r="299" spans="1:24" x14ac:dyDescent="0.35">
      <c r="A299" t="s">
        <v>337</v>
      </c>
      <c r="B299" t="s">
        <v>102</v>
      </c>
      <c r="C299" t="s">
        <v>338</v>
      </c>
      <c r="D299" t="s">
        <v>4</v>
      </c>
      <c r="E299" s="5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  <c r="S299" t="str">
        <f t="shared" si="12"/>
        <v>No recomendado</v>
      </c>
      <c r="T299" t="str">
        <f>VLOOKUP(A299,AssuranceTable,2,FALSE)</f>
        <v>Basic</v>
      </c>
      <c r="U299" t="str">
        <f t="shared" si="13"/>
        <v>MF82000 WA</v>
      </c>
      <c r="X299" s="4">
        <f t="shared" si="14"/>
        <v>236534.86</v>
      </c>
    </row>
    <row r="300" spans="1:24" x14ac:dyDescent="0.35">
      <c r="A300" t="s">
        <v>339</v>
      </c>
      <c r="B300" t="s">
        <v>5</v>
      </c>
      <c r="C300" t="s">
        <v>271</v>
      </c>
      <c r="D300" t="s">
        <v>35</v>
      </c>
      <c r="E300" s="5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  <c r="S300" t="str">
        <f t="shared" si="12"/>
        <v>Recomendado</v>
      </c>
      <c r="T300" t="str">
        <f>VLOOKUP(A300,AssuranceTable,2,FALSE)</f>
        <v>Basic</v>
      </c>
      <c r="U300" t="str">
        <f t="shared" si="13"/>
        <v>FM46980 Arizona</v>
      </c>
      <c r="X300" s="4">
        <f t="shared" si="14"/>
        <v>572076.51</v>
      </c>
    </row>
    <row r="301" spans="1:24" x14ac:dyDescent="0.35">
      <c r="A301" t="s">
        <v>340</v>
      </c>
      <c r="B301" t="s">
        <v>33</v>
      </c>
      <c r="C301" t="s">
        <v>271</v>
      </c>
      <c r="D301" t="s">
        <v>31</v>
      </c>
      <c r="E301" s="5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  <c r="S301" t="str">
        <f t="shared" si="12"/>
        <v>No recomendado</v>
      </c>
      <c r="T301" t="str">
        <f>VLOOKUP(A301,AssuranceTable,2,FALSE)</f>
        <v>Premium</v>
      </c>
      <c r="U301" t="str">
        <f t="shared" si="13"/>
        <v>SY56792 Oregon</v>
      </c>
      <c r="X301" s="4">
        <f t="shared" si="14"/>
        <v>703553.41</v>
      </c>
    </row>
    <row r="302" spans="1:24" x14ac:dyDescent="0.35">
      <c r="A302" t="s">
        <v>341</v>
      </c>
      <c r="B302" t="s">
        <v>26</v>
      </c>
      <c r="C302" t="s">
        <v>27</v>
      </c>
      <c r="D302" t="s">
        <v>35</v>
      </c>
      <c r="E302" s="5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  <c r="S302" t="str">
        <f t="shared" si="12"/>
        <v>Recomendado</v>
      </c>
      <c r="T302" t="str">
        <f>VLOOKUP(A302,AssuranceTable,2,FALSE)</f>
        <v>Basic</v>
      </c>
      <c r="U302" t="str">
        <f t="shared" si="13"/>
        <v>RF61565 California</v>
      </c>
      <c r="X302" s="4">
        <f t="shared" si="14"/>
        <v>263697.77</v>
      </c>
    </row>
    <row r="303" spans="1:24" x14ac:dyDescent="0.35">
      <c r="A303" t="s">
        <v>342</v>
      </c>
      <c r="B303" t="s">
        <v>23</v>
      </c>
      <c r="C303" t="s">
        <v>27</v>
      </c>
      <c r="D303" t="s">
        <v>4</v>
      </c>
      <c r="E303" s="5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  <c r="S303" t="str">
        <f t="shared" si="12"/>
        <v>Recomendado</v>
      </c>
      <c r="T303" t="str">
        <f>VLOOKUP(A303,AssuranceTable,2,FALSE)</f>
        <v>Basic</v>
      </c>
      <c r="U303" t="str">
        <f t="shared" si="13"/>
        <v>IM94808 Nevada</v>
      </c>
      <c r="X303" s="4">
        <f t="shared" si="14"/>
        <v>539583.19999999995</v>
      </c>
    </row>
    <row r="304" spans="1:24" x14ac:dyDescent="0.35">
      <c r="A304" t="s">
        <v>343</v>
      </c>
      <c r="B304" t="s">
        <v>33</v>
      </c>
      <c r="C304" t="s">
        <v>27</v>
      </c>
      <c r="D304" t="s">
        <v>31</v>
      </c>
      <c r="E304" s="5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  <c r="S304" t="str">
        <f t="shared" si="12"/>
        <v>Recomendado</v>
      </c>
      <c r="T304" t="str">
        <f>VLOOKUP(A304,AssuranceTable,2,FALSE)</f>
        <v>Basic</v>
      </c>
      <c r="U304" t="str">
        <f t="shared" si="13"/>
        <v>VI14730 Oregon</v>
      </c>
      <c r="X304" s="4">
        <f t="shared" si="14"/>
        <v>838263.01</v>
      </c>
    </row>
    <row r="305" spans="1:24" x14ac:dyDescent="0.35">
      <c r="A305" t="s">
        <v>344</v>
      </c>
      <c r="B305" t="s">
        <v>102</v>
      </c>
      <c r="C305" t="s">
        <v>21</v>
      </c>
      <c r="D305" t="s">
        <v>35</v>
      </c>
      <c r="E305" s="5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  <c r="S305" t="str">
        <f t="shared" si="12"/>
        <v>Recomendado</v>
      </c>
      <c r="T305" t="str">
        <f>VLOOKUP(A305,AssuranceTable,2,FALSE)</f>
        <v>Basic</v>
      </c>
      <c r="U305" t="str">
        <f t="shared" si="13"/>
        <v>YR34119 WA</v>
      </c>
      <c r="X305" s="4">
        <f t="shared" si="14"/>
        <v>3116174.52</v>
      </c>
    </row>
    <row r="306" spans="1:24" x14ac:dyDescent="0.35">
      <c r="A306" t="s">
        <v>345</v>
      </c>
      <c r="B306" t="s">
        <v>33</v>
      </c>
      <c r="C306" t="s">
        <v>21</v>
      </c>
      <c r="D306" t="s">
        <v>4</v>
      </c>
      <c r="E306" s="5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  <c r="S306" t="str">
        <f t="shared" si="12"/>
        <v>No recomendado</v>
      </c>
      <c r="T306" t="str">
        <f>VLOOKUP(A306,AssuranceTable,2,FALSE)</f>
        <v>Extended</v>
      </c>
      <c r="U306" t="str">
        <f t="shared" si="13"/>
        <v>RR77985 Oregon</v>
      </c>
      <c r="X306" s="4">
        <f t="shared" si="14"/>
        <v>288774.23</v>
      </c>
    </row>
    <row r="307" spans="1:24" x14ac:dyDescent="0.35">
      <c r="A307" t="s">
        <v>346</v>
      </c>
      <c r="B307" t="s">
        <v>3</v>
      </c>
      <c r="C307" t="s">
        <v>27</v>
      </c>
      <c r="D307" t="s">
        <v>35</v>
      </c>
      <c r="E307" s="5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  <c r="S307" t="str">
        <f t="shared" si="12"/>
        <v>Recomendado</v>
      </c>
      <c r="T307" t="str">
        <f>VLOOKUP(A307,AssuranceTable,2,FALSE)</f>
        <v>Basic</v>
      </c>
      <c r="U307" t="str">
        <f t="shared" si="13"/>
        <v>QD28391 Washington</v>
      </c>
      <c r="X307" s="4">
        <f t="shared" si="14"/>
        <v>742584.53</v>
      </c>
    </row>
    <row r="308" spans="1:24" x14ac:dyDescent="0.35">
      <c r="A308" t="s">
        <v>347</v>
      </c>
      <c r="B308" t="s">
        <v>26</v>
      </c>
      <c r="C308" t="s">
        <v>27</v>
      </c>
      <c r="D308" t="s">
        <v>4</v>
      </c>
      <c r="E308" s="5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S308" t="str">
        <f t="shared" si="12"/>
        <v>No recomendado</v>
      </c>
      <c r="T308" t="str">
        <f>VLOOKUP(A308,AssuranceTable,2,FALSE)</f>
        <v>Basic</v>
      </c>
      <c r="U308" t="str">
        <f t="shared" si="13"/>
        <v>WV17090 California</v>
      </c>
      <c r="X308" s="4">
        <f t="shared" si="14"/>
        <v>2558572.7799999998</v>
      </c>
    </row>
    <row r="309" spans="1:24" x14ac:dyDescent="0.35">
      <c r="A309" t="s">
        <v>348</v>
      </c>
      <c r="B309" t="s">
        <v>33</v>
      </c>
      <c r="C309" t="s">
        <v>27</v>
      </c>
      <c r="D309" t="s">
        <v>35</v>
      </c>
      <c r="E309" s="5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  <c r="S309" t="str">
        <f t="shared" si="12"/>
        <v>Recomendado</v>
      </c>
      <c r="T309" t="str">
        <f>VLOOKUP(A309,AssuranceTable,2,FALSE)</f>
        <v>Extended</v>
      </c>
      <c r="U309" t="str">
        <f t="shared" si="13"/>
        <v>TM23514 Oregon</v>
      </c>
      <c r="X309" s="4">
        <f t="shared" si="14"/>
        <v>1027260.82</v>
      </c>
    </row>
    <row r="310" spans="1:24" x14ac:dyDescent="0.35">
      <c r="A310" t="s">
        <v>349</v>
      </c>
      <c r="B310" t="s">
        <v>33</v>
      </c>
      <c r="C310" t="s">
        <v>21</v>
      </c>
      <c r="D310" t="s">
        <v>4</v>
      </c>
      <c r="E310" s="5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  <c r="S310" t="str">
        <f t="shared" si="12"/>
        <v>Recomendado</v>
      </c>
      <c r="T310" t="str">
        <f>VLOOKUP(A310,AssuranceTable,2,FALSE)</f>
        <v>Premium</v>
      </c>
      <c r="U310" t="str">
        <f t="shared" si="13"/>
        <v>MQ68407 Oregon</v>
      </c>
      <c r="X310" s="4">
        <f t="shared" si="14"/>
        <v>437636.36</v>
      </c>
    </row>
    <row r="311" spans="1:24" x14ac:dyDescent="0.35">
      <c r="A311" t="s">
        <v>350</v>
      </c>
      <c r="B311" t="s">
        <v>26</v>
      </c>
      <c r="C311" t="s">
        <v>21</v>
      </c>
      <c r="D311" t="s">
        <v>4</v>
      </c>
      <c r="E311" s="5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  <c r="S311" t="str">
        <f t="shared" si="12"/>
        <v>Recomendado</v>
      </c>
      <c r="T311" t="str">
        <f>VLOOKUP(A311,AssuranceTable,2,FALSE)</f>
        <v>Basic</v>
      </c>
      <c r="U311" t="str">
        <f t="shared" si="13"/>
        <v>GJ59592 California</v>
      </c>
      <c r="X311" s="4">
        <f t="shared" si="14"/>
        <v>531889.66</v>
      </c>
    </row>
    <row r="312" spans="1:24" x14ac:dyDescent="0.35">
      <c r="A312" t="s">
        <v>351</v>
      </c>
      <c r="B312" t="s">
        <v>33</v>
      </c>
      <c r="C312" t="s">
        <v>27</v>
      </c>
      <c r="D312" t="s">
        <v>4</v>
      </c>
      <c r="E312" s="5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  <c r="S312" t="str">
        <f t="shared" si="12"/>
        <v>Recomendado</v>
      </c>
      <c r="T312" t="str">
        <f>VLOOKUP(A312,AssuranceTable,2,FALSE)</f>
        <v>Basic</v>
      </c>
      <c r="U312" t="str">
        <f t="shared" si="13"/>
        <v>FY56083 Oregon</v>
      </c>
      <c r="X312" s="4">
        <f t="shared" si="14"/>
        <v>471976.22</v>
      </c>
    </row>
    <row r="313" spans="1:24" x14ac:dyDescent="0.35">
      <c r="A313" t="s">
        <v>352</v>
      </c>
      <c r="B313" t="s">
        <v>33</v>
      </c>
      <c r="C313" t="s">
        <v>21</v>
      </c>
      <c r="D313" t="s">
        <v>31</v>
      </c>
      <c r="E313" s="5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  <c r="S313" t="str">
        <f t="shared" si="12"/>
        <v>Recomendado</v>
      </c>
      <c r="T313" t="str">
        <f>VLOOKUP(A313,AssuranceTable,2,FALSE)</f>
        <v>Basic</v>
      </c>
      <c r="U313" t="str">
        <f t="shared" si="13"/>
        <v>UA94723 Oregon</v>
      </c>
      <c r="X313" s="4">
        <f t="shared" si="14"/>
        <v>442803.16</v>
      </c>
    </row>
    <row r="314" spans="1:24" x14ac:dyDescent="0.35">
      <c r="A314" t="s">
        <v>353</v>
      </c>
      <c r="B314" t="s">
        <v>26</v>
      </c>
      <c r="C314" t="s">
        <v>27</v>
      </c>
      <c r="D314" t="s">
        <v>31</v>
      </c>
      <c r="E314" s="5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  <c r="S314" t="str">
        <f t="shared" si="12"/>
        <v>Recomendado</v>
      </c>
      <c r="T314" t="str">
        <f>VLOOKUP(A314,AssuranceTable,2,FALSE)</f>
        <v>Basic</v>
      </c>
      <c r="U314" t="str">
        <f t="shared" si="13"/>
        <v>FW91032 California</v>
      </c>
      <c r="X314" s="4">
        <f t="shared" si="14"/>
        <v>587917.61</v>
      </c>
    </row>
    <row r="315" spans="1:24" x14ac:dyDescent="0.35">
      <c r="A315" t="s">
        <v>354</v>
      </c>
      <c r="B315" t="s">
        <v>33</v>
      </c>
      <c r="C315" t="s">
        <v>21</v>
      </c>
      <c r="D315" t="s">
        <v>80</v>
      </c>
      <c r="E315" s="5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  <c r="S315" t="str">
        <f t="shared" si="12"/>
        <v>Recomendado</v>
      </c>
      <c r="T315" t="str">
        <f>VLOOKUP(A315,AssuranceTable,2,FALSE)</f>
        <v>Basic</v>
      </c>
      <c r="U315" t="str">
        <f t="shared" si="13"/>
        <v>DE34457 Oregon</v>
      </c>
      <c r="X315" s="4">
        <f t="shared" si="14"/>
        <v>941690.85</v>
      </c>
    </row>
    <row r="316" spans="1:24" x14ac:dyDescent="0.35">
      <c r="A316" t="s">
        <v>355</v>
      </c>
      <c r="B316" t="s">
        <v>33</v>
      </c>
      <c r="C316" t="s">
        <v>21</v>
      </c>
      <c r="D316" t="s">
        <v>2</v>
      </c>
      <c r="E316" s="5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  <c r="S316" t="str">
        <f t="shared" si="12"/>
        <v>Recomendado</v>
      </c>
      <c r="T316" t="str">
        <f>VLOOKUP(A316,AssuranceTable,2,FALSE)</f>
        <v>Premium</v>
      </c>
      <c r="U316" t="str">
        <f t="shared" si="13"/>
        <v>HD32044 Oregon</v>
      </c>
      <c r="X316" s="4">
        <f t="shared" si="14"/>
        <v>828815.56</v>
      </c>
    </row>
    <row r="317" spans="1:24" x14ac:dyDescent="0.35">
      <c r="A317" t="s">
        <v>356</v>
      </c>
      <c r="B317" t="s">
        <v>33</v>
      </c>
      <c r="C317" t="s">
        <v>27</v>
      </c>
      <c r="D317" t="s">
        <v>4</v>
      </c>
      <c r="E317" s="5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  <c r="S317" t="str">
        <f t="shared" si="12"/>
        <v>No recomendado</v>
      </c>
      <c r="T317" t="str">
        <f>VLOOKUP(A317,AssuranceTable,2,FALSE)</f>
        <v>Premium</v>
      </c>
      <c r="U317" t="str">
        <f t="shared" si="13"/>
        <v>HH30454 Oregon</v>
      </c>
      <c r="X317" s="4">
        <f t="shared" si="14"/>
        <v>3265483.83</v>
      </c>
    </row>
    <row r="318" spans="1:24" x14ac:dyDescent="0.35">
      <c r="A318" t="s">
        <v>357</v>
      </c>
      <c r="B318" t="s">
        <v>33</v>
      </c>
      <c r="C318" t="s">
        <v>21</v>
      </c>
      <c r="D318" t="s">
        <v>35</v>
      </c>
      <c r="E318" s="5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S318" t="str">
        <f t="shared" si="12"/>
        <v>Recomendado</v>
      </c>
      <c r="T318" t="str">
        <f>VLOOKUP(A318,AssuranceTable,2,FALSE)</f>
        <v>Extended</v>
      </c>
      <c r="U318" t="str">
        <f t="shared" si="13"/>
        <v>AH84063 Oregon</v>
      </c>
      <c r="X318" s="4">
        <f t="shared" si="14"/>
        <v>471945.01</v>
      </c>
    </row>
    <row r="319" spans="1:24" x14ac:dyDescent="0.35">
      <c r="A319" t="s">
        <v>358</v>
      </c>
      <c r="B319" t="s">
        <v>26</v>
      </c>
      <c r="C319" t="s">
        <v>21</v>
      </c>
      <c r="D319" t="s">
        <v>4</v>
      </c>
      <c r="E319" s="5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  <c r="S319" t="str">
        <f t="shared" si="12"/>
        <v>Recomendado</v>
      </c>
      <c r="T319" t="str">
        <f>VLOOKUP(A319,AssuranceTable,2,FALSE)</f>
        <v>Extended</v>
      </c>
      <c r="U319" t="str">
        <f t="shared" si="13"/>
        <v>QA17596 California</v>
      </c>
      <c r="X319" s="4">
        <f t="shared" si="14"/>
        <v>390347.48</v>
      </c>
    </row>
    <row r="320" spans="1:24" x14ac:dyDescent="0.35">
      <c r="A320" t="s">
        <v>359</v>
      </c>
      <c r="B320" t="s">
        <v>26</v>
      </c>
      <c r="C320" t="s">
        <v>21</v>
      </c>
      <c r="D320" t="s">
        <v>4</v>
      </c>
      <c r="E320" s="5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  <c r="S320" t="str">
        <f t="shared" si="12"/>
        <v>Recomendado</v>
      </c>
      <c r="T320" t="str">
        <f>VLOOKUP(A320,AssuranceTable,2,FALSE)</f>
        <v>Extended</v>
      </c>
      <c r="U320" t="str">
        <f t="shared" si="13"/>
        <v>XI41052 California</v>
      </c>
      <c r="X320" s="4">
        <f t="shared" si="14"/>
        <v>545725.97</v>
      </c>
    </row>
    <row r="321" spans="1:24" x14ac:dyDescent="0.35">
      <c r="A321" t="s">
        <v>360</v>
      </c>
      <c r="B321" t="s">
        <v>26</v>
      </c>
      <c r="C321" t="s">
        <v>21</v>
      </c>
      <c r="D321" t="s">
        <v>2</v>
      </c>
      <c r="E321" s="5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  <c r="S321" t="str">
        <f t="shared" si="12"/>
        <v>Recomendado</v>
      </c>
      <c r="T321" t="str">
        <f>VLOOKUP(A321,AssuranceTable,2,FALSE)</f>
        <v>Basic</v>
      </c>
      <c r="U321" t="str">
        <f t="shared" si="13"/>
        <v>DI30528 California</v>
      </c>
      <c r="X321" s="4">
        <f t="shared" si="14"/>
        <v>272535.64</v>
      </c>
    </row>
    <row r="322" spans="1:24" x14ac:dyDescent="0.35">
      <c r="A322" t="s">
        <v>361</v>
      </c>
      <c r="B322" t="s">
        <v>5</v>
      </c>
      <c r="C322" t="s">
        <v>21</v>
      </c>
      <c r="D322" t="s">
        <v>35</v>
      </c>
      <c r="E322" s="5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S322" t="str">
        <f t="shared" si="12"/>
        <v>Recomendado</v>
      </c>
      <c r="T322" t="str">
        <f>VLOOKUP(A322,AssuranceTable,2,FALSE)</f>
        <v>Basic</v>
      </c>
      <c r="U322" t="str">
        <f t="shared" si="13"/>
        <v>SC66359 Arizona</v>
      </c>
      <c r="X322" s="4">
        <f t="shared" si="14"/>
        <v>443397.37</v>
      </c>
    </row>
    <row r="323" spans="1:24" x14ac:dyDescent="0.35">
      <c r="A323" t="s">
        <v>362</v>
      </c>
      <c r="B323" t="s">
        <v>5</v>
      </c>
      <c r="C323" t="s">
        <v>21</v>
      </c>
      <c r="D323" t="s">
        <v>80</v>
      </c>
      <c r="E323" s="5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  <c r="S323" t="str">
        <f t="shared" ref="S323:S386" si="15">IF(F323&gt;3000,"Recomendado","No recomendado")</f>
        <v>Recomendado</v>
      </c>
      <c r="T323" t="str">
        <f>VLOOKUP(A323,AssuranceTable,2,FALSE)</f>
        <v>Basic</v>
      </c>
      <c r="U323" t="str">
        <f t="shared" ref="U323:U386" si="16">_xlfn.CONCAT(A323, " ",B323)</f>
        <v>EN61670 Arizona</v>
      </c>
      <c r="X323" s="4">
        <f t="shared" ref="X323:X386" si="17">ROUND(E323,3)</f>
        <v>533246.27</v>
      </c>
    </row>
    <row r="324" spans="1:24" x14ac:dyDescent="0.35">
      <c r="A324" t="s">
        <v>363</v>
      </c>
      <c r="B324" t="s">
        <v>33</v>
      </c>
      <c r="C324" t="s">
        <v>27</v>
      </c>
      <c r="D324" t="s">
        <v>4</v>
      </c>
      <c r="E324" s="5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  <c r="S324" t="str">
        <f t="shared" si="15"/>
        <v>No recomendado</v>
      </c>
      <c r="T324" t="str">
        <f>VLOOKUP(A324,AssuranceTable,2,FALSE)</f>
        <v>Basic</v>
      </c>
      <c r="U324" t="str">
        <f t="shared" si="16"/>
        <v>DQ10761 Oregon</v>
      </c>
      <c r="X324" s="4">
        <f t="shared" si="17"/>
        <v>231509.5</v>
      </c>
    </row>
    <row r="325" spans="1:24" x14ac:dyDescent="0.35">
      <c r="A325" t="s">
        <v>364</v>
      </c>
      <c r="B325" t="s">
        <v>26</v>
      </c>
      <c r="C325" t="s">
        <v>21</v>
      </c>
      <c r="D325" t="s">
        <v>35</v>
      </c>
      <c r="E325" s="5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  <c r="S325" t="str">
        <f t="shared" si="15"/>
        <v>No recomendado</v>
      </c>
      <c r="T325" t="str">
        <f>VLOOKUP(A325,AssuranceTable,2,FALSE)</f>
        <v>Basic</v>
      </c>
      <c r="U325" t="str">
        <f t="shared" si="16"/>
        <v>BQ51587 California</v>
      </c>
      <c r="X325" s="4">
        <f t="shared" si="17"/>
        <v>541195.37</v>
      </c>
    </row>
    <row r="326" spans="1:24" x14ac:dyDescent="0.35">
      <c r="A326" t="s">
        <v>365</v>
      </c>
      <c r="B326" t="s">
        <v>26</v>
      </c>
      <c r="C326" t="s">
        <v>27</v>
      </c>
      <c r="D326" t="s">
        <v>4</v>
      </c>
      <c r="E326" s="5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  <c r="S326" t="str">
        <f t="shared" si="15"/>
        <v>Recomendado</v>
      </c>
      <c r="T326" t="str">
        <f>VLOOKUP(A326,AssuranceTable,2,FALSE)</f>
        <v>Extended</v>
      </c>
      <c r="U326" t="str">
        <f t="shared" si="16"/>
        <v>JE21522 California</v>
      </c>
      <c r="X326" s="4">
        <f t="shared" si="17"/>
        <v>958733.23</v>
      </c>
    </row>
    <row r="327" spans="1:24" x14ac:dyDescent="0.35">
      <c r="A327" t="s">
        <v>366</v>
      </c>
      <c r="B327" t="s">
        <v>26</v>
      </c>
      <c r="C327" t="s">
        <v>27</v>
      </c>
      <c r="D327" t="s">
        <v>35</v>
      </c>
      <c r="E327" s="5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  <c r="S327" t="str">
        <f t="shared" si="15"/>
        <v>No recomendado</v>
      </c>
      <c r="T327" t="str">
        <f>VLOOKUP(A327,AssuranceTable,2,FALSE)</f>
        <v>Basic</v>
      </c>
      <c r="U327" t="str">
        <f t="shared" si="16"/>
        <v>WS47147 California</v>
      </c>
      <c r="X327" s="4">
        <f t="shared" si="17"/>
        <v>2210350.7200000002</v>
      </c>
    </row>
    <row r="328" spans="1:24" x14ac:dyDescent="0.35">
      <c r="A328" t="s">
        <v>367</v>
      </c>
      <c r="B328" t="s">
        <v>23</v>
      </c>
      <c r="C328" t="s">
        <v>21</v>
      </c>
      <c r="D328" t="s">
        <v>31</v>
      </c>
      <c r="E328" s="5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  <c r="S328" t="str">
        <f t="shared" si="15"/>
        <v>No recomendado</v>
      </c>
      <c r="T328" t="str">
        <f>VLOOKUP(A328,AssuranceTable,2,FALSE)</f>
        <v>Extended</v>
      </c>
      <c r="U328" t="str">
        <f t="shared" si="16"/>
        <v>ZA64638 Nevada</v>
      </c>
      <c r="X328" s="4">
        <f t="shared" si="17"/>
        <v>976494.53</v>
      </c>
    </row>
    <row r="329" spans="1:24" x14ac:dyDescent="0.35">
      <c r="A329" t="s">
        <v>368</v>
      </c>
      <c r="B329" t="s">
        <v>23</v>
      </c>
      <c r="C329" t="s">
        <v>21</v>
      </c>
      <c r="D329" t="s">
        <v>4</v>
      </c>
      <c r="E329" s="5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  <c r="S329" t="str">
        <f t="shared" si="15"/>
        <v>Recomendado</v>
      </c>
      <c r="T329" t="str">
        <f>VLOOKUP(A329,AssuranceTable,2,FALSE)</f>
        <v>Basic</v>
      </c>
      <c r="U329" t="str">
        <f t="shared" si="16"/>
        <v>EW38459 Nevada</v>
      </c>
      <c r="X329" s="4">
        <f t="shared" si="17"/>
        <v>256715.15</v>
      </c>
    </row>
    <row r="330" spans="1:24" x14ac:dyDescent="0.35">
      <c r="A330" t="s">
        <v>369</v>
      </c>
      <c r="B330" t="s">
        <v>33</v>
      </c>
      <c r="C330" t="s">
        <v>21</v>
      </c>
      <c r="D330" t="s">
        <v>35</v>
      </c>
      <c r="E330" s="5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  <c r="S330" t="str">
        <f t="shared" si="15"/>
        <v>Recomendado</v>
      </c>
      <c r="T330" t="str">
        <f>VLOOKUP(A330,AssuranceTable,2,FALSE)</f>
        <v>Basic</v>
      </c>
      <c r="U330" t="str">
        <f t="shared" si="16"/>
        <v>QW87316 Oregon</v>
      </c>
      <c r="X330" s="4">
        <f t="shared" si="17"/>
        <v>265062.28000000003</v>
      </c>
    </row>
    <row r="331" spans="1:24" x14ac:dyDescent="0.35">
      <c r="A331" t="s">
        <v>370</v>
      </c>
      <c r="B331" t="s">
        <v>26</v>
      </c>
      <c r="C331" t="s">
        <v>27</v>
      </c>
      <c r="D331" t="s">
        <v>4</v>
      </c>
      <c r="E331" s="5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  <c r="S331" t="str">
        <f t="shared" si="15"/>
        <v>Recomendado</v>
      </c>
      <c r="T331" t="str">
        <f>VLOOKUP(A331,AssuranceTable,2,FALSE)</f>
        <v>Extended</v>
      </c>
      <c r="U331" t="str">
        <f t="shared" si="16"/>
        <v>IC43478 California</v>
      </c>
      <c r="X331" s="4">
        <f t="shared" si="17"/>
        <v>1126436.33</v>
      </c>
    </row>
    <row r="332" spans="1:24" x14ac:dyDescent="0.35">
      <c r="A332" t="s">
        <v>371</v>
      </c>
      <c r="B332" t="s">
        <v>26</v>
      </c>
      <c r="C332" t="s">
        <v>27</v>
      </c>
      <c r="D332" t="s">
        <v>31</v>
      </c>
      <c r="E332" s="5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  <c r="S332" t="str">
        <f t="shared" si="15"/>
        <v>No recomendado</v>
      </c>
      <c r="T332" t="str">
        <f>VLOOKUP(A332,AssuranceTable,2,FALSE)</f>
        <v>Basic</v>
      </c>
      <c r="U332" t="str">
        <f t="shared" si="16"/>
        <v>TE34064 California</v>
      </c>
      <c r="X332" s="4">
        <f t="shared" si="17"/>
        <v>216852.35</v>
      </c>
    </row>
    <row r="333" spans="1:24" x14ac:dyDescent="0.35">
      <c r="A333" t="s">
        <v>372</v>
      </c>
      <c r="B333" t="s">
        <v>26</v>
      </c>
      <c r="C333" t="s">
        <v>21</v>
      </c>
      <c r="D333" t="s">
        <v>31</v>
      </c>
      <c r="E333" s="5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S333" t="str">
        <f t="shared" si="15"/>
        <v>No recomendado</v>
      </c>
      <c r="T333" t="str">
        <f>VLOOKUP(A333,AssuranceTable,2,FALSE)</f>
        <v>Basic</v>
      </c>
      <c r="U333" t="str">
        <f t="shared" si="16"/>
        <v>WU60905 California</v>
      </c>
      <c r="X333" s="4">
        <f t="shared" si="17"/>
        <v>861066.75</v>
      </c>
    </row>
    <row r="334" spans="1:24" x14ac:dyDescent="0.35">
      <c r="A334" t="s">
        <v>373</v>
      </c>
      <c r="B334" t="s">
        <v>26</v>
      </c>
      <c r="C334" t="s">
        <v>21</v>
      </c>
      <c r="D334" t="s">
        <v>35</v>
      </c>
      <c r="E334" s="5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  <c r="S334" t="str">
        <f t="shared" si="15"/>
        <v>Recomendado</v>
      </c>
      <c r="T334" t="str">
        <f>VLOOKUP(A334,AssuranceTable,2,FALSE)</f>
        <v>Basic</v>
      </c>
      <c r="U334" t="str">
        <f t="shared" si="16"/>
        <v>YM18992 California</v>
      </c>
      <c r="X334" s="4">
        <f t="shared" si="17"/>
        <v>283464.62</v>
      </c>
    </row>
    <row r="335" spans="1:24" x14ac:dyDescent="0.35">
      <c r="A335" t="s">
        <v>374</v>
      </c>
      <c r="B335" t="s">
        <v>33</v>
      </c>
      <c r="C335" t="s">
        <v>27</v>
      </c>
      <c r="D335" t="s">
        <v>31</v>
      </c>
      <c r="E335" s="5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  <c r="S335" t="str">
        <f t="shared" si="15"/>
        <v>No recomendado</v>
      </c>
      <c r="T335" t="str">
        <f>VLOOKUP(A335,AssuranceTable,2,FALSE)</f>
        <v>Extended</v>
      </c>
      <c r="U335" t="str">
        <f t="shared" si="16"/>
        <v>PD55753 Oregon</v>
      </c>
      <c r="X335" s="4">
        <f t="shared" si="17"/>
        <v>893013.97</v>
      </c>
    </row>
    <row r="336" spans="1:24" x14ac:dyDescent="0.35">
      <c r="A336" t="s">
        <v>375</v>
      </c>
      <c r="B336" t="s">
        <v>5</v>
      </c>
      <c r="C336" t="s">
        <v>21</v>
      </c>
      <c r="D336" t="s">
        <v>35</v>
      </c>
      <c r="E336" s="5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  <c r="S336" t="str">
        <f t="shared" si="15"/>
        <v>Recomendado</v>
      </c>
      <c r="T336" t="str">
        <f>VLOOKUP(A336,AssuranceTable,2,FALSE)</f>
        <v>Basic</v>
      </c>
      <c r="U336" t="str">
        <f t="shared" si="16"/>
        <v>KU56006 Arizona</v>
      </c>
      <c r="X336" s="4">
        <f t="shared" si="17"/>
        <v>553638.69999999995</v>
      </c>
    </row>
    <row r="337" spans="1:24" x14ac:dyDescent="0.35">
      <c r="A337" t="s">
        <v>376</v>
      </c>
      <c r="B337" t="s">
        <v>5</v>
      </c>
      <c r="C337" t="s">
        <v>27</v>
      </c>
      <c r="D337" t="s">
        <v>31</v>
      </c>
      <c r="E337" s="5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  <c r="S337" t="str">
        <f t="shared" si="15"/>
        <v>No recomendado</v>
      </c>
      <c r="T337" t="str">
        <f>VLOOKUP(A337,AssuranceTable,2,FALSE)</f>
        <v>Basic</v>
      </c>
      <c r="U337" t="str">
        <f t="shared" si="16"/>
        <v>MJ69973 Arizona</v>
      </c>
      <c r="X337" s="4">
        <f t="shared" si="17"/>
        <v>284085.43</v>
      </c>
    </row>
    <row r="338" spans="1:24" x14ac:dyDescent="0.35">
      <c r="A338" t="s">
        <v>377</v>
      </c>
      <c r="B338" t="s">
        <v>26</v>
      </c>
      <c r="C338" t="s">
        <v>27</v>
      </c>
      <c r="D338" t="s">
        <v>35</v>
      </c>
      <c r="E338" s="5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  <c r="S338" t="str">
        <f t="shared" si="15"/>
        <v>Recomendado</v>
      </c>
      <c r="T338" t="str">
        <f>VLOOKUP(A338,AssuranceTable,2,FALSE)</f>
        <v>Basic</v>
      </c>
      <c r="U338" t="str">
        <f t="shared" si="16"/>
        <v>TW43626 California</v>
      </c>
      <c r="X338" s="4">
        <f t="shared" si="17"/>
        <v>808288.1</v>
      </c>
    </row>
    <row r="339" spans="1:24" x14ac:dyDescent="0.35">
      <c r="A339" t="s">
        <v>378</v>
      </c>
      <c r="B339" t="s">
        <v>26</v>
      </c>
      <c r="C339" t="s">
        <v>27</v>
      </c>
      <c r="D339" t="s">
        <v>4</v>
      </c>
      <c r="E339" s="5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  <c r="S339" t="str">
        <f t="shared" si="15"/>
        <v>Recomendado</v>
      </c>
      <c r="T339" t="str">
        <f>VLOOKUP(A339,AssuranceTable,2,FALSE)</f>
        <v>Basic</v>
      </c>
      <c r="U339" t="str">
        <f t="shared" si="16"/>
        <v>XX84133 California</v>
      </c>
      <c r="X339" s="4">
        <f t="shared" si="17"/>
        <v>525473.43000000005</v>
      </c>
    </row>
    <row r="340" spans="1:24" x14ac:dyDescent="0.35">
      <c r="A340" t="s">
        <v>379</v>
      </c>
      <c r="B340" t="s">
        <v>5</v>
      </c>
      <c r="C340" t="s">
        <v>21</v>
      </c>
      <c r="D340" t="s">
        <v>4</v>
      </c>
      <c r="E340" s="5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  <c r="S340" t="str">
        <f t="shared" si="15"/>
        <v>No recomendado</v>
      </c>
      <c r="T340" t="str">
        <f>VLOOKUP(A340,AssuranceTable,2,FALSE)</f>
        <v>Basic</v>
      </c>
      <c r="U340" t="str">
        <f t="shared" si="16"/>
        <v>ZW84453 Arizona</v>
      </c>
      <c r="X340" s="4">
        <f t="shared" si="17"/>
        <v>511623.76</v>
      </c>
    </row>
    <row r="341" spans="1:24" x14ac:dyDescent="0.35">
      <c r="A341" t="s">
        <v>380</v>
      </c>
      <c r="B341" t="s">
        <v>26</v>
      </c>
      <c r="C341" t="s">
        <v>27</v>
      </c>
      <c r="D341" t="s">
        <v>35</v>
      </c>
      <c r="E341" s="5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  <c r="S341" t="str">
        <f t="shared" si="15"/>
        <v>Recomendado</v>
      </c>
      <c r="T341" t="str">
        <f>VLOOKUP(A341,AssuranceTable,2,FALSE)</f>
        <v>Extended</v>
      </c>
      <c r="U341" t="str">
        <f t="shared" si="16"/>
        <v>HO29524 California</v>
      </c>
      <c r="X341" s="4">
        <f t="shared" si="17"/>
        <v>303464.7</v>
      </c>
    </row>
    <row r="342" spans="1:24" x14ac:dyDescent="0.35">
      <c r="A342" t="s">
        <v>381</v>
      </c>
      <c r="B342" t="s">
        <v>26</v>
      </c>
      <c r="C342" t="s">
        <v>338</v>
      </c>
      <c r="D342" t="s">
        <v>31</v>
      </c>
      <c r="E342" s="5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  <c r="S342" t="str">
        <f t="shared" si="15"/>
        <v>No recomendado</v>
      </c>
      <c r="T342" t="str">
        <f>VLOOKUP(A342,AssuranceTable,2,FALSE)</f>
        <v>Basic</v>
      </c>
      <c r="U342" t="str">
        <f t="shared" si="16"/>
        <v>VE89726 California</v>
      </c>
      <c r="X342" s="4">
        <f t="shared" si="17"/>
        <v>802489.99</v>
      </c>
    </row>
    <row r="343" spans="1:24" x14ac:dyDescent="0.35">
      <c r="A343" t="s">
        <v>382</v>
      </c>
      <c r="B343" t="s">
        <v>26</v>
      </c>
      <c r="C343" t="s">
        <v>27</v>
      </c>
      <c r="D343" t="s">
        <v>31</v>
      </c>
      <c r="E343" s="5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  <c r="S343" t="str">
        <f t="shared" si="15"/>
        <v>Recomendado</v>
      </c>
      <c r="T343" t="str">
        <f>VLOOKUP(A343,AssuranceTable,2,FALSE)</f>
        <v>Premium</v>
      </c>
      <c r="U343" t="str">
        <f t="shared" si="16"/>
        <v>GE87503 California</v>
      </c>
      <c r="X343" s="4">
        <f t="shared" si="17"/>
        <v>1821114.32</v>
      </c>
    </row>
    <row r="344" spans="1:24" x14ac:dyDescent="0.35">
      <c r="A344" t="s">
        <v>383</v>
      </c>
      <c r="B344" t="s">
        <v>33</v>
      </c>
      <c r="C344" t="s">
        <v>27</v>
      </c>
      <c r="D344" t="s">
        <v>31</v>
      </c>
      <c r="E344" s="5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  <c r="S344" t="str">
        <f t="shared" si="15"/>
        <v>No recomendado</v>
      </c>
      <c r="T344" t="str">
        <f>VLOOKUP(A344,AssuranceTable,2,FALSE)</f>
        <v>Basic</v>
      </c>
      <c r="U344" t="str">
        <f t="shared" si="16"/>
        <v>PX90263 Oregon</v>
      </c>
      <c r="X344" s="4">
        <f t="shared" si="17"/>
        <v>512156.33</v>
      </c>
    </row>
    <row r="345" spans="1:24" x14ac:dyDescent="0.35">
      <c r="A345" t="s">
        <v>384</v>
      </c>
      <c r="B345" t="s">
        <v>26</v>
      </c>
      <c r="C345" t="s">
        <v>338</v>
      </c>
      <c r="D345" t="s">
        <v>31</v>
      </c>
      <c r="E345" s="5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  <c r="S345" t="str">
        <f t="shared" si="15"/>
        <v>No recomendado</v>
      </c>
      <c r="T345" t="str">
        <f>VLOOKUP(A345,AssuranceTable,2,FALSE)</f>
        <v>Basic</v>
      </c>
      <c r="U345" t="str">
        <f t="shared" si="16"/>
        <v>NI17718 California</v>
      </c>
      <c r="X345" s="4">
        <f t="shared" si="17"/>
        <v>215017.86</v>
      </c>
    </row>
    <row r="346" spans="1:24" x14ac:dyDescent="0.35">
      <c r="A346" t="s">
        <v>385</v>
      </c>
      <c r="B346" t="s">
        <v>26</v>
      </c>
      <c r="C346" t="s">
        <v>338</v>
      </c>
      <c r="D346" t="s">
        <v>31</v>
      </c>
      <c r="E346" s="5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  <c r="S346" t="str">
        <f t="shared" si="15"/>
        <v>Recomendado</v>
      </c>
      <c r="T346" t="str">
        <f>VLOOKUP(A346,AssuranceTable,2,FALSE)</f>
        <v>Basic</v>
      </c>
      <c r="U346" t="str">
        <f t="shared" si="16"/>
        <v>FY32213 California</v>
      </c>
      <c r="X346" s="4">
        <f t="shared" si="17"/>
        <v>559538.99</v>
      </c>
    </row>
    <row r="347" spans="1:24" x14ac:dyDescent="0.35">
      <c r="A347" t="s">
        <v>386</v>
      </c>
      <c r="B347" t="s">
        <v>23</v>
      </c>
      <c r="C347" t="s">
        <v>338</v>
      </c>
      <c r="D347" t="s">
        <v>4</v>
      </c>
      <c r="E347" s="5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  <c r="S347" t="str">
        <f t="shared" si="15"/>
        <v>No recomendado</v>
      </c>
      <c r="T347" t="str">
        <f>VLOOKUP(A347,AssuranceTable,2,FALSE)</f>
        <v>Basic</v>
      </c>
      <c r="U347" t="str">
        <f t="shared" si="16"/>
        <v>RZ13254 Nevada</v>
      </c>
      <c r="X347" s="4">
        <f t="shared" si="17"/>
        <v>756282.4</v>
      </c>
    </row>
    <row r="348" spans="1:24" x14ac:dyDescent="0.35">
      <c r="A348" t="s">
        <v>387</v>
      </c>
      <c r="B348" t="s">
        <v>33</v>
      </c>
      <c r="C348" t="s">
        <v>27</v>
      </c>
      <c r="D348" t="s">
        <v>31</v>
      </c>
      <c r="E348" s="5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  <c r="S348" t="str">
        <f t="shared" si="15"/>
        <v>Recomendado</v>
      </c>
      <c r="T348" t="str">
        <f>VLOOKUP(A348,AssuranceTable,2,FALSE)</f>
        <v>Basic</v>
      </c>
      <c r="U348" t="str">
        <f t="shared" si="16"/>
        <v>GN45013 Oregon</v>
      </c>
      <c r="X348" s="4">
        <f t="shared" si="17"/>
        <v>538585.31999999995</v>
      </c>
    </row>
    <row r="349" spans="1:24" x14ac:dyDescent="0.35">
      <c r="A349" t="s">
        <v>388</v>
      </c>
      <c r="B349" t="s">
        <v>3</v>
      </c>
      <c r="C349" t="s">
        <v>21</v>
      </c>
      <c r="D349" t="s">
        <v>80</v>
      </c>
      <c r="E349" s="5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  <c r="S349" t="str">
        <f t="shared" si="15"/>
        <v>Recomendado</v>
      </c>
      <c r="T349" t="str">
        <f>VLOOKUP(A349,AssuranceTable,2,FALSE)</f>
        <v>Basic</v>
      </c>
      <c r="U349" t="str">
        <f t="shared" si="16"/>
        <v>NM39588 Washington</v>
      </c>
      <c r="X349" s="4">
        <f t="shared" si="17"/>
        <v>267805.83</v>
      </c>
    </row>
    <row r="350" spans="1:24" x14ac:dyDescent="0.35">
      <c r="A350" t="s">
        <v>389</v>
      </c>
      <c r="B350" t="s">
        <v>23</v>
      </c>
      <c r="C350" t="s">
        <v>338</v>
      </c>
      <c r="D350" t="s">
        <v>4</v>
      </c>
      <c r="E350" s="5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  <c r="S350" t="str">
        <f t="shared" si="15"/>
        <v>Recomendado</v>
      </c>
      <c r="T350" t="str">
        <f>VLOOKUP(A350,AssuranceTable,2,FALSE)</f>
        <v>Extended</v>
      </c>
      <c r="U350" t="str">
        <f t="shared" si="16"/>
        <v>KU84464 Nevada</v>
      </c>
      <c r="X350" s="4">
        <f t="shared" si="17"/>
        <v>942256.79</v>
      </c>
    </row>
    <row r="351" spans="1:24" x14ac:dyDescent="0.35">
      <c r="A351" t="s">
        <v>390</v>
      </c>
      <c r="B351" t="s">
        <v>33</v>
      </c>
      <c r="C351" t="s">
        <v>338</v>
      </c>
      <c r="D351" t="s">
        <v>35</v>
      </c>
      <c r="E351" s="5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  <c r="S351" t="str">
        <f t="shared" si="15"/>
        <v>Recomendado</v>
      </c>
      <c r="T351" t="str">
        <f>VLOOKUP(A351,AssuranceTable,2,FALSE)</f>
        <v>Extended</v>
      </c>
      <c r="U351" t="str">
        <f t="shared" si="16"/>
        <v>YH43527 Oregon</v>
      </c>
      <c r="X351" s="4">
        <f t="shared" si="17"/>
        <v>360586.03</v>
      </c>
    </row>
    <row r="352" spans="1:24" x14ac:dyDescent="0.35">
      <c r="A352" t="s">
        <v>391</v>
      </c>
      <c r="B352" t="s">
        <v>26</v>
      </c>
      <c r="C352" t="s">
        <v>338</v>
      </c>
      <c r="D352" t="s">
        <v>35</v>
      </c>
      <c r="E352" s="5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  <c r="S352" t="str">
        <f t="shared" si="15"/>
        <v>Recomendado</v>
      </c>
      <c r="T352" t="str">
        <f>VLOOKUP(A352,AssuranceTable,2,FALSE)</f>
        <v>Premium</v>
      </c>
      <c r="U352" t="str">
        <f t="shared" si="16"/>
        <v>RO30676 California</v>
      </c>
      <c r="X352" s="4">
        <f t="shared" si="17"/>
        <v>776259.06</v>
      </c>
    </row>
    <row r="353" spans="1:24" x14ac:dyDescent="0.35">
      <c r="A353" t="s">
        <v>392</v>
      </c>
      <c r="B353" t="s">
        <v>5</v>
      </c>
      <c r="C353" t="s">
        <v>338</v>
      </c>
      <c r="D353" t="s">
        <v>35</v>
      </c>
      <c r="E353" s="5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  <c r="S353" t="str">
        <f t="shared" si="15"/>
        <v>Recomendado</v>
      </c>
      <c r="T353" t="str">
        <f>VLOOKUP(A353,AssuranceTable,2,FALSE)</f>
        <v>Basic</v>
      </c>
      <c r="U353" t="str">
        <f t="shared" si="16"/>
        <v>QL59704 Arizona</v>
      </c>
      <c r="X353" s="4">
        <f t="shared" si="17"/>
        <v>2344490.0499999998</v>
      </c>
    </row>
    <row r="354" spans="1:24" x14ac:dyDescent="0.35">
      <c r="A354" t="s">
        <v>393</v>
      </c>
      <c r="B354" t="s">
        <v>26</v>
      </c>
      <c r="C354" t="s">
        <v>338</v>
      </c>
      <c r="D354" t="s">
        <v>31</v>
      </c>
      <c r="E354" s="5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  <c r="S354" t="str">
        <f t="shared" si="15"/>
        <v>No recomendado</v>
      </c>
      <c r="T354" t="str">
        <f>VLOOKUP(A354,AssuranceTable,2,FALSE)</f>
        <v>Basic</v>
      </c>
      <c r="U354" t="str">
        <f t="shared" si="16"/>
        <v>QH19450 California</v>
      </c>
      <c r="X354" s="4">
        <f t="shared" si="17"/>
        <v>255817.82</v>
      </c>
    </row>
    <row r="355" spans="1:24" x14ac:dyDescent="0.35">
      <c r="A355" t="s">
        <v>394</v>
      </c>
      <c r="B355" t="s">
        <v>3</v>
      </c>
      <c r="C355" t="s">
        <v>27</v>
      </c>
      <c r="D355" t="s">
        <v>2</v>
      </c>
      <c r="E355" s="5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  <c r="S355" t="str">
        <f t="shared" si="15"/>
        <v>Recomendado</v>
      </c>
      <c r="T355" t="str">
        <f>VLOOKUP(A355,AssuranceTable,2,FALSE)</f>
        <v>Basic</v>
      </c>
      <c r="U355" t="str">
        <f t="shared" si="16"/>
        <v>SA54664 Washington</v>
      </c>
      <c r="X355" s="4">
        <f t="shared" si="17"/>
        <v>265438.09999999998</v>
      </c>
    </row>
    <row r="356" spans="1:24" x14ac:dyDescent="0.35">
      <c r="A356" t="s">
        <v>395</v>
      </c>
      <c r="B356" t="s">
        <v>3</v>
      </c>
      <c r="C356" t="s">
        <v>27</v>
      </c>
      <c r="D356" t="s">
        <v>4</v>
      </c>
      <c r="E356" s="5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  <c r="S356" t="str">
        <f t="shared" si="15"/>
        <v>Recomendado</v>
      </c>
      <c r="T356" t="str">
        <f>VLOOKUP(A356,AssuranceTable,2,FALSE)</f>
        <v>Basic</v>
      </c>
      <c r="U356" t="str">
        <f t="shared" si="16"/>
        <v>CI38330 Washington</v>
      </c>
      <c r="X356" s="4">
        <f t="shared" si="17"/>
        <v>254978.61</v>
      </c>
    </row>
    <row r="357" spans="1:24" x14ac:dyDescent="0.35">
      <c r="A357" t="s">
        <v>396</v>
      </c>
      <c r="B357" t="s">
        <v>26</v>
      </c>
      <c r="C357" t="s">
        <v>27</v>
      </c>
      <c r="D357" t="s">
        <v>31</v>
      </c>
      <c r="E357" s="5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  <c r="S357" t="str">
        <f t="shared" si="15"/>
        <v>Recomendado</v>
      </c>
      <c r="T357" t="str">
        <f>VLOOKUP(A357,AssuranceTable,2,FALSE)</f>
        <v>Basic</v>
      </c>
      <c r="U357" t="str">
        <f t="shared" si="16"/>
        <v>WB38524 California</v>
      </c>
      <c r="X357" s="4">
        <f t="shared" si="17"/>
        <v>296959.33</v>
      </c>
    </row>
    <row r="358" spans="1:24" x14ac:dyDescent="0.35">
      <c r="A358" t="s">
        <v>397</v>
      </c>
      <c r="B358" t="s">
        <v>33</v>
      </c>
      <c r="C358" t="s">
        <v>338</v>
      </c>
      <c r="D358" t="s">
        <v>2</v>
      </c>
      <c r="E358" s="5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  <c r="S358" t="str">
        <f t="shared" si="15"/>
        <v>Recomendado</v>
      </c>
      <c r="T358" t="str">
        <f>VLOOKUP(A358,AssuranceTable,2,FALSE)</f>
        <v>Basic</v>
      </c>
      <c r="U358" t="str">
        <f t="shared" si="16"/>
        <v>CE56187 Oregon</v>
      </c>
      <c r="X358" s="4">
        <f t="shared" si="17"/>
        <v>436312.46</v>
      </c>
    </row>
    <row r="359" spans="1:24" x14ac:dyDescent="0.35">
      <c r="A359" t="s">
        <v>398</v>
      </c>
      <c r="B359" t="s">
        <v>26</v>
      </c>
      <c r="C359" t="s">
        <v>338</v>
      </c>
      <c r="D359" t="s">
        <v>31</v>
      </c>
      <c r="E359" s="5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  <c r="S359" t="str">
        <f t="shared" si="15"/>
        <v>No recomendado</v>
      </c>
      <c r="T359" t="str">
        <f>VLOOKUP(A359,AssuranceTable,2,FALSE)</f>
        <v>Premium</v>
      </c>
      <c r="U359" t="str">
        <f t="shared" si="16"/>
        <v>JL19416 California</v>
      </c>
      <c r="X359" s="4">
        <f t="shared" si="17"/>
        <v>588430.86</v>
      </c>
    </row>
    <row r="360" spans="1:24" x14ac:dyDescent="0.35">
      <c r="A360" t="s">
        <v>399</v>
      </c>
      <c r="B360" t="s">
        <v>23</v>
      </c>
      <c r="C360" t="s">
        <v>338</v>
      </c>
      <c r="D360" t="s">
        <v>35</v>
      </c>
      <c r="E360" s="5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  <c r="S360" t="str">
        <f t="shared" si="15"/>
        <v>Recomendado</v>
      </c>
      <c r="T360" t="str">
        <f>VLOOKUP(A360,AssuranceTable,2,FALSE)</f>
        <v>Basic</v>
      </c>
      <c r="U360" t="str">
        <f t="shared" si="16"/>
        <v>JZ61422 Nevada</v>
      </c>
      <c r="X360" s="4">
        <f t="shared" si="17"/>
        <v>527219.16</v>
      </c>
    </row>
    <row r="361" spans="1:24" x14ac:dyDescent="0.35">
      <c r="A361" t="s">
        <v>400</v>
      </c>
      <c r="B361" t="s">
        <v>26</v>
      </c>
      <c r="C361" t="s">
        <v>27</v>
      </c>
      <c r="D361" t="s">
        <v>80</v>
      </c>
      <c r="E361" s="5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  <c r="S361" t="str">
        <f t="shared" si="15"/>
        <v>Recomendado</v>
      </c>
      <c r="T361" t="str">
        <f>VLOOKUP(A361,AssuranceTable,2,FALSE)</f>
        <v>Basic</v>
      </c>
      <c r="U361" t="str">
        <f t="shared" si="16"/>
        <v>LA13377 California</v>
      </c>
      <c r="X361" s="4">
        <f t="shared" si="17"/>
        <v>550989.56999999995</v>
      </c>
    </row>
    <row r="362" spans="1:24" x14ac:dyDescent="0.35">
      <c r="A362" t="s">
        <v>401</v>
      </c>
      <c r="B362" t="s">
        <v>23</v>
      </c>
      <c r="C362" t="s">
        <v>27</v>
      </c>
      <c r="D362" t="s">
        <v>35</v>
      </c>
      <c r="E362" s="5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  <c r="S362" t="str">
        <f t="shared" si="15"/>
        <v>No recomendado</v>
      </c>
      <c r="T362" t="str">
        <f>VLOOKUP(A362,AssuranceTable,2,FALSE)</f>
        <v>Basic</v>
      </c>
      <c r="U362" t="str">
        <f t="shared" si="16"/>
        <v>NC99948 Nevada</v>
      </c>
      <c r="X362" s="4">
        <f t="shared" si="17"/>
        <v>1631368.35</v>
      </c>
    </row>
    <row r="363" spans="1:24" x14ac:dyDescent="0.35">
      <c r="A363" t="s">
        <v>402</v>
      </c>
      <c r="B363" t="s">
        <v>5</v>
      </c>
      <c r="C363" t="s">
        <v>338</v>
      </c>
      <c r="D363" t="s">
        <v>4</v>
      </c>
      <c r="E363" s="5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  <c r="S363" t="str">
        <f t="shared" si="15"/>
        <v>No recomendado</v>
      </c>
      <c r="T363" t="str">
        <f>VLOOKUP(A363,AssuranceTable,2,FALSE)</f>
        <v>Extended</v>
      </c>
      <c r="U363" t="str">
        <f t="shared" si="16"/>
        <v>QD34785 Arizona</v>
      </c>
      <c r="X363" s="4">
        <f t="shared" si="17"/>
        <v>567805.02</v>
      </c>
    </row>
    <row r="364" spans="1:24" x14ac:dyDescent="0.35">
      <c r="A364" t="s">
        <v>403</v>
      </c>
      <c r="B364" t="s">
        <v>26</v>
      </c>
      <c r="C364" t="s">
        <v>338</v>
      </c>
      <c r="D364" t="s">
        <v>4</v>
      </c>
      <c r="E364" s="5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  <c r="S364" t="str">
        <f t="shared" si="15"/>
        <v>No recomendado</v>
      </c>
      <c r="T364" t="str">
        <f>VLOOKUP(A364,AssuranceTable,2,FALSE)</f>
        <v>Basic</v>
      </c>
      <c r="U364" t="str">
        <f t="shared" si="16"/>
        <v>RO26085 California</v>
      </c>
      <c r="X364" s="4">
        <f t="shared" si="17"/>
        <v>1210120.8799999999</v>
      </c>
    </row>
    <row r="365" spans="1:24" x14ac:dyDescent="0.35">
      <c r="A365" t="s">
        <v>404</v>
      </c>
      <c r="B365" t="s">
        <v>33</v>
      </c>
      <c r="C365" t="s">
        <v>27</v>
      </c>
      <c r="D365" t="s">
        <v>4</v>
      </c>
      <c r="E365" s="5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  <c r="S365" t="str">
        <f t="shared" si="15"/>
        <v>Recomendado</v>
      </c>
      <c r="T365" t="str">
        <f>VLOOKUP(A365,AssuranceTable,2,FALSE)</f>
        <v>Basic</v>
      </c>
      <c r="U365" t="str">
        <f t="shared" si="16"/>
        <v>ES57969 Oregon</v>
      </c>
      <c r="X365" s="4">
        <f t="shared" si="17"/>
        <v>245357.08</v>
      </c>
    </row>
    <row r="366" spans="1:24" x14ac:dyDescent="0.35">
      <c r="A366" t="s">
        <v>405</v>
      </c>
      <c r="B366" t="s">
        <v>26</v>
      </c>
      <c r="C366" t="s">
        <v>27</v>
      </c>
      <c r="D366" t="s">
        <v>31</v>
      </c>
      <c r="E366" s="5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  <c r="S366" t="str">
        <f t="shared" si="15"/>
        <v>Recomendado</v>
      </c>
      <c r="T366" t="str">
        <f>VLOOKUP(A366,AssuranceTable,2,FALSE)</f>
        <v>Basic</v>
      </c>
      <c r="U366" t="str">
        <f t="shared" si="16"/>
        <v>JK55587 California</v>
      </c>
      <c r="X366" s="4">
        <f t="shared" si="17"/>
        <v>507566.27</v>
      </c>
    </row>
    <row r="367" spans="1:24" x14ac:dyDescent="0.35">
      <c r="A367" t="s">
        <v>406</v>
      </c>
      <c r="B367" t="s">
        <v>5</v>
      </c>
      <c r="C367" t="s">
        <v>27</v>
      </c>
      <c r="D367" t="s">
        <v>4</v>
      </c>
      <c r="E367" s="5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  <c r="S367" t="str">
        <f t="shared" si="15"/>
        <v>Recomendado</v>
      </c>
      <c r="T367" t="str">
        <f>VLOOKUP(A367,AssuranceTable,2,FALSE)</f>
        <v>Extended</v>
      </c>
      <c r="U367" t="str">
        <f t="shared" si="16"/>
        <v>RN97635 Arizona</v>
      </c>
      <c r="X367" s="4">
        <f t="shared" si="17"/>
        <v>321497.94</v>
      </c>
    </row>
    <row r="368" spans="1:24" x14ac:dyDescent="0.35">
      <c r="A368" t="s">
        <v>407</v>
      </c>
      <c r="B368" t="s">
        <v>26</v>
      </c>
      <c r="C368" t="s">
        <v>338</v>
      </c>
      <c r="D368" t="s">
        <v>35</v>
      </c>
      <c r="E368" s="5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  <c r="S368" t="str">
        <f t="shared" si="15"/>
        <v>Recomendado</v>
      </c>
      <c r="T368" t="str">
        <f>VLOOKUP(A368,AssuranceTable,2,FALSE)</f>
        <v>Premium</v>
      </c>
      <c r="U368" t="str">
        <f t="shared" si="16"/>
        <v>BI76326 California</v>
      </c>
      <c r="X368" s="4">
        <f t="shared" si="17"/>
        <v>1227534.31</v>
      </c>
    </row>
    <row r="369" spans="1:24" x14ac:dyDescent="0.35">
      <c r="A369" t="s">
        <v>408</v>
      </c>
      <c r="B369" t="s">
        <v>26</v>
      </c>
      <c r="C369" t="s">
        <v>338</v>
      </c>
      <c r="D369" t="s">
        <v>35</v>
      </c>
      <c r="E369" s="5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  <c r="S369" t="str">
        <f t="shared" si="15"/>
        <v>Recomendado</v>
      </c>
      <c r="T369" t="str">
        <f>VLOOKUP(A369,AssuranceTable,2,FALSE)</f>
        <v>Basic</v>
      </c>
      <c r="U369" t="str">
        <f t="shared" si="16"/>
        <v>JA34909 California</v>
      </c>
      <c r="X369" s="4">
        <f t="shared" si="17"/>
        <v>272221.07</v>
      </c>
    </row>
    <row r="370" spans="1:24" x14ac:dyDescent="0.35">
      <c r="A370" t="s">
        <v>409</v>
      </c>
      <c r="B370" t="s">
        <v>33</v>
      </c>
      <c r="C370" t="s">
        <v>338</v>
      </c>
      <c r="D370" t="s">
        <v>4</v>
      </c>
      <c r="E370" s="5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  <c r="S370" t="str">
        <f t="shared" si="15"/>
        <v>Recomendado</v>
      </c>
      <c r="T370" t="str">
        <f>VLOOKUP(A370,AssuranceTable,2,FALSE)</f>
        <v>Basic</v>
      </c>
      <c r="U370" t="str">
        <f t="shared" si="16"/>
        <v>OJ90342 Oregon</v>
      </c>
      <c r="X370" s="4">
        <f t="shared" si="17"/>
        <v>245744.09</v>
      </c>
    </row>
    <row r="371" spans="1:24" x14ac:dyDescent="0.35">
      <c r="A371" t="s">
        <v>410</v>
      </c>
      <c r="B371" t="s">
        <v>33</v>
      </c>
      <c r="C371" t="s">
        <v>338</v>
      </c>
      <c r="D371" t="s">
        <v>2</v>
      </c>
      <c r="E371" s="5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  <c r="S371" t="str">
        <f t="shared" si="15"/>
        <v>Recomendado</v>
      </c>
      <c r="T371" t="str">
        <f>VLOOKUP(A371,AssuranceTable,2,FALSE)</f>
        <v>Extended</v>
      </c>
      <c r="U371" t="str">
        <f t="shared" si="16"/>
        <v>CM88932 Oregon</v>
      </c>
      <c r="X371" s="4">
        <f t="shared" si="17"/>
        <v>355484.53</v>
      </c>
    </row>
    <row r="372" spans="1:24" x14ac:dyDescent="0.35">
      <c r="A372" t="s">
        <v>411</v>
      </c>
      <c r="B372" t="s">
        <v>26</v>
      </c>
      <c r="C372" t="s">
        <v>27</v>
      </c>
      <c r="D372" t="s">
        <v>4</v>
      </c>
      <c r="E372" s="5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  <c r="S372" t="str">
        <f t="shared" si="15"/>
        <v>Recomendado</v>
      </c>
      <c r="T372" t="str">
        <f>VLOOKUP(A372,AssuranceTable,2,FALSE)</f>
        <v>Basic</v>
      </c>
      <c r="U372" t="str">
        <f t="shared" si="16"/>
        <v>JJ97525 California</v>
      </c>
      <c r="X372" s="4">
        <f t="shared" si="17"/>
        <v>492954.97</v>
      </c>
    </row>
    <row r="373" spans="1:24" x14ac:dyDescent="0.35">
      <c r="A373" t="s">
        <v>412</v>
      </c>
      <c r="B373" t="s">
        <v>26</v>
      </c>
      <c r="C373" t="s">
        <v>338</v>
      </c>
      <c r="D373" t="s">
        <v>31</v>
      </c>
      <c r="E373" s="5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  <c r="S373" t="str">
        <f t="shared" si="15"/>
        <v>No recomendado</v>
      </c>
      <c r="T373" t="str">
        <f>VLOOKUP(A373,AssuranceTable,2,FALSE)</f>
        <v>Basic</v>
      </c>
      <c r="U373" t="str">
        <f t="shared" si="16"/>
        <v>XV21647 California</v>
      </c>
      <c r="X373" s="4">
        <f t="shared" si="17"/>
        <v>803645.03</v>
      </c>
    </row>
    <row r="374" spans="1:24" x14ac:dyDescent="0.35">
      <c r="A374" t="s">
        <v>413</v>
      </c>
      <c r="B374" t="s">
        <v>5</v>
      </c>
      <c r="C374" t="s">
        <v>27</v>
      </c>
      <c r="D374" t="s">
        <v>4</v>
      </c>
      <c r="E374" s="5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  <c r="S374" t="str">
        <f t="shared" si="15"/>
        <v>Recomendado</v>
      </c>
      <c r="T374" t="str">
        <f>VLOOKUP(A374,AssuranceTable,2,FALSE)</f>
        <v>Basic</v>
      </c>
      <c r="U374" t="str">
        <f t="shared" si="16"/>
        <v>MC83487 Arizona</v>
      </c>
      <c r="X374" s="4">
        <f t="shared" si="17"/>
        <v>427691.53</v>
      </c>
    </row>
    <row r="375" spans="1:24" x14ac:dyDescent="0.35">
      <c r="A375" t="s">
        <v>414</v>
      </c>
      <c r="B375" t="s">
        <v>26</v>
      </c>
      <c r="C375" t="s">
        <v>338</v>
      </c>
      <c r="D375" t="s">
        <v>4</v>
      </c>
      <c r="E375" s="5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  <c r="S375" t="str">
        <f t="shared" si="15"/>
        <v>Recomendado</v>
      </c>
      <c r="T375" t="str">
        <f>VLOOKUP(A375,AssuranceTable,2,FALSE)</f>
        <v>Basic</v>
      </c>
      <c r="U375" t="str">
        <f t="shared" si="16"/>
        <v>BL90769 California</v>
      </c>
      <c r="X375" s="4">
        <f t="shared" si="17"/>
        <v>3347334.95</v>
      </c>
    </row>
    <row r="376" spans="1:24" x14ac:dyDescent="0.35">
      <c r="A376" t="s">
        <v>415</v>
      </c>
      <c r="B376" t="s">
        <v>33</v>
      </c>
      <c r="C376" t="s">
        <v>338</v>
      </c>
      <c r="D376" t="s">
        <v>2</v>
      </c>
      <c r="E376" s="5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  <c r="S376" t="str">
        <f t="shared" si="15"/>
        <v>Recomendado</v>
      </c>
      <c r="T376" t="str">
        <f>VLOOKUP(A376,AssuranceTable,2,FALSE)</f>
        <v>Basic</v>
      </c>
      <c r="U376" t="str">
        <f t="shared" si="16"/>
        <v>CR57148 Oregon</v>
      </c>
      <c r="X376" s="4">
        <f t="shared" si="17"/>
        <v>596058.14</v>
      </c>
    </row>
    <row r="377" spans="1:24" x14ac:dyDescent="0.35">
      <c r="A377" t="s">
        <v>416</v>
      </c>
      <c r="B377" t="s">
        <v>5</v>
      </c>
      <c r="C377" t="s">
        <v>27</v>
      </c>
      <c r="D377" t="s">
        <v>35</v>
      </c>
      <c r="E377" s="5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S377" t="str">
        <f t="shared" si="15"/>
        <v>Recomendado</v>
      </c>
      <c r="T377" t="str">
        <f>VLOOKUP(A377,AssuranceTable,2,FALSE)</f>
        <v>Extended</v>
      </c>
      <c r="U377" t="str">
        <f t="shared" si="16"/>
        <v>CP85232 Arizona</v>
      </c>
      <c r="X377" s="4">
        <f t="shared" si="17"/>
        <v>4479546.9400000004</v>
      </c>
    </row>
    <row r="378" spans="1:24" x14ac:dyDescent="0.35">
      <c r="A378" t="s">
        <v>417</v>
      </c>
      <c r="B378" t="s">
        <v>26</v>
      </c>
      <c r="C378" t="s">
        <v>338</v>
      </c>
      <c r="D378" t="s">
        <v>31</v>
      </c>
      <c r="E378" s="5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  <c r="S378" t="str">
        <f t="shared" si="15"/>
        <v>Recomendado</v>
      </c>
      <c r="T378" t="str">
        <f>VLOOKUP(A378,AssuranceTable,2,FALSE)</f>
        <v>Basic</v>
      </c>
      <c r="U378" t="str">
        <f t="shared" si="16"/>
        <v>YL74732 California</v>
      </c>
      <c r="X378" s="4">
        <f t="shared" si="17"/>
        <v>383211.81</v>
      </c>
    </row>
    <row r="379" spans="1:24" x14ac:dyDescent="0.35">
      <c r="A379" t="s">
        <v>418</v>
      </c>
      <c r="B379" t="s">
        <v>26</v>
      </c>
      <c r="C379" t="s">
        <v>338</v>
      </c>
      <c r="D379" t="s">
        <v>4</v>
      </c>
      <c r="E379" s="5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  <c r="S379" t="str">
        <f t="shared" si="15"/>
        <v>Recomendado</v>
      </c>
      <c r="T379" t="str">
        <f>VLOOKUP(A379,AssuranceTable,2,FALSE)</f>
        <v>Premium</v>
      </c>
      <c r="U379" t="str">
        <f t="shared" si="16"/>
        <v>FG16766 California</v>
      </c>
      <c r="X379" s="4">
        <f t="shared" si="17"/>
        <v>683793.26</v>
      </c>
    </row>
    <row r="380" spans="1:24" x14ac:dyDescent="0.35">
      <c r="A380" t="s">
        <v>419</v>
      </c>
      <c r="B380" t="s">
        <v>23</v>
      </c>
      <c r="C380" t="s">
        <v>338</v>
      </c>
      <c r="D380" t="s">
        <v>31</v>
      </c>
      <c r="E380" s="5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  <c r="S380" t="str">
        <f t="shared" si="15"/>
        <v>Recomendado</v>
      </c>
      <c r="T380" t="str">
        <f>VLOOKUP(A380,AssuranceTable,2,FALSE)</f>
        <v>Basic</v>
      </c>
      <c r="U380" t="str">
        <f t="shared" si="16"/>
        <v>NV55438 Nevada</v>
      </c>
      <c r="X380" s="4">
        <f t="shared" si="17"/>
        <v>528526.81999999995</v>
      </c>
    </row>
    <row r="381" spans="1:24" x14ac:dyDescent="0.35">
      <c r="A381" t="s">
        <v>420</v>
      </c>
      <c r="B381" t="s">
        <v>26</v>
      </c>
      <c r="C381" t="s">
        <v>338</v>
      </c>
      <c r="D381" t="s">
        <v>35</v>
      </c>
      <c r="E381" s="5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  <c r="S381" t="str">
        <f t="shared" si="15"/>
        <v>Recomendado</v>
      </c>
      <c r="T381" t="str">
        <f>VLOOKUP(A381,AssuranceTable,2,FALSE)</f>
        <v>Extended</v>
      </c>
      <c r="U381" t="str">
        <f t="shared" si="16"/>
        <v>RM10880 California</v>
      </c>
      <c r="X381" s="4">
        <f t="shared" si="17"/>
        <v>309651.12</v>
      </c>
    </row>
    <row r="382" spans="1:24" x14ac:dyDescent="0.35">
      <c r="A382" t="s">
        <v>421</v>
      </c>
      <c r="B382" t="s">
        <v>5</v>
      </c>
      <c r="C382" t="s">
        <v>27</v>
      </c>
      <c r="D382" t="s">
        <v>35</v>
      </c>
      <c r="E382" s="5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  <c r="S382" t="str">
        <f t="shared" si="15"/>
        <v>Recomendado</v>
      </c>
      <c r="T382" t="str">
        <f>VLOOKUP(A382,AssuranceTable,2,FALSE)</f>
        <v>Extended</v>
      </c>
      <c r="U382" t="str">
        <f t="shared" si="16"/>
        <v>GL56175 Arizona</v>
      </c>
      <c r="X382" s="4">
        <f t="shared" si="17"/>
        <v>358971.07</v>
      </c>
    </row>
    <row r="383" spans="1:24" x14ac:dyDescent="0.35">
      <c r="A383" t="s">
        <v>422</v>
      </c>
      <c r="B383" t="s">
        <v>5</v>
      </c>
      <c r="C383" t="s">
        <v>338</v>
      </c>
      <c r="D383" t="s">
        <v>4</v>
      </c>
      <c r="E383" s="5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  <c r="S383" t="str">
        <f t="shared" si="15"/>
        <v>Recomendado</v>
      </c>
      <c r="T383" t="str">
        <f>VLOOKUP(A383,AssuranceTable,2,FALSE)</f>
        <v>Basic</v>
      </c>
      <c r="U383" t="str">
        <f t="shared" si="16"/>
        <v>UK52289 Arizona</v>
      </c>
      <c r="X383" s="4">
        <f t="shared" si="17"/>
        <v>258240.85</v>
      </c>
    </row>
    <row r="384" spans="1:24" x14ac:dyDescent="0.35">
      <c r="A384" t="s">
        <v>423</v>
      </c>
      <c r="B384" t="s">
        <v>3</v>
      </c>
      <c r="C384" t="s">
        <v>27</v>
      </c>
      <c r="D384" t="s">
        <v>35</v>
      </c>
      <c r="E384" s="5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  <c r="S384" t="str">
        <f t="shared" si="15"/>
        <v>Recomendado</v>
      </c>
      <c r="T384" t="str">
        <f>VLOOKUP(A384,AssuranceTable,2,FALSE)</f>
        <v>Extended</v>
      </c>
      <c r="U384" t="str">
        <f t="shared" si="16"/>
        <v>OT85112 Washington</v>
      </c>
      <c r="X384" s="4">
        <f t="shared" si="17"/>
        <v>340391.94</v>
      </c>
    </row>
    <row r="385" spans="1:24" x14ac:dyDescent="0.35">
      <c r="A385" t="s">
        <v>424</v>
      </c>
      <c r="B385" t="s">
        <v>5</v>
      </c>
      <c r="C385" t="s">
        <v>21</v>
      </c>
      <c r="D385" t="s">
        <v>35</v>
      </c>
      <c r="E385" s="5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  <c r="S385" t="str">
        <f t="shared" si="15"/>
        <v>Recomendado</v>
      </c>
      <c r="T385" t="str">
        <f>VLOOKUP(A385,AssuranceTable,2,FALSE)</f>
        <v>Basic</v>
      </c>
      <c r="U385" t="str">
        <f t="shared" si="16"/>
        <v>BC62782 Arizona</v>
      </c>
      <c r="X385" s="4">
        <f t="shared" si="17"/>
        <v>1357567.6</v>
      </c>
    </row>
    <row r="386" spans="1:24" x14ac:dyDescent="0.35">
      <c r="A386" t="s">
        <v>425</v>
      </c>
      <c r="B386" t="s">
        <v>3</v>
      </c>
      <c r="C386" t="s">
        <v>27</v>
      </c>
      <c r="D386" t="s">
        <v>80</v>
      </c>
      <c r="E386" s="5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  <c r="S386" t="str">
        <f t="shared" si="15"/>
        <v>Recomendado</v>
      </c>
      <c r="T386" t="str">
        <f>VLOOKUP(A386,AssuranceTable,2,FALSE)</f>
        <v>Extended</v>
      </c>
      <c r="U386" t="str">
        <f t="shared" si="16"/>
        <v>TI19722 Washington</v>
      </c>
      <c r="X386" s="4">
        <f t="shared" si="17"/>
        <v>343613.43</v>
      </c>
    </row>
    <row r="387" spans="1:24" x14ac:dyDescent="0.35">
      <c r="A387" t="s">
        <v>426</v>
      </c>
      <c r="B387" t="s">
        <v>33</v>
      </c>
      <c r="C387" t="s">
        <v>21</v>
      </c>
      <c r="D387" t="s">
        <v>35</v>
      </c>
      <c r="E387" s="5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  <c r="S387" t="str">
        <f t="shared" ref="S387:S450" si="18">IF(F387&gt;3000,"Recomendado","No recomendado")</f>
        <v>Recomendado</v>
      </c>
      <c r="T387" t="str">
        <f>VLOOKUP(A387,AssuranceTable,2,FALSE)</f>
        <v>Basic</v>
      </c>
      <c r="U387" t="str">
        <f t="shared" ref="U387:U450" si="19">_xlfn.CONCAT(A387, " ",B387)</f>
        <v>JP30654 Oregon</v>
      </c>
      <c r="X387" s="4">
        <f t="shared" ref="X387:X450" si="20">ROUND(E387,3)</f>
        <v>2868582.79</v>
      </c>
    </row>
    <row r="388" spans="1:24" x14ac:dyDescent="0.35">
      <c r="A388" t="s">
        <v>427</v>
      </c>
      <c r="B388" t="s">
        <v>3</v>
      </c>
      <c r="C388" t="s">
        <v>27</v>
      </c>
      <c r="D388" t="s">
        <v>4</v>
      </c>
      <c r="E388" s="5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  <c r="S388" t="str">
        <f t="shared" si="18"/>
        <v>Recomendado</v>
      </c>
      <c r="T388" t="str">
        <f>VLOOKUP(A388,AssuranceTable,2,FALSE)</f>
        <v>Basic</v>
      </c>
      <c r="U388" t="str">
        <f t="shared" si="19"/>
        <v>UM45563 Washington</v>
      </c>
      <c r="X388" s="4">
        <f t="shared" si="20"/>
        <v>450267.97</v>
      </c>
    </row>
    <row r="389" spans="1:24" x14ac:dyDescent="0.35">
      <c r="A389" t="s">
        <v>428</v>
      </c>
      <c r="B389" t="s">
        <v>33</v>
      </c>
      <c r="C389" t="s">
        <v>27</v>
      </c>
      <c r="D389" t="s">
        <v>4</v>
      </c>
      <c r="E389" s="5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  <c r="S389" t="str">
        <f t="shared" si="18"/>
        <v>Recomendado</v>
      </c>
      <c r="T389" t="str">
        <f>VLOOKUP(A389,AssuranceTable,2,FALSE)</f>
        <v>Extended</v>
      </c>
      <c r="U389" t="str">
        <f t="shared" si="19"/>
        <v>EN60878 Oregon</v>
      </c>
      <c r="X389" s="4">
        <f t="shared" si="20"/>
        <v>618311.15</v>
      </c>
    </row>
    <row r="390" spans="1:24" x14ac:dyDescent="0.35">
      <c r="A390" t="s">
        <v>429</v>
      </c>
      <c r="B390" t="s">
        <v>26</v>
      </c>
      <c r="C390" t="s">
        <v>27</v>
      </c>
      <c r="D390" t="s">
        <v>35</v>
      </c>
      <c r="E390" s="5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  <c r="S390" t="str">
        <f t="shared" si="18"/>
        <v>Recomendado</v>
      </c>
      <c r="T390" t="str">
        <f>VLOOKUP(A390,AssuranceTable,2,FALSE)</f>
        <v>Basic</v>
      </c>
      <c r="U390" t="str">
        <f t="shared" si="19"/>
        <v>JF36291 California</v>
      </c>
      <c r="X390" s="4">
        <f t="shared" si="20"/>
        <v>387364.7</v>
      </c>
    </row>
    <row r="391" spans="1:24" x14ac:dyDescent="0.35">
      <c r="A391" t="s">
        <v>430</v>
      </c>
      <c r="B391" t="s">
        <v>26</v>
      </c>
      <c r="C391" t="s">
        <v>21</v>
      </c>
      <c r="D391" t="s">
        <v>2</v>
      </c>
      <c r="E391" s="5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  <c r="S391" t="str">
        <f t="shared" si="18"/>
        <v>Recomendado</v>
      </c>
      <c r="T391" t="str">
        <f>VLOOKUP(A391,AssuranceTable,2,FALSE)</f>
        <v>Basic</v>
      </c>
      <c r="U391" t="str">
        <f t="shared" si="19"/>
        <v>BK59444 California</v>
      </c>
      <c r="X391" s="4">
        <f t="shared" si="20"/>
        <v>1892933.06</v>
      </c>
    </row>
    <row r="392" spans="1:24" x14ac:dyDescent="0.35">
      <c r="A392" t="s">
        <v>431</v>
      </c>
      <c r="B392" t="s">
        <v>26</v>
      </c>
      <c r="C392" t="s">
        <v>27</v>
      </c>
      <c r="D392" t="s">
        <v>2</v>
      </c>
      <c r="E392" s="5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  <c r="S392" t="str">
        <f t="shared" si="18"/>
        <v>Recomendado</v>
      </c>
      <c r="T392" t="str">
        <f>VLOOKUP(A392,AssuranceTable,2,FALSE)</f>
        <v>Basic</v>
      </c>
      <c r="U392" t="str">
        <f t="shared" si="19"/>
        <v>MK70700 California</v>
      </c>
      <c r="X392" s="4">
        <f t="shared" si="20"/>
        <v>555329.57999999996</v>
      </c>
    </row>
    <row r="393" spans="1:24" x14ac:dyDescent="0.35">
      <c r="A393" t="s">
        <v>432</v>
      </c>
      <c r="B393" t="s">
        <v>26</v>
      </c>
      <c r="C393" t="s">
        <v>27</v>
      </c>
      <c r="D393" t="s">
        <v>4</v>
      </c>
      <c r="E393" s="5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  <c r="S393" t="str">
        <f t="shared" si="18"/>
        <v>Recomendado</v>
      </c>
      <c r="T393" t="str">
        <f>VLOOKUP(A393,AssuranceTable,2,FALSE)</f>
        <v>Basic</v>
      </c>
      <c r="U393" t="str">
        <f t="shared" si="19"/>
        <v>IW71076 California</v>
      </c>
      <c r="X393" s="4">
        <f t="shared" si="20"/>
        <v>501125.92</v>
      </c>
    </row>
    <row r="394" spans="1:24" x14ac:dyDescent="0.35">
      <c r="A394" t="s">
        <v>433</v>
      </c>
      <c r="B394" t="s">
        <v>26</v>
      </c>
      <c r="C394" t="s">
        <v>21</v>
      </c>
      <c r="D394" t="s">
        <v>35</v>
      </c>
      <c r="E394" s="5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  <c r="S394" t="str">
        <f t="shared" si="18"/>
        <v>No recomendado</v>
      </c>
      <c r="T394" t="str">
        <f>VLOOKUP(A394,AssuranceTable,2,FALSE)</f>
        <v>Extended</v>
      </c>
      <c r="U394" t="str">
        <f t="shared" si="19"/>
        <v>AP98768 California</v>
      </c>
      <c r="X394" s="4">
        <f t="shared" si="20"/>
        <v>1044244.63</v>
      </c>
    </row>
    <row r="395" spans="1:24" x14ac:dyDescent="0.35">
      <c r="A395" t="s">
        <v>434</v>
      </c>
      <c r="B395" t="s">
        <v>23</v>
      </c>
      <c r="C395" t="s">
        <v>27</v>
      </c>
      <c r="D395" t="s">
        <v>4</v>
      </c>
      <c r="E395" s="5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  <c r="S395" t="str">
        <f t="shared" si="18"/>
        <v>No recomendado</v>
      </c>
      <c r="T395" t="str">
        <f>VLOOKUP(A395,AssuranceTable,2,FALSE)</f>
        <v>Basic</v>
      </c>
      <c r="U395" t="str">
        <f t="shared" si="19"/>
        <v>OM24164 Nevada</v>
      </c>
      <c r="X395" s="4">
        <f t="shared" si="20"/>
        <v>219961.78</v>
      </c>
    </row>
    <row r="396" spans="1:24" x14ac:dyDescent="0.35">
      <c r="A396" t="s">
        <v>435</v>
      </c>
      <c r="B396" t="s">
        <v>3</v>
      </c>
      <c r="C396" t="s">
        <v>338</v>
      </c>
      <c r="D396" t="s">
        <v>2</v>
      </c>
      <c r="E396" s="5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  <c r="S396" t="str">
        <f t="shared" si="18"/>
        <v>Recomendado</v>
      </c>
      <c r="T396" t="str">
        <f>VLOOKUP(A396,AssuranceTable,2,FALSE)</f>
        <v>Basic</v>
      </c>
      <c r="U396" t="str">
        <f t="shared" si="19"/>
        <v>HR85211 Washington</v>
      </c>
      <c r="X396" s="4">
        <f t="shared" si="20"/>
        <v>512317.09</v>
      </c>
    </row>
    <row r="397" spans="1:24" x14ac:dyDescent="0.35">
      <c r="A397" t="s">
        <v>436</v>
      </c>
      <c r="B397" t="s">
        <v>33</v>
      </c>
      <c r="C397" t="s">
        <v>27</v>
      </c>
      <c r="D397" t="s">
        <v>31</v>
      </c>
      <c r="E397" s="5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  <c r="S397" t="str">
        <f t="shared" si="18"/>
        <v>Recomendado</v>
      </c>
      <c r="T397" t="str">
        <f>VLOOKUP(A397,AssuranceTable,2,FALSE)</f>
        <v>Extended</v>
      </c>
      <c r="U397" t="str">
        <f t="shared" si="19"/>
        <v>VC87846 Oregon</v>
      </c>
      <c r="X397" s="4">
        <f t="shared" si="20"/>
        <v>748431.05</v>
      </c>
    </row>
    <row r="398" spans="1:24" x14ac:dyDescent="0.35">
      <c r="A398" t="s">
        <v>437</v>
      </c>
      <c r="B398" t="s">
        <v>33</v>
      </c>
      <c r="C398" t="s">
        <v>27</v>
      </c>
      <c r="D398" t="s">
        <v>4</v>
      </c>
      <c r="E398" s="5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  <c r="S398" t="str">
        <f t="shared" si="18"/>
        <v>Recomendado</v>
      </c>
      <c r="T398" t="str">
        <f>VLOOKUP(A398,AssuranceTable,2,FALSE)</f>
        <v>Basic</v>
      </c>
      <c r="U398" t="str">
        <f t="shared" si="19"/>
        <v>ZM92052 Oregon</v>
      </c>
      <c r="X398" s="4">
        <f t="shared" si="20"/>
        <v>261302.31</v>
      </c>
    </row>
    <row r="399" spans="1:24" x14ac:dyDescent="0.35">
      <c r="A399" t="s">
        <v>438</v>
      </c>
      <c r="B399" t="s">
        <v>5</v>
      </c>
      <c r="C399" t="s">
        <v>21</v>
      </c>
      <c r="D399" t="s">
        <v>4</v>
      </c>
      <c r="E399" s="5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S399" t="str">
        <f t="shared" si="18"/>
        <v>Recomendado</v>
      </c>
      <c r="T399" t="str">
        <f>VLOOKUP(A399,AssuranceTable,2,FALSE)</f>
        <v>Basic</v>
      </c>
      <c r="U399" t="str">
        <f t="shared" si="19"/>
        <v>ON73702 Arizona</v>
      </c>
      <c r="X399" s="4">
        <f t="shared" si="20"/>
        <v>908063.97</v>
      </c>
    </row>
    <row r="400" spans="1:24" x14ac:dyDescent="0.35">
      <c r="A400" t="s">
        <v>439</v>
      </c>
      <c r="B400" t="s">
        <v>23</v>
      </c>
      <c r="C400" t="s">
        <v>21</v>
      </c>
      <c r="D400" t="s">
        <v>31</v>
      </c>
      <c r="E400" s="5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  <c r="S400" t="str">
        <f t="shared" si="18"/>
        <v>Recomendado</v>
      </c>
      <c r="T400" t="str">
        <f>VLOOKUP(A400,AssuranceTable,2,FALSE)</f>
        <v>Premium</v>
      </c>
      <c r="U400" t="str">
        <f t="shared" si="19"/>
        <v>QQ90441 Nevada</v>
      </c>
      <c r="X400" s="4">
        <f t="shared" si="20"/>
        <v>1377097.62</v>
      </c>
    </row>
    <row r="401" spans="1:24" x14ac:dyDescent="0.35">
      <c r="A401" t="s">
        <v>440</v>
      </c>
      <c r="B401" t="s">
        <v>33</v>
      </c>
      <c r="C401" t="s">
        <v>27</v>
      </c>
      <c r="D401" t="s">
        <v>31</v>
      </c>
      <c r="E401" s="5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  <c r="S401" t="str">
        <f t="shared" si="18"/>
        <v>Recomendado</v>
      </c>
      <c r="T401" t="str">
        <f>VLOOKUP(A401,AssuranceTable,2,FALSE)</f>
        <v>Basic</v>
      </c>
      <c r="U401" t="str">
        <f t="shared" si="19"/>
        <v>HU35721 Oregon</v>
      </c>
      <c r="X401" s="4">
        <f t="shared" si="20"/>
        <v>287682.28999999998</v>
      </c>
    </row>
    <row r="402" spans="1:24" x14ac:dyDescent="0.35">
      <c r="A402" t="s">
        <v>441</v>
      </c>
      <c r="B402" t="s">
        <v>3</v>
      </c>
      <c r="C402" t="s">
        <v>27</v>
      </c>
      <c r="D402" t="s">
        <v>80</v>
      </c>
      <c r="E402" s="5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  <c r="S402" t="str">
        <f t="shared" si="18"/>
        <v>Recomendado</v>
      </c>
      <c r="T402" t="str">
        <f>VLOOKUP(A402,AssuranceTable,2,FALSE)</f>
        <v>Basic</v>
      </c>
      <c r="U402" t="str">
        <f t="shared" si="19"/>
        <v>YP47665 Washington</v>
      </c>
      <c r="X402" s="4">
        <f t="shared" si="20"/>
        <v>540891.15</v>
      </c>
    </row>
    <row r="403" spans="1:24" x14ac:dyDescent="0.35">
      <c r="A403" t="s">
        <v>442</v>
      </c>
      <c r="B403" t="s">
        <v>3</v>
      </c>
      <c r="C403" t="s">
        <v>27</v>
      </c>
      <c r="D403" t="s">
        <v>31</v>
      </c>
      <c r="E403" s="5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  <c r="S403" t="str">
        <f t="shared" si="18"/>
        <v>Recomendado</v>
      </c>
      <c r="T403" t="str">
        <f>VLOOKUP(A403,AssuranceTable,2,FALSE)</f>
        <v>Extended</v>
      </c>
      <c r="U403" t="str">
        <f t="shared" si="19"/>
        <v>FU99476 Washington</v>
      </c>
      <c r="X403" s="4">
        <f t="shared" si="20"/>
        <v>677030.68</v>
      </c>
    </row>
    <row r="404" spans="1:24" x14ac:dyDescent="0.35">
      <c r="A404" t="s">
        <v>443</v>
      </c>
      <c r="B404" t="s">
        <v>33</v>
      </c>
      <c r="C404" t="s">
        <v>27</v>
      </c>
      <c r="D404" t="s">
        <v>35</v>
      </c>
      <c r="E404" s="5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  <c r="S404" t="str">
        <f t="shared" si="18"/>
        <v>No recomendado</v>
      </c>
      <c r="T404" t="str">
        <f>VLOOKUP(A404,AssuranceTable,2,FALSE)</f>
        <v>Extended</v>
      </c>
      <c r="U404" t="str">
        <f t="shared" si="19"/>
        <v>AG85615 Oregon</v>
      </c>
      <c r="X404" s="4">
        <f t="shared" si="20"/>
        <v>2414387.56</v>
      </c>
    </row>
    <row r="405" spans="1:24" x14ac:dyDescent="0.35">
      <c r="A405" t="s">
        <v>444</v>
      </c>
      <c r="B405" t="s">
        <v>5</v>
      </c>
      <c r="C405" t="s">
        <v>21</v>
      </c>
      <c r="D405" t="s">
        <v>35</v>
      </c>
      <c r="E405" s="5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  <c r="S405" t="str">
        <f t="shared" si="18"/>
        <v>No recomendado</v>
      </c>
      <c r="T405" t="str">
        <f>VLOOKUP(A405,AssuranceTable,2,FALSE)</f>
        <v>Basic</v>
      </c>
      <c r="U405" t="str">
        <f t="shared" si="19"/>
        <v>OY74069 Arizona</v>
      </c>
      <c r="X405" s="4">
        <f t="shared" si="20"/>
        <v>353805.95</v>
      </c>
    </row>
    <row r="406" spans="1:24" x14ac:dyDescent="0.35">
      <c r="A406" t="s">
        <v>445</v>
      </c>
      <c r="B406" t="s">
        <v>23</v>
      </c>
      <c r="C406" t="s">
        <v>21</v>
      </c>
      <c r="D406" t="s">
        <v>4</v>
      </c>
      <c r="E406" s="5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  <c r="S406" t="str">
        <f t="shared" si="18"/>
        <v>Recomendado</v>
      </c>
      <c r="T406" t="str">
        <f>VLOOKUP(A406,AssuranceTable,2,FALSE)</f>
        <v>Extended</v>
      </c>
      <c r="U406" t="str">
        <f t="shared" si="19"/>
        <v>DJ91267 Nevada</v>
      </c>
      <c r="X406" s="4">
        <f t="shared" si="20"/>
        <v>2909123.94</v>
      </c>
    </row>
    <row r="407" spans="1:24" x14ac:dyDescent="0.35">
      <c r="A407" t="s">
        <v>446</v>
      </c>
      <c r="B407" t="s">
        <v>26</v>
      </c>
      <c r="C407" t="s">
        <v>21</v>
      </c>
      <c r="D407" t="s">
        <v>31</v>
      </c>
      <c r="E407" s="5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  <c r="S407" t="str">
        <f t="shared" si="18"/>
        <v>Recomendado</v>
      </c>
      <c r="T407" t="str">
        <f>VLOOKUP(A407,AssuranceTable,2,FALSE)</f>
        <v>Extended</v>
      </c>
      <c r="U407" t="str">
        <f t="shared" si="19"/>
        <v>KB72438 California</v>
      </c>
      <c r="X407" s="4">
        <f t="shared" si="20"/>
        <v>1983420.12</v>
      </c>
    </row>
    <row r="408" spans="1:24" x14ac:dyDescent="0.35">
      <c r="A408" t="s">
        <v>447</v>
      </c>
      <c r="B408" t="s">
        <v>33</v>
      </c>
      <c r="C408" t="s">
        <v>27</v>
      </c>
      <c r="D408" t="s">
        <v>31</v>
      </c>
      <c r="E408" s="5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  <c r="S408" t="str">
        <f t="shared" si="18"/>
        <v>Recomendado</v>
      </c>
      <c r="T408" t="str">
        <f>VLOOKUP(A408,AssuranceTable,2,FALSE)</f>
        <v>Basic</v>
      </c>
      <c r="U408" t="str">
        <f t="shared" si="19"/>
        <v>TR67616 Oregon</v>
      </c>
      <c r="X408" s="4">
        <f t="shared" si="20"/>
        <v>473136.7</v>
      </c>
    </row>
    <row r="409" spans="1:24" x14ac:dyDescent="0.35">
      <c r="A409" t="s">
        <v>448</v>
      </c>
      <c r="B409" t="s">
        <v>26</v>
      </c>
      <c r="C409" t="s">
        <v>21</v>
      </c>
      <c r="D409" t="s">
        <v>2</v>
      </c>
      <c r="E409" s="5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  <c r="S409" t="str">
        <f t="shared" si="18"/>
        <v>No recomendado</v>
      </c>
      <c r="T409" t="str">
        <f>VLOOKUP(A409,AssuranceTable,2,FALSE)</f>
        <v>Basic</v>
      </c>
      <c r="U409" t="str">
        <f t="shared" si="19"/>
        <v>GF65731 California</v>
      </c>
      <c r="X409" s="4">
        <f t="shared" si="20"/>
        <v>3553784.6</v>
      </c>
    </row>
    <row r="410" spans="1:24" x14ac:dyDescent="0.35">
      <c r="A410" t="s">
        <v>449</v>
      </c>
      <c r="B410" t="s">
        <v>5</v>
      </c>
      <c r="C410" t="s">
        <v>21</v>
      </c>
      <c r="D410" t="s">
        <v>31</v>
      </c>
      <c r="E410" s="5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  <c r="S410" t="str">
        <f t="shared" si="18"/>
        <v>Recomendado</v>
      </c>
      <c r="T410" t="str">
        <f>VLOOKUP(A410,AssuranceTable,2,FALSE)</f>
        <v>Basic</v>
      </c>
      <c r="U410" t="str">
        <f t="shared" si="19"/>
        <v>HB67642 Arizona</v>
      </c>
      <c r="X410" s="4">
        <f t="shared" si="20"/>
        <v>3461137.9</v>
      </c>
    </row>
    <row r="411" spans="1:24" x14ac:dyDescent="0.35">
      <c r="A411" t="s">
        <v>450</v>
      </c>
      <c r="B411" t="s">
        <v>26</v>
      </c>
      <c r="C411" t="s">
        <v>27</v>
      </c>
      <c r="D411" t="s">
        <v>31</v>
      </c>
      <c r="E411" s="5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  <c r="S411" t="str">
        <f t="shared" si="18"/>
        <v>No recomendado</v>
      </c>
      <c r="T411" t="str">
        <f>VLOOKUP(A411,AssuranceTable,2,FALSE)</f>
        <v>Basic</v>
      </c>
      <c r="U411" t="str">
        <f t="shared" si="19"/>
        <v>DP84567 California</v>
      </c>
      <c r="X411" s="4">
        <f t="shared" si="20"/>
        <v>2021630.88</v>
      </c>
    </row>
    <row r="412" spans="1:24" x14ac:dyDescent="0.35">
      <c r="A412" t="s">
        <v>451</v>
      </c>
      <c r="B412" t="s">
        <v>33</v>
      </c>
      <c r="C412" t="s">
        <v>27</v>
      </c>
      <c r="D412" t="s">
        <v>35</v>
      </c>
      <c r="E412" s="5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  <c r="S412" t="str">
        <f t="shared" si="18"/>
        <v>Recomendado</v>
      </c>
      <c r="T412" t="str">
        <f>VLOOKUP(A412,AssuranceTable,2,FALSE)</f>
        <v>Premium</v>
      </c>
      <c r="U412" t="str">
        <f t="shared" si="19"/>
        <v>VV77534 Oregon</v>
      </c>
      <c r="X412" s="4">
        <f t="shared" si="20"/>
        <v>1397651.93</v>
      </c>
    </row>
    <row r="413" spans="1:24" x14ac:dyDescent="0.35">
      <c r="A413" t="s">
        <v>452</v>
      </c>
      <c r="B413" t="s">
        <v>26</v>
      </c>
      <c r="C413" t="s">
        <v>21</v>
      </c>
      <c r="D413" t="s">
        <v>35</v>
      </c>
      <c r="E413" s="5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  <c r="S413" t="str">
        <f t="shared" si="18"/>
        <v>Recomendado</v>
      </c>
      <c r="T413" t="str">
        <f>VLOOKUP(A413,AssuranceTable,2,FALSE)</f>
        <v>Basic</v>
      </c>
      <c r="U413" t="str">
        <f t="shared" si="19"/>
        <v>GL67540 California</v>
      </c>
      <c r="X413" s="4">
        <f t="shared" si="20"/>
        <v>590408.81999999995</v>
      </c>
    </row>
    <row r="414" spans="1:24" x14ac:dyDescent="0.35">
      <c r="A414" t="s">
        <v>453</v>
      </c>
      <c r="B414" t="s">
        <v>33</v>
      </c>
      <c r="C414" t="s">
        <v>21</v>
      </c>
      <c r="D414" t="s">
        <v>2</v>
      </c>
      <c r="E414" s="5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  <c r="S414" t="str">
        <f t="shared" si="18"/>
        <v>Recomendado</v>
      </c>
      <c r="T414" t="str">
        <f>VLOOKUP(A414,AssuranceTable,2,FALSE)</f>
        <v>Basic</v>
      </c>
      <c r="U414" t="str">
        <f t="shared" si="19"/>
        <v>SV50502 Oregon</v>
      </c>
      <c r="X414" s="4">
        <f t="shared" si="20"/>
        <v>559583.5</v>
      </c>
    </row>
    <row r="415" spans="1:24" x14ac:dyDescent="0.35">
      <c r="A415" t="s">
        <v>454</v>
      </c>
      <c r="B415" t="s">
        <v>26</v>
      </c>
      <c r="C415" t="s">
        <v>21</v>
      </c>
      <c r="D415" t="s">
        <v>31</v>
      </c>
      <c r="E415" s="5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  <c r="S415" t="str">
        <f t="shared" si="18"/>
        <v>No recomendado</v>
      </c>
      <c r="T415" t="str">
        <f>VLOOKUP(A415,AssuranceTable,2,FALSE)</f>
        <v>Basic</v>
      </c>
      <c r="U415" t="str">
        <f t="shared" si="19"/>
        <v>UK59698 California</v>
      </c>
      <c r="X415" s="4">
        <f t="shared" si="20"/>
        <v>229430.36</v>
      </c>
    </row>
    <row r="416" spans="1:24" x14ac:dyDescent="0.35">
      <c r="A416" t="s">
        <v>455</v>
      </c>
      <c r="B416" t="s">
        <v>5</v>
      </c>
      <c r="C416" t="s">
        <v>21</v>
      </c>
      <c r="D416" t="s">
        <v>35</v>
      </c>
      <c r="E416" s="5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  <c r="S416" t="str">
        <f t="shared" si="18"/>
        <v>Recomendado</v>
      </c>
      <c r="T416" t="str">
        <f>VLOOKUP(A416,AssuranceTable,2,FALSE)</f>
        <v>Extended</v>
      </c>
      <c r="U416" t="str">
        <f t="shared" si="19"/>
        <v>OA57352 Arizona</v>
      </c>
      <c r="X416" s="4">
        <f t="shared" si="20"/>
        <v>627391.18999999994</v>
      </c>
    </row>
    <row r="417" spans="1:24" x14ac:dyDescent="0.35">
      <c r="A417" t="s">
        <v>456</v>
      </c>
      <c r="B417" t="s">
        <v>33</v>
      </c>
      <c r="C417" t="s">
        <v>21</v>
      </c>
      <c r="D417" t="s">
        <v>35</v>
      </c>
      <c r="E417" s="5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S417" t="str">
        <f t="shared" si="18"/>
        <v>No recomendado</v>
      </c>
      <c r="T417" t="str">
        <f>VLOOKUP(A417,AssuranceTable,2,FALSE)</f>
        <v>Basic</v>
      </c>
      <c r="U417" t="str">
        <f t="shared" si="19"/>
        <v>ZF84449 Oregon</v>
      </c>
      <c r="X417" s="4">
        <f t="shared" si="20"/>
        <v>372672.8</v>
      </c>
    </row>
    <row r="418" spans="1:24" x14ac:dyDescent="0.35">
      <c r="A418" t="s">
        <v>457</v>
      </c>
      <c r="B418" t="s">
        <v>3</v>
      </c>
      <c r="C418" t="s">
        <v>27</v>
      </c>
      <c r="D418" t="s">
        <v>31</v>
      </c>
      <c r="E418" s="5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  <c r="S418" t="str">
        <f t="shared" si="18"/>
        <v>Recomendado</v>
      </c>
      <c r="T418" t="str">
        <f>VLOOKUP(A418,AssuranceTable,2,FALSE)</f>
        <v>Basic</v>
      </c>
      <c r="U418" t="str">
        <f t="shared" si="19"/>
        <v>AX86150 Washington</v>
      </c>
      <c r="X418" s="4">
        <f t="shared" si="20"/>
        <v>265671.31</v>
      </c>
    </row>
    <row r="419" spans="1:24" x14ac:dyDescent="0.35">
      <c r="A419" t="s">
        <v>458</v>
      </c>
      <c r="B419" t="s">
        <v>33</v>
      </c>
      <c r="C419" t="s">
        <v>271</v>
      </c>
      <c r="D419" t="s">
        <v>4</v>
      </c>
      <c r="E419" s="5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  <c r="S419" t="str">
        <f t="shared" si="18"/>
        <v>No recomendado</v>
      </c>
      <c r="T419" t="str">
        <f>VLOOKUP(A419,AssuranceTable,2,FALSE)</f>
        <v>Basic</v>
      </c>
      <c r="U419" t="str">
        <f t="shared" si="19"/>
        <v>HG39060 Oregon</v>
      </c>
      <c r="X419" s="4">
        <f t="shared" si="20"/>
        <v>511068.08</v>
      </c>
    </row>
    <row r="420" spans="1:24" x14ac:dyDescent="0.35">
      <c r="A420" t="s">
        <v>459</v>
      </c>
      <c r="B420" t="s">
        <v>23</v>
      </c>
      <c r="C420" t="s">
        <v>271</v>
      </c>
      <c r="D420" t="s">
        <v>35</v>
      </c>
      <c r="E420" s="5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  <c r="S420" t="str">
        <f t="shared" si="18"/>
        <v>Recomendado</v>
      </c>
      <c r="T420" t="str">
        <f>VLOOKUP(A420,AssuranceTable,2,FALSE)</f>
        <v>Basic</v>
      </c>
      <c r="U420" t="str">
        <f t="shared" si="19"/>
        <v>EM29359 Nevada</v>
      </c>
      <c r="X420" s="4">
        <f t="shared" si="20"/>
        <v>712659.65</v>
      </c>
    </row>
    <row r="421" spans="1:24" x14ac:dyDescent="0.35">
      <c r="A421" t="s">
        <v>460</v>
      </c>
      <c r="B421" t="s">
        <v>33</v>
      </c>
      <c r="C421" t="s">
        <v>271</v>
      </c>
      <c r="D421" t="s">
        <v>2</v>
      </c>
      <c r="E421" s="5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  <c r="S421" t="str">
        <f t="shared" si="18"/>
        <v>Recomendado</v>
      </c>
      <c r="T421" t="str">
        <f>VLOOKUP(A421,AssuranceTable,2,FALSE)</f>
        <v>Basic</v>
      </c>
      <c r="U421" t="str">
        <f t="shared" si="19"/>
        <v>SF57173 Oregon</v>
      </c>
      <c r="X421" s="4">
        <f t="shared" si="20"/>
        <v>460163.41</v>
      </c>
    </row>
    <row r="422" spans="1:24" x14ac:dyDescent="0.35">
      <c r="A422" t="s">
        <v>461</v>
      </c>
      <c r="B422" t="s">
        <v>33</v>
      </c>
      <c r="C422" t="s">
        <v>271</v>
      </c>
      <c r="D422" t="s">
        <v>35</v>
      </c>
      <c r="E422" s="5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  <c r="S422" t="str">
        <f t="shared" si="18"/>
        <v>No recomendado</v>
      </c>
      <c r="T422" t="str">
        <f>VLOOKUP(A422,AssuranceTable,2,FALSE)</f>
        <v>Extended</v>
      </c>
      <c r="U422" t="str">
        <f t="shared" si="19"/>
        <v>OT47603 Oregon</v>
      </c>
      <c r="X422" s="4">
        <f t="shared" si="20"/>
        <v>915523.97</v>
      </c>
    </row>
    <row r="423" spans="1:24" x14ac:dyDescent="0.35">
      <c r="A423" t="s">
        <v>462</v>
      </c>
      <c r="B423" t="s">
        <v>33</v>
      </c>
      <c r="C423" t="s">
        <v>21</v>
      </c>
      <c r="D423" t="s">
        <v>35</v>
      </c>
      <c r="E423" s="5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  <c r="S423" t="str">
        <f t="shared" si="18"/>
        <v>Recomendado</v>
      </c>
      <c r="T423" t="str">
        <f>VLOOKUP(A423,AssuranceTable,2,FALSE)</f>
        <v>Basic</v>
      </c>
      <c r="U423" t="str">
        <f t="shared" si="19"/>
        <v>SW31412 Oregon</v>
      </c>
      <c r="X423" s="4">
        <f t="shared" si="20"/>
        <v>1480805.62</v>
      </c>
    </row>
    <row r="424" spans="1:24" x14ac:dyDescent="0.35">
      <c r="A424" t="s">
        <v>463</v>
      </c>
      <c r="B424" t="s">
        <v>5</v>
      </c>
      <c r="C424" t="s">
        <v>271</v>
      </c>
      <c r="D424" t="s">
        <v>31</v>
      </c>
      <c r="E424" s="5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  <c r="S424" t="str">
        <f t="shared" si="18"/>
        <v>No recomendado</v>
      </c>
      <c r="T424" t="str">
        <f>VLOOKUP(A424,AssuranceTable,2,FALSE)</f>
        <v>Extended</v>
      </c>
      <c r="U424" t="str">
        <f t="shared" si="19"/>
        <v>JS36322 Arizona</v>
      </c>
      <c r="X424" s="4">
        <f t="shared" si="20"/>
        <v>890167.84</v>
      </c>
    </row>
    <row r="425" spans="1:24" x14ac:dyDescent="0.35">
      <c r="A425" t="s">
        <v>464</v>
      </c>
      <c r="B425" t="s">
        <v>33</v>
      </c>
      <c r="C425" t="s">
        <v>21</v>
      </c>
      <c r="D425" t="s">
        <v>35</v>
      </c>
      <c r="E425" s="5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  <c r="S425" t="str">
        <f t="shared" si="18"/>
        <v>Recomendado</v>
      </c>
      <c r="T425" t="str">
        <f>VLOOKUP(A425,AssuranceTable,2,FALSE)</f>
        <v>Basic</v>
      </c>
      <c r="U425" t="str">
        <f t="shared" si="19"/>
        <v>RE81445 Oregon</v>
      </c>
      <c r="X425" s="4">
        <f t="shared" si="20"/>
        <v>573459.81999999995</v>
      </c>
    </row>
    <row r="426" spans="1:24" x14ac:dyDescent="0.35">
      <c r="A426" t="s">
        <v>465</v>
      </c>
      <c r="B426" t="s">
        <v>33</v>
      </c>
      <c r="C426" t="s">
        <v>21</v>
      </c>
      <c r="D426" t="s">
        <v>31</v>
      </c>
      <c r="E426" s="5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  <c r="S426" t="str">
        <f t="shared" si="18"/>
        <v>No recomendado</v>
      </c>
      <c r="T426" t="str">
        <f>VLOOKUP(A426,AssuranceTable,2,FALSE)</f>
        <v>Premium</v>
      </c>
      <c r="U426" t="str">
        <f t="shared" si="19"/>
        <v>RM24280 Oregon</v>
      </c>
      <c r="X426" s="4">
        <f t="shared" si="20"/>
        <v>417769.7</v>
      </c>
    </row>
    <row r="427" spans="1:24" x14ac:dyDescent="0.35">
      <c r="A427" t="s">
        <v>466</v>
      </c>
      <c r="B427" t="s">
        <v>26</v>
      </c>
      <c r="C427" t="s">
        <v>271</v>
      </c>
      <c r="D427" t="s">
        <v>4</v>
      </c>
      <c r="E427" s="5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  <c r="S427" t="str">
        <f t="shared" si="18"/>
        <v>Recomendado</v>
      </c>
      <c r="T427" t="str">
        <f>VLOOKUP(A427,AssuranceTable,2,FALSE)</f>
        <v>Extended</v>
      </c>
      <c r="U427" t="str">
        <f t="shared" si="19"/>
        <v>LC25393 California</v>
      </c>
      <c r="X427" s="4">
        <f t="shared" si="20"/>
        <v>2777628.91</v>
      </c>
    </row>
    <row r="428" spans="1:24" x14ac:dyDescent="0.35">
      <c r="A428" t="s">
        <v>467</v>
      </c>
      <c r="B428" t="s">
        <v>5</v>
      </c>
      <c r="C428" t="s">
        <v>21</v>
      </c>
      <c r="D428" t="s">
        <v>2</v>
      </c>
      <c r="E428" s="5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  <c r="S428" t="str">
        <f t="shared" si="18"/>
        <v>Recomendado</v>
      </c>
      <c r="T428" t="str">
        <f>VLOOKUP(A428,AssuranceTable,2,FALSE)</f>
        <v>Extended</v>
      </c>
      <c r="U428" t="str">
        <f t="shared" si="19"/>
        <v>UX38930 Arizona</v>
      </c>
      <c r="X428" s="4">
        <f t="shared" si="20"/>
        <v>1036434.75</v>
      </c>
    </row>
    <row r="429" spans="1:24" x14ac:dyDescent="0.35">
      <c r="A429" t="s">
        <v>468</v>
      </c>
      <c r="B429" t="s">
        <v>33</v>
      </c>
      <c r="C429" t="s">
        <v>271</v>
      </c>
      <c r="D429" t="s">
        <v>2</v>
      </c>
      <c r="E429" s="5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  <c r="S429" t="str">
        <f t="shared" si="18"/>
        <v>Recomendado</v>
      </c>
      <c r="T429" t="str">
        <f>VLOOKUP(A429,AssuranceTable,2,FALSE)</f>
        <v>Basic</v>
      </c>
      <c r="U429" t="str">
        <f t="shared" si="19"/>
        <v>HD95496 Oregon</v>
      </c>
      <c r="X429" s="4">
        <f t="shared" si="20"/>
        <v>785190.14</v>
      </c>
    </row>
    <row r="430" spans="1:24" x14ac:dyDescent="0.35">
      <c r="A430" t="s">
        <v>469</v>
      </c>
      <c r="B430" t="s">
        <v>33</v>
      </c>
      <c r="C430" t="s">
        <v>271</v>
      </c>
      <c r="D430" t="s">
        <v>31</v>
      </c>
      <c r="E430" s="5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S430" t="str">
        <f t="shared" si="18"/>
        <v>Recomendado</v>
      </c>
      <c r="T430" t="str">
        <f>VLOOKUP(A430,AssuranceTable,2,FALSE)</f>
        <v>Extended</v>
      </c>
      <c r="U430" t="str">
        <f t="shared" si="19"/>
        <v>RX24650 Oregon</v>
      </c>
      <c r="X430" s="4">
        <f t="shared" si="20"/>
        <v>477294.38</v>
      </c>
    </row>
    <row r="431" spans="1:24" x14ac:dyDescent="0.35">
      <c r="A431" t="s">
        <v>470</v>
      </c>
      <c r="B431" t="s">
        <v>33</v>
      </c>
      <c r="C431" t="s">
        <v>271</v>
      </c>
      <c r="D431" t="s">
        <v>31</v>
      </c>
      <c r="E431" s="5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S431" t="str">
        <f t="shared" si="18"/>
        <v>Recomendado</v>
      </c>
      <c r="T431" t="str">
        <f>VLOOKUP(A431,AssuranceTable,2,FALSE)</f>
        <v>Premium</v>
      </c>
      <c r="U431" t="str">
        <f t="shared" si="19"/>
        <v>DW19309 Oregon</v>
      </c>
      <c r="X431" s="4">
        <f t="shared" si="20"/>
        <v>1422650.49</v>
      </c>
    </row>
    <row r="432" spans="1:24" x14ac:dyDescent="0.35">
      <c r="A432" t="s">
        <v>471</v>
      </c>
      <c r="B432" t="s">
        <v>3</v>
      </c>
      <c r="C432" t="s">
        <v>27</v>
      </c>
      <c r="D432" t="s">
        <v>53</v>
      </c>
      <c r="E432" s="5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  <c r="S432" t="str">
        <f t="shared" si="18"/>
        <v>Recomendado</v>
      </c>
      <c r="T432" t="str">
        <f>VLOOKUP(A432,AssuranceTable,2,FALSE)</f>
        <v>Basic</v>
      </c>
      <c r="U432" t="str">
        <f t="shared" si="19"/>
        <v>MT41386 Washington</v>
      </c>
      <c r="X432" s="4">
        <f t="shared" si="20"/>
        <v>287543.24</v>
      </c>
    </row>
    <row r="433" spans="1:24" x14ac:dyDescent="0.35">
      <c r="A433" t="s">
        <v>472</v>
      </c>
      <c r="B433" t="s">
        <v>3</v>
      </c>
      <c r="C433" t="s">
        <v>21</v>
      </c>
      <c r="D433" t="s">
        <v>4</v>
      </c>
      <c r="E433" s="5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  <c r="S433" t="str">
        <f t="shared" si="18"/>
        <v>Recomendado</v>
      </c>
      <c r="T433" t="str">
        <f>VLOOKUP(A433,AssuranceTable,2,FALSE)</f>
        <v>Basic</v>
      </c>
      <c r="U433" t="str">
        <f t="shared" si="19"/>
        <v>WZ40465 Washington</v>
      </c>
      <c r="X433" s="4">
        <f t="shared" si="20"/>
        <v>504129.96</v>
      </c>
    </row>
    <row r="434" spans="1:24" x14ac:dyDescent="0.35">
      <c r="A434" t="s">
        <v>473</v>
      </c>
      <c r="B434" t="s">
        <v>26</v>
      </c>
      <c r="C434" t="s">
        <v>271</v>
      </c>
      <c r="D434" t="s">
        <v>35</v>
      </c>
      <c r="E434" s="5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  <c r="S434" t="str">
        <f t="shared" si="18"/>
        <v>Recomendado</v>
      </c>
      <c r="T434" t="str">
        <f>VLOOKUP(A434,AssuranceTable,2,FALSE)</f>
        <v>Premium</v>
      </c>
      <c r="U434" t="str">
        <f t="shared" si="19"/>
        <v>DB42794 California</v>
      </c>
      <c r="X434" s="4">
        <f t="shared" si="20"/>
        <v>436293.12</v>
      </c>
    </row>
    <row r="435" spans="1:24" x14ac:dyDescent="0.35">
      <c r="A435" t="s">
        <v>474</v>
      </c>
      <c r="B435" t="s">
        <v>33</v>
      </c>
      <c r="C435" t="s">
        <v>21</v>
      </c>
      <c r="D435" t="s">
        <v>2</v>
      </c>
      <c r="E435" s="5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S435" t="str">
        <f t="shared" si="18"/>
        <v>Recomendado</v>
      </c>
      <c r="T435" t="str">
        <f>VLOOKUP(A435,AssuranceTable,2,FALSE)</f>
        <v>Extended</v>
      </c>
      <c r="U435" t="str">
        <f t="shared" si="19"/>
        <v>JB50798 Oregon</v>
      </c>
      <c r="X435" s="4">
        <f t="shared" si="20"/>
        <v>962452.44</v>
      </c>
    </row>
    <row r="436" spans="1:24" x14ac:dyDescent="0.35">
      <c r="A436" t="s">
        <v>475</v>
      </c>
      <c r="B436" t="s">
        <v>3</v>
      </c>
      <c r="C436" t="s">
        <v>21</v>
      </c>
      <c r="D436" t="s">
        <v>35</v>
      </c>
      <c r="E436" s="5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  <c r="S436" t="str">
        <f t="shared" si="18"/>
        <v>Recomendado</v>
      </c>
      <c r="T436" t="str">
        <f>VLOOKUP(A436,AssuranceTable,2,FALSE)</f>
        <v>Premium</v>
      </c>
      <c r="U436" t="str">
        <f t="shared" si="19"/>
        <v>IP69763 Washington</v>
      </c>
      <c r="X436" s="4">
        <f t="shared" si="20"/>
        <v>2191440.5499999998</v>
      </c>
    </row>
    <row r="437" spans="1:24" x14ac:dyDescent="0.35">
      <c r="A437" t="s">
        <v>476</v>
      </c>
      <c r="B437" t="s">
        <v>26</v>
      </c>
      <c r="C437" t="s">
        <v>271</v>
      </c>
      <c r="D437" t="s">
        <v>80</v>
      </c>
      <c r="E437" s="5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  <c r="S437" t="str">
        <f t="shared" si="18"/>
        <v>No recomendado</v>
      </c>
      <c r="T437" t="str">
        <f>VLOOKUP(A437,AssuranceTable,2,FALSE)</f>
        <v>Basic</v>
      </c>
      <c r="U437" t="str">
        <f t="shared" si="19"/>
        <v>TE35785 California</v>
      </c>
      <c r="X437" s="4">
        <f t="shared" si="20"/>
        <v>694842.22</v>
      </c>
    </row>
    <row r="438" spans="1:24" x14ac:dyDescent="0.35">
      <c r="A438" t="s">
        <v>477</v>
      </c>
      <c r="B438" t="s">
        <v>3</v>
      </c>
      <c r="C438" t="s">
        <v>27</v>
      </c>
      <c r="D438" t="s">
        <v>31</v>
      </c>
      <c r="E438" s="5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  <c r="S438" t="str">
        <f t="shared" si="18"/>
        <v>Recomendado</v>
      </c>
      <c r="T438" t="str">
        <f>VLOOKUP(A438,AssuranceTable,2,FALSE)</f>
        <v>Basic</v>
      </c>
      <c r="U438" t="str">
        <f t="shared" si="19"/>
        <v>HX74855 Washington</v>
      </c>
      <c r="X438" s="4">
        <f t="shared" si="20"/>
        <v>247152.84</v>
      </c>
    </row>
    <row r="439" spans="1:24" x14ac:dyDescent="0.35">
      <c r="A439" t="s">
        <v>478</v>
      </c>
      <c r="B439" t="s">
        <v>33</v>
      </c>
      <c r="C439" t="s">
        <v>21</v>
      </c>
      <c r="D439" t="s">
        <v>4</v>
      </c>
      <c r="E439" s="5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  <c r="S439" t="str">
        <f t="shared" si="18"/>
        <v>Recomendado</v>
      </c>
      <c r="T439" t="str">
        <f>VLOOKUP(A439,AssuranceTable,2,FALSE)</f>
        <v>Extended</v>
      </c>
      <c r="U439" t="str">
        <f t="shared" si="19"/>
        <v>QN65180 Oregon</v>
      </c>
      <c r="X439" s="4">
        <f t="shared" si="20"/>
        <v>2190391.36</v>
      </c>
    </row>
    <row r="440" spans="1:24" x14ac:dyDescent="0.35">
      <c r="A440" t="s">
        <v>479</v>
      </c>
      <c r="B440" t="s">
        <v>23</v>
      </c>
      <c r="C440" t="s">
        <v>271</v>
      </c>
      <c r="D440" t="s">
        <v>31</v>
      </c>
      <c r="E440" s="5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  <c r="S440" t="str">
        <f t="shared" si="18"/>
        <v>Recomendado</v>
      </c>
      <c r="T440" t="str">
        <f>VLOOKUP(A440,AssuranceTable,2,FALSE)</f>
        <v>Basic</v>
      </c>
      <c r="U440" t="str">
        <f t="shared" si="19"/>
        <v>GE47180 Nevada</v>
      </c>
      <c r="X440" s="4">
        <f t="shared" si="20"/>
        <v>902882.14</v>
      </c>
    </row>
    <row r="441" spans="1:24" x14ac:dyDescent="0.35">
      <c r="A441" t="s">
        <v>480</v>
      </c>
      <c r="B441" t="s">
        <v>33</v>
      </c>
      <c r="C441" t="s">
        <v>21</v>
      </c>
      <c r="D441" t="s">
        <v>35</v>
      </c>
      <c r="E441" s="5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  <c r="S441" t="str">
        <f t="shared" si="18"/>
        <v>No recomendado</v>
      </c>
      <c r="T441" t="str">
        <f>VLOOKUP(A441,AssuranceTable,2,FALSE)</f>
        <v>Extended</v>
      </c>
      <c r="U441" t="str">
        <f t="shared" si="19"/>
        <v>VQ38776 Oregon</v>
      </c>
      <c r="X441" s="4">
        <f t="shared" si="20"/>
        <v>530375.94999999995</v>
      </c>
    </row>
    <row r="442" spans="1:24" x14ac:dyDescent="0.35">
      <c r="A442" t="s">
        <v>481</v>
      </c>
      <c r="B442" t="s">
        <v>3</v>
      </c>
      <c r="C442" t="s">
        <v>27</v>
      </c>
      <c r="D442" t="s">
        <v>31</v>
      </c>
      <c r="E442" s="5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  <c r="S442" t="str">
        <f t="shared" si="18"/>
        <v>Recomendado</v>
      </c>
      <c r="T442" t="str">
        <f>VLOOKUP(A442,AssuranceTable,2,FALSE)</f>
        <v>Basic</v>
      </c>
      <c r="U442" t="str">
        <f t="shared" si="19"/>
        <v>BH86846 Washington</v>
      </c>
      <c r="X442" s="4">
        <f t="shared" si="20"/>
        <v>2070825.88</v>
      </c>
    </row>
    <row r="443" spans="1:24" x14ac:dyDescent="0.35">
      <c r="A443" t="s">
        <v>482</v>
      </c>
      <c r="B443" t="s">
        <v>23</v>
      </c>
      <c r="C443" t="s">
        <v>271</v>
      </c>
      <c r="D443" t="s">
        <v>31</v>
      </c>
      <c r="E443" s="5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  <c r="S443" t="str">
        <f t="shared" si="18"/>
        <v>No recomendado</v>
      </c>
      <c r="T443" t="str">
        <f>VLOOKUP(A443,AssuranceTable,2,FALSE)</f>
        <v>Basic</v>
      </c>
      <c r="U443" t="str">
        <f t="shared" si="19"/>
        <v>IN17648 Nevada</v>
      </c>
      <c r="X443" s="4">
        <f t="shared" si="20"/>
        <v>512376.81</v>
      </c>
    </row>
    <row r="444" spans="1:24" x14ac:dyDescent="0.35">
      <c r="A444" t="s">
        <v>483</v>
      </c>
      <c r="B444" t="s">
        <v>33</v>
      </c>
      <c r="C444" t="s">
        <v>271</v>
      </c>
      <c r="D444" t="s">
        <v>35</v>
      </c>
      <c r="E444" s="5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  <c r="S444" t="str">
        <f t="shared" si="18"/>
        <v>No recomendado</v>
      </c>
      <c r="T444" t="str">
        <f>VLOOKUP(A444,AssuranceTable,2,FALSE)</f>
        <v>Extended</v>
      </c>
      <c r="U444" t="str">
        <f t="shared" si="19"/>
        <v>DF95759 Oregon</v>
      </c>
      <c r="X444" s="4">
        <f t="shared" si="20"/>
        <v>949234.3</v>
      </c>
    </row>
    <row r="445" spans="1:24" x14ac:dyDescent="0.35">
      <c r="A445" t="s">
        <v>484</v>
      </c>
      <c r="B445" t="s">
        <v>33</v>
      </c>
      <c r="C445" t="s">
        <v>21</v>
      </c>
      <c r="D445" t="s">
        <v>31</v>
      </c>
      <c r="E445" s="5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  <c r="S445" t="str">
        <f t="shared" si="18"/>
        <v>No recomendado</v>
      </c>
      <c r="T445" t="str">
        <f>VLOOKUP(A445,AssuranceTable,2,FALSE)</f>
        <v>Basic</v>
      </c>
      <c r="U445" t="str">
        <f t="shared" si="19"/>
        <v>QG45324 Oregon</v>
      </c>
      <c r="X445" s="4">
        <f t="shared" si="20"/>
        <v>820486.32</v>
      </c>
    </row>
    <row r="446" spans="1:24" x14ac:dyDescent="0.35">
      <c r="A446" t="s">
        <v>485</v>
      </c>
      <c r="B446" t="s">
        <v>5</v>
      </c>
      <c r="C446" t="s">
        <v>21</v>
      </c>
      <c r="D446" t="s">
        <v>35</v>
      </c>
      <c r="E446" s="5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  <c r="S446" t="str">
        <f t="shared" si="18"/>
        <v>Recomendado</v>
      </c>
      <c r="T446" t="str">
        <f>VLOOKUP(A446,AssuranceTable,2,FALSE)</f>
        <v>Extended</v>
      </c>
      <c r="U446" t="str">
        <f t="shared" si="19"/>
        <v>MN61620 Arizona</v>
      </c>
      <c r="X446" s="4">
        <f t="shared" si="20"/>
        <v>987729.57</v>
      </c>
    </row>
    <row r="447" spans="1:24" x14ac:dyDescent="0.35">
      <c r="A447" t="s">
        <v>486</v>
      </c>
      <c r="B447" t="s">
        <v>26</v>
      </c>
      <c r="C447" t="s">
        <v>21</v>
      </c>
      <c r="D447" t="s">
        <v>4</v>
      </c>
      <c r="E447" s="5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  <c r="S447" t="str">
        <f t="shared" si="18"/>
        <v>Recomendado</v>
      </c>
      <c r="T447" t="str">
        <f>VLOOKUP(A447,AssuranceTable,2,FALSE)</f>
        <v>Basic</v>
      </c>
      <c r="U447" t="str">
        <f t="shared" si="19"/>
        <v>YH86390 California</v>
      </c>
      <c r="X447" s="4">
        <f t="shared" si="20"/>
        <v>481500.97</v>
      </c>
    </row>
    <row r="448" spans="1:24" x14ac:dyDescent="0.35">
      <c r="A448" t="s">
        <v>487</v>
      </c>
      <c r="B448" t="s">
        <v>26</v>
      </c>
      <c r="C448" t="s">
        <v>271</v>
      </c>
      <c r="D448" t="s">
        <v>31</v>
      </c>
      <c r="E448" s="5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  <c r="S448" t="str">
        <f t="shared" si="18"/>
        <v>No recomendado</v>
      </c>
      <c r="T448" t="str">
        <f>VLOOKUP(A448,AssuranceTable,2,FALSE)</f>
        <v>Extended</v>
      </c>
      <c r="U448" t="str">
        <f t="shared" si="19"/>
        <v>FY13480 California</v>
      </c>
      <c r="X448" s="4">
        <f t="shared" si="20"/>
        <v>627701.17000000004</v>
      </c>
    </row>
    <row r="449" spans="1:24" x14ac:dyDescent="0.35">
      <c r="A449" t="s">
        <v>488</v>
      </c>
      <c r="B449" t="s">
        <v>26</v>
      </c>
      <c r="C449" t="s">
        <v>27</v>
      </c>
      <c r="D449" t="s">
        <v>31</v>
      </c>
      <c r="E449" s="5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S449" t="str">
        <f t="shared" si="18"/>
        <v>Recomendado</v>
      </c>
      <c r="T449" t="str">
        <f>VLOOKUP(A449,AssuranceTable,2,FALSE)</f>
        <v>Basic</v>
      </c>
      <c r="U449" t="str">
        <f t="shared" si="19"/>
        <v>YH61661 California</v>
      </c>
      <c r="X449" s="4">
        <f t="shared" si="20"/>
        <v>826063.98</v>
      </c>
    </row>
    <row r="450" spans="1:24" x14ac:dyDescent="0.35">
      <c r="A450" t="s">
        <v>489</v>
      </c>
      <c r="B450" t="s">
        <v>23</v>
      </c>
      <c r="C450" t="s">
        <v>27</v>
      </c>
      <c r="D450" t="s">
        <v>4</v>
      </c>
      <c r="E450" s="5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  <c r="S450" t="str">
        <f t="shared" si="18"/>
        <v>No recomendado</v>
      </c>
      <c r="T450" t="str">
        <f>VLOOKUP(A450,AssuranceTable,2,FALSE)</f>
        <v>Extended</v>
      </c>
      <c r="U450" t="str">
        <f t="shared" si="19"/>
        <v>NL93182 Nevada</v>
      </c>
      <c r="X450" s="4">
        <f t="shared" si="20"/>
        <v>254945</v>
      </c>
    </row>
    <row r="451" spans="1:24" x14ac:dyDescent="0.35">
      <c r="A451" t="s">
        <v>490</v>
      </c>
      <c r="B451" t="s">
        <v>3</v>
      </c>
      <c r="C451" t="s">
        <v>17</v>
      </c>
      <c r="D451" t="s">
        <v>35</v>
      </c>
      <c r="E451" s="5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  <c r="S451" t="str">
        <f t="shared" ref="S451:S514" si="21">IF(F451&gt;3000,"Recomendado","No recomendado")</f>
        <v>Recomendado</v>
      </c>
      <c r="T451" t="str">
        <f>VLOOKUP(A451,AssuranceTable,2,FALSE)</f>
        <v>Extended</v>
      </c>
      <c r="U451" t="str">
        <f t="shared" ref="U451:U514" si="22">_xlfn.CONCAT(A451, " ",B451)</f>
        <v>LN31673 Washington</v>
      </c>
      <c r="X451" s="4">
        <f t="shared" ref="X451:X514" si="23">ROUND(E451,3)</f>
        <v>1131808.98</v>
      </c>
    </row>
    <row r="452" spans="1:24" x14ac:dyDescent="0.35">
      <c r="A452" t="s">
        <v>491</v>
      </c>
      <c r="B452" t="s">
        <v>33</v>
      </c>
      <c r="C452" t="s">
        <v>21</v>
      </c>
      <c r="D452" t="s">
        <v>4</v>
      </c>
      <c r="E452" s="5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  <c r="S452" t="str">
        <f t="shared" si="21"/>
        <v>Recomendado</v>
      </c>
      <c r="T452" t="str">
        <f>VLOOKUP(A452,AssuranceTable,2,FALSE)</f>
        <v>Basic</v>
      </c>
      <c r="U452" t="str">
        <f t="shared" si="22"/>
        <v>WE68644 Oregon</v>
      </c>
      <c r="X452" s="4">
        <f t="shared" si="23"/>
        <v>380392.18</v>
      </c>
    </row>
    <row r="453" spans="1:24" x14ac:dyDescent="0.35">
      <c r="A453" t="s">
        <v>492</v>
      </c>
      <c r="B453" t="s">
        <v>33</v>
      </c>
      <c r="C453" t="s">
        <v>27</v>
      </c>
      <c r="D453" t="s">
        <v>4</v>
      </c>
      <c r="E453" s="5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  <c r="S453" t="str">
        <f t="shared" si="21"/>
        <v>Recomendado</v>
      </c>
      <c r="T453" t="str">
        <f>VLOOKUP(A453,AssuranceTable,2,FALSE)</f>
        <v>Basic</v>
      </c>
      <c r="U453" t="str">
        <f t="shared" si="22"/>
        <v>EZ30498 Oregon</v>
      </c>
      <c r="X453" s="4">
        <f t="shared" si="23"/>
        <v>863540.35</v>
      </c>
    </row>
    <row r="454" spans="1:24" x14ac:dyDescent="0.35">
      <c r="A454" t="s">
        <v>493</v>
      </c>
      <c r="B454" t="s">
        <v>33</v>
      </c>
      <c r="C454" t="s">
        <v>21</v>
      </c>
      <c r="D454" t="s">
        <v>31</v>
      </c>
      <c r="E454" s="5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  <c r="S454" t="str">
        <f t="shared" si="21"/>
        <v>No recomendado</v>
      </c>
      <c r="T454" t="str">
        <f>VLOOKUP(A454,AssuranceTable,2,FALSE)</f>
        <v>Basic</v>
      </c>
      <c r="U454" t="str">
        <f t="shared" si="22"/>
        <v>QY74517 Oregon</v>
      </c>
      <c r="X454" s="4">
        <f t="shared" si="23"/>
        <v>551055.9</v>
      </c>
    </row>
    <row r="455" spans="1:24" x14ac:dyDescent="0.35">
      <c r="A455" t="s">
        <v>494</v>
      </c>
      <c r="B455" t="s">
        <v>23</v>
      </c>
      <c r="C455" t="s">
        <v>27</v>
      </c>
      <c r="D455" t="s">
        <v>2</v>
      </c>
      <c r="E455" s="5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  <c r="S455" t="str">
        <f t="shared" si="21"/>
        <v>Recomendado</v>
      </c>
      <c r="T455" t="str">
        <f>VLOOKUP(A455,AssuranceTable,2,FALSE)</f>
        <v>Extended</v>
      </c>
      <c r="U455" t="str">
        <f t="shared" si="22"/>
        <v>NM88660 Nevada</v>
      </c>
      <c r="X455" s="4">
        <f t="shared" si="23"/>
        <v>358588.41</v>
      </c>
    </row>
    <row r="456" spans="1:24" x14ac:dyDescent="0.35">
      <c r="A456" t="s">
        <v>495</v>
      </c>
      <c r="B456" t="s">
        <v>23</v>
      </c>
      <c r="C456" t="s">
        <v>27</v>
      </c>
      <c r="D456" t="s">
        <v>35</v>
      </c>
      <c r="E456" s="5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  <c r="S456" t="str">
        <f t="shared" si="21"/>
        <v>Recomendado</v>
      </c>
      <c r="T456" t="str">
        <f>VLOOKUP(A456,AssuranceTable,2,FALSE)</f>
        <v>Basic</v>
      </c>
      <c r="U456" t="str">
        <f t="shared" si="22"/>
        <v>MZ82036 Nevada</v>
      </c>
      <c r="X456" s="4">
        <f t="shared" si="23"/>
        <v>488925.28</v>
      </c>
    </row>
    <row r="457" spans="1:24" x14ac:dyDescent="0.35">
      <c r="A457" t="s">
        <v>496</v>
      </c>
      <c r="B457" t="s">
        <v>33</v>
      </c>
      <c r="C457" t="s">
        <v>27</v>
      </c>
      <c r="D457" t="s">
        <v>4</v>
      </c>
      <c r="E457" s="5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  <c r="S457" t="str">
        <f t="shared" si="21"/>
        <v>Recomendado</v>
      </c>
      <c r="T457" t="str">
        <f>VLOOKUP(A457,AssuranceTable,2,FALSE)</f>
        <v>Basic</v>
      </c>
      <c r="U457" t="str">
        <f t="shared" si="22"/>
        <v>ID20929 Oregon</v>
      </c>
      <c r="X457" s="4">
        <f t="shared" si="23"/>
        <v>275694.17</v>
      </c>
    </row>
    <row r="458" spans="1:24" x14ac:dyDescent="0.35">
      <c r="A458" t="s">
        <v>497</v>
      </c>
      <c r="B458" t="s">
        <v>23</v>
      </c>
      <c r="C458" t="s">
        <v>27</v>
      </c>
      <c r="D458" t="s">
        <v>80</v>
      </c>
      <c r="E458" s="5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S458" t="str">
        <f t="shared" si="21"/>
        <v>No recomendado</v>
      </c>
      <c r="T458" t="str">
        <f>VLOOKUP(A458,AssuranceTable,2,FALSE)</f>
        <v>Extended</v>
      </c>
      <c r="U458" t="str">
        <f t="shared" si="22"/>
        <v>EY50028 Nevada</v>
      </c>
      <c r="X458" s="4">
        <f t="shared" si="23"/>
        <v>328954.74</v>
      </c>
    </row>
    <row r="459" spans="1:24" x14ac:dyDescent="0.35">
      <c r="A459" t="s">
        <v>498</v>
      </c>
      <c r="B459" t="s">
        <v>26</v>
      </c>
      <c r="C459" t="s">
        <v>21</v>
      </c>
      <c r="D459" t="s">
        <v>4</v>
      </c>
      <c r="E459" s="5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  <c r="S459" t="str">
        <f t="shared" si="21"/>
        <v>Recomendado</v>
      </c>
      <c r="T459" t="str">
        <f>VLOOKUP(A459,AssuranceTable,2,FALSE)</f>
        <v>Extended</v>
      </c>
      <c r="U459" t="str">
        <f t="shared" si="22"/>
        <v>TT82373 California</v>
      </c>
      <c r="X459" s="4">
        <f t="shared" si="23"/>
        <v>1093717.8500000001</v>
      </c>
    </row>
    <row r="460" spans="1:24" x14ac:dyDescent="0.35">
      <c r="A460" t="s">
        <v>499</v>
      </c>
      <c r="B460" t="s">
        <v>26</v>
      </c>
      <c r="C460" t="s">
        <v>27</v>
      </c>
      <c r="D460" t="s">
        <v>31</v>
      </c>
      <c r="E460" s="5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  <c r="S460" t="str">
        <f t="shared" si="21"/>
        <v>Recomendado</v>
      </c>
      <c r="T460" t="str">
        <f>VLOOKUP(A460,AssuranceTable,2,FALSE)</f>
        <v>Basic</v>
      </c>
      <c r="U460" t="str">
        <f t="shared" si="22"/>
        <v>OH64088 California</v>
      </c>
      <c r="X460" s="4">
        <f t="shared" si="23"/>
        <v>737556.79</v>
      </c>
    </row>
    <row r="461" spans="1:24" x14ac:dyDescent="0.35">
      <c r="A461" t="s">
        <v>500</v>
      </c>
      <c r="B461" t="s">
        <v>26</v>
      </c>
      <c r="C461" t="s">
        <v>21</v>
      </c>
      <c r="D461" t="s">
        <v>4</v>
      </c>
      <c r="E461" s="5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S461" t="str">
        <f t="shared" si="21"/>
        <v>Recomendado</v>
      </c>
      <c r="T461" t="str">
        <f>VLOOKUP(A461,AssuranceTable,2,FALSE)</f>
        <v>Extended</v>
      </c>
      <c r="U461" t="str">
        <f t="shared" si="22"/>
        <v>SK97780 California</v>
      </c>
      <c r="X461" s="4">
        <f t="shared" si="23"/>
        <v>1011077.82</v>
      </c>
    </row>
    <row r="462" spans="1:24" x14ac:dyDescent="0.35">
      <c r="A462" t="s">
        <v>501</v>
      </c>
      <c r="B462" t="s">
        <v>33</v>
      </c>
      <c r="C462" t="s">
        <v>21</v>
      </c>
      <c r="D462" t="s">
        <v>31</v>
      </c>
      <c r="E462" s="5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  <c r="S462" t="str">
        <f t="shared" si="21"/>
        <v>Recomendado</v>
      </c>
      <c r="T462" t="str">
        <f>VLOOKUP(A462,AssuranceTable,2,FALSE)</f>
        <v>Basic</v>
      </c>
      <c r="U462" t="str">
        <f t="shared" si="22"/>
        <v>IO33050 Oregon</v>
      </c>
      <c r="X462" s="4">
        <f t="shared" si="23"/>
        <v>511941.43</v>
      </c>
    </row>
    <row r="463" spans="1:24" x14ac:dyDescent="0.35">
      <c r="A463" t="s">
        <v>502</v>
      </c>
      <c r="B463" t="s">
        <v>26</v>
      </c>
      <c r="C463" t="s">
        <v>21</v>
      </c>
      <c r="D463" t="s">
        <v>35</v>
      </c>
      <c r="E463" s="5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  <c r="S463" t="str">
        <f t="shared" si="21"/>
        <v>Recomendado</v>
      </c>
      <c r="T463" t="str">
        <f>VLOOKUP(A463,AssuranceTable,2,FALSE)</f>
        <v>Basic</v>
      </c>
      <c r="U463" t="str">
        <f t="shared" si="22"/>
        <v>XA55917 California</v>
      </c>
      <c r="X463" s="4">
        <f t="shared" si="23"/>
        <v>853383.2</v>
      </c>
    </row>
    <row r="464" spans="1:24" x14ac:dyDescent="0.35">
      <c r="A464" t="s">
        <v>503</v>
      </c>
      <c r="B464" t="s">
        <v>23</v>
      </c>
      <c r="C464" t="s">
        <v>27</v>
      </c>
      <c r="D464" t="s">
        <v>35</v>
      </c>
      <c r="E464" s="5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  <c r="S464" t="str">
        <f t="shared" si="21"/>
        <v>No recomendado</v>
      </c>
      <c r="T464" t="str">
        <f>VLOOKUP(A464,AssuranceTable,2,FALSE)</f>
        <v>Basic</v>
      </c>
      <c r="U464" t="str">
        <f t="shared" si="22"/>
        <v>JK32620 Nevada</v>
      </c>
      <c r="X464" s="4">
        <f t="shared" si="23"/>
        <v>222476.79999999999</v>
      </c>
    </row>
    <row r="465" spans="1:24" x14ac:dyDescent="0.35">
      <c r="A465" t="s">
        <v>504</v>
      </c>
      <c r="B465" t="s">
        <v>5</v>
      </c>
      <c r="C465" t="s">
        <v>27</v>
      </c>
      <c r="D465" t="s">
        <v>80</v>
      </c>
      <c r="E465" s="5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  <c r="S465" t="str">
        <f t="shared" si="21"/>
        <v>Recomendado</v>
      </c>
      <c r="T465" t="str">
        <f>VLOOKUP(A465,AssuranceTable,2,FALSE)</f>
        <v>Basic</v>
      </c>
      <c r="U465" t="str">
        <f t="shared" si="22"/>
        <v>RQ19236 Arizona</v>
      </c>
      <c r="X465" s="4">
        <f t="shared" si="23"/>
        <v>804280.38</v>
      </c>
    </row>
    <row r="466" spans="1:24" x14ac:dyDescent="0.35">
      <c r="A466" t="s">
        <v>505</v>
      </c>
      <c r="B466" t="s">
        <v>33</v>
      </c>
      <c r="C466" t="s">
        <v>27</v>
      </c>
      <c r="D466" t="s">
        <v>35</v>
      </c>
      <c r="E466" s="5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  <c r="S466" t="str">
        <f t="shared" si="21"/>
        <v>Recomendado</v>
      </c>
      <c r="T466" t="str">
        <f>VLOOKUP(A466,AssuranceTable,2,FALSE)</f>
        <v>Basic</v>
      </c>
      <c r="U466" t="str">
        <f t="shared" si="22"/>
        <v>QC47433 Oregon</v>
      </c>
      <c r="X466" s="4">
        <f t="shared" si="23"/>
        <v>255443.71</v>
      </c>
    </row>
    <row r="467" spans="1:24" x14ac:dyDescent="0.35">
      <c r="A467" t="s">
        <v>506</v>
      </c>
      <c r="B467" t="s">
        <v>33</v>
      </c>
      <c r="C467" t="s">
        <v>27</v>
      </c>
      <c r="D467" t="s">
        <v>4</v>
      </c>
      <c r="E467" s="5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  <c r="S467" t="str">
        <f t="shared" si="21"/>
        <v>Recomendado</v>
      </c>
      <c r="T467" t="str">
        <f>VLOOKUP(A467,AssuranceTable,2,FALSE)</f>
        <v>Extended</v>
      </c>
      <c r="U467" t="str">
        <f t="shared" si="22"/>
        <v>RA93608 Oregon</v>
      </c>
      <c r="X467" s="4">
        <f t="shared" si="23"/>
        <v>1807394</v>
      </c>
    </row>
    <row r="468" spans="1:24" x14ac:dyDescent="0.35">
      <c r="A468" t="s">
        <v>507</v>
      </c>
      <c r="B468" t="s">
        <v>26</v>
      </c>
      <c r="C468" t="s">
        <v>27</v>
      </c>
      <c r="D468" t="s">
        <v>4</v>
      </c>
      <c r="E468" s="5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  <c r="S468" t="str">
        <f t="shared" si="21"/>
        <v>Recomendado</v>
      </c>
      <c r="T468" t="str">
        <f>VLOOKUP(A468,AssuranceTable,2,FALSE)</f>
        <v>Basic</v>
      </c>
      <c r="U468" t="str">
        <f t="shared" si="22"/>
        <v>XH97711 California</v>
      </c>
      <c r="X468" s="4">
        <f t="shared" si="23"/>
        <v>243050.66</v>
      </c>
    </row>
    <row r="469" spans="1:24" x14ac:dyDescent="0.35">
      <c r="A469" t="s">
        <v>508</v>
      </c>
      <c r="B469" t="s">
        <v>33</v>
      </c>
      <c r="C469" t="s">
        <v>21</v>
      </c>
      <c r="D469" t="s">
        <v>4</v>
      </c>
      <c r="E469" s="5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  <c r="S469" t="str">
        <f t="shared" si="21"/>
        <v>No recomendado</v>
      </c>
      <c r="T469" t="str">
        <f>VLOOKUP(A469,AssuranceTable,2,FALSE)</f>
        <v>Extended</v>
      </c>
      <c r="U469" t="str">
        <f t="shared" si="22"/>
        <v>AU96286 Oregon</v>
      </c>
      <c r="X469" s="4">
        <f t="shared" si="23"/>
        <v>316765.84000000003</v>
      </c>
    </row>
    <row r="470" spans="1:24" x14ac:dyDescent="0.35">
      <c r="A470" t="s">
        <v>509</v>
      </c>
      <c r="B470" t="s">
        <v>5</v>
      </c>
      <c r="C470" t="s">
        <v>21</v>
      </c>
      <c r="D470" t="s">
        <v>4</v>
      </c>
      <c r="E470" s="5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  <c r="S470" t="str">
        <f t="shared" si="21"/>
        <v>Recomendado</v>
      </c>
      <c r="T470" t="str">
        <f>VLOOKUP(A470,AssuranceTable,2,FALSE)</f>
        <v>Basic</v>
      </c>
      <c r="U470" t="str">
        <f t="shared" si="22"/>
        <v>KC17170 Arizona</v>
      </c>
      <c r="X470" s="4">
        <f t="shared" si="23"/>
        <v>546560.4</v>
      </c>
    </row>
    <row r="471" spans="1:24" x14ac:dyDescent="0.35">
      <c r="A471" t="s">
        <v>510</v>
      </c>
      <c r="B471" t="s">
        <v>26</v>
      </c>
      <c r="C471" t="s">
        <v>27</v>
      </c>
      <c r="D471" t="s">
        <v>35</v>
      </c>
      <c r="E471" s="5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S471" t="str">
        <f t="shared" si="21"/>
        <v>Recomendado</v>
      </c>
      <c r="T471" t="str">
        <f>VLOOKUP(A471,AssuranceTable,2,FALSE)</f>
        <v>Extended</v>
      </c>
      <c r="U471" t="str">
        <f t="shared" si="22"/>
        <v>ZN47335 California</v>
      </c>
      <c r="X471" s="4">
        <f t="shared" si="23"/>
        <v>1035751.42</v>
      </c>
    </row>
    <row r="472" spans="1:24" x14ac:dyDescent="0.35">
      <c r="A472" t="s">
        <v>511</v>
      </c>
      <c r="B472" t="s">
        <v>26</v>
      </c>
      <c r="C472" t="s">
        <v>27</v>
      </c>
      <c r="D472" t="s">
        <v>31</v>
      </c>
      <c r="E472" s="5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  <c r="S472" t="str">
        <f t="shared" si="21"/>
        <v>Recomendado</v>
      </c>
      <c r="T472" t="str">
        <f>VLOOKUP(A472,AssuranceTable,2,FALSE)</f>
        <v>Basic</v>
      </c>
      <c r="U472" t="str">
        <f t="shared" si="22"/>
        <v>EI46264 California</v>
      </c>
      <c r="X472" s="4">
        <f t="shared" si="23"/>
        <v>253781.39</v>
      </c>
    </row>
    <row r="473" spans="1:24" x14ac:dyDescent="0.35">
      <c r="A473" t="s">
        <v>512</v>
      </c>
      <c r="B473" t="s">
        <v>5</v>
      </c>
      <c r="C473" t="s">
        <v>21</v>
      </c>
      <c r="D473" t="s">
        <v>35</v>
      </c>
      <c r="E473" s="5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  <c r="S473" t="str">
        <f t="shared" si="21"/>
        <v>Recomendado</v>
      </c>
      <c r="T473" t="str">
        <f>VLOOKUP(A473,AssuranceTable,2,FALSE)</f>
        <v>Basic</v>
      </c>
      <c r="U473" t="str">
        <f t="shared" si="22"/>
        <v>EK87864 Arizona</v>
      </c>
      <c r="X473" s="4">
        <f t="shared" si="23"/>
        <v>282194.71999999997</v>
      </c>
    </row>
    <row r="474" spans="1:24" x14ac:dyDescent="0.35">
      <c r="A474" t="s">
        <v>513</v>
      </c>
      <c r="B474" t="s">
        <v>61</v>
      </c>
      <c r="C474" t="s">
        <v>27</v>
      </c>
      <c r="D474" t="s">
        <v>4</v>
      </c>
      <c r="E474" s="5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S474" t="str">
        <f t="shared" si="21"/>
        <v>No recomendado</v>
      </c>
      <c r="T474" t="str">
        <f>VLOOKUP(A474,AssuranceTable,2,FALSE)</f>
        <v>Premium</v>
      </c>
      <c r="U474" t="str">
        <f t="shared" si="22"/>
        <v>GV45403 AZ</v>
      </c>
      <c r="X474" s="4">
        <f t="shared" si="23"/>
        <v>775712.81</v>
      </c>
    </row>
    <row r="475" spans="1:24" x14ac:dyDescent="0.35">
      <c r="A475" t="s">
        <v>514</v>
      </c>
      <c r="B475" t="s">
        <v>61</v>
      </c>
      <c r="C475" t="s">
        <v>27</v>
      </c>
      <c r="D475" t="s">
        <v>31</v>
      </c>
      <c r="E475" s="5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S475" t="str">
        <f t="shared" si="21"/>
        <v>No recomendado</v>
      </c>
      <c r="T475" t="str">
        <f>VLOOKUP(A475,AssuranceTable,2,FALSE)</f>
        <v>Premium</v>
      </c>
      <c r="U475" t="str">
        <f t="shared" si="22"/>
        <v>QK31192 AZ</v>
      </c>
      <c r="X475" s="4">
        <f t="shared" si="23"/>
        <v>407913.27</v>
      </c>
    </row>
    <row r="476" spans="1:24" x14ac:dyDescent="0.35">
      <c r="A476" t="s">
        <v>515</v>
      </c>
      <c r="B476" t="s">
        <v>61</v>
      </c>
      <c r="C476" t="s">
        <v>21</v>
      </c>
      <c r="D476" t="s">
        <v>35</v>
      </c>
      <c r="E476" s="5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  <c r="S476" t="str">
        <f t="shared" si="21"/>
        <v>No recomendado</v>
      </c>
      <c r="T476" t="str">
        <f>VLOOKUP(A476,AssuranceTable,2,FALSE)</f>
        <v>Extended</v>
      </c>
      <c r="U476" t="str">
        <f t="shared" si="22"/>
        <v>LU89008 AZ</v>
      </c>
      <c r="X476" s="4">
        <f t="shared" si="23"/>
        <v>595554.46</v>
      </c>
    </row>
    <row r="477" spans="1:24" x14ac:dyDescent="0.35">
      <c r="A477" t="s">
        <v>516</v>
      </c>
      <c r="B477" t="s">
        <v>33</v>
      </c>
      <c r="C477" t="s">
        <v>21</v>
      </c>
      <c r="D477" t="s">
        <v>4</v>
      </c>
      <c r="E477" s="5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  <c r="S477" t="str">
        <f t="shared" si="21"/>
        <v>Recomendado</v>
      </c>
      <c r="T477" t="str">
        <f>VLOOKUP(A477,AssuranceTable,2,FALSE)</f>
        <v>Basic</v>
      </c>
      <c r="U477" t="str">
        <f t="shared" si="22"/>
        <v>NS10490 Oregon</v>
      </c>
      <c r="X477" s="4">
        <f t="shared" si="23"/>
        <v>1415861.36</v>
      </c>
    </row>
    <row r="478" spans="1:24" x14ac:dyDescent="0.35">
      <c r="A478" t="s">
        <v>517</v>
      </c>
      <c r="B478" t="s">
        <v>23</v>
      </c>
      <c r="C478" t="s">
        <v>27</v>
      </c>
      <c r="D478" t="s">
        <v>35</v>
      </c>
      <c r="E478" s="5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  <c r="S478" t="str">
        <f t="shared" si="21"/>
        <v>No recomendado</v>
      </c>
      <c r="T478" t="str">
        <f>VLOOKUP(A478,AssuranceTable,2,FALSE)</f>
        <v>Basic</v>
      </c>
      <c r="U478" t="str">
        <f t="shared" si="22"/>
        <v>KL98495 Nevada</v>
      </c>
      <c r="X478" s="4">
        <f t="shared" si="23"/>
        <v>848723.8</v>
      </c>
    </row>
    <row r="479" spans="1:24" x14ac:dyDescent="0.35">
      <c r="A479" t="s">
        <v>518</v>
      </c>
      <c r="B479" t="s">
        <v>61</v>
      </c>
      <c r="C479" t="s">
        <v>27</v>
      </c>
      <c r="D479" t="s">
        <v>35</v>
      </c>
      <c r="E479" s="5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  <c r="S479" t="str">
        <f t="shared" si="21"/>
        <v>Recomendado</v>
      </c>
      <c r="T479" t="str">
        <f>VLOOKUP(A479,AssuranceTable,2,FALSE)</f>
        <v>Extended</v>
      </c>
      <c r="U479" t="str">
        <f t="shared" si="22"/>
        <v>IU96845 AZ</v>
      </c>
      <c r="X479" s="4">
        <f t="shared" si="23"/>
        <v>628547.68999999994</v>
      </c>
    </row>
    <row r="480" spans="1:24" x14ac:dyDescent="0.35">
      <c r="A480" t="s">
        <v>519</v>
      </c>
      <c r="B480" t="s">
        <v>33</v>
      </c>
      <c r="C480" t="s">
        <v>21</v>
      </c>
      <c r="D480" t="s">
        <v>31</v>
      </c>
      <c r="E480" s="5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  <c r="S480" t="str">
        <f t="shared" si="21"/>
        <v>Recomendado</v>
      </c>
      <c r="T480" t="str">
        <f>VLOOKUP(A480,AssuranceTable,2,FALSE)</f>
        <v>Extended</v>
      </c>
      <c r="U480" t="str">
        <f t="shared" si="22"/>
        <v>QL93655 Oregon</v>
      </c>
      <c r="X480" s="4">
        <f t="shared" si="23"/>
        <v>1147348.1499999999</v>
      </c>
    </row>
    <row r="481" spans="1:24" x14ac:dyDescent="0.35">
      <c r="A481" t="s">
        <v>520</v>
      </c>
      <c r="B481" t="s">
        <v>3</v>
      </c>
      <c r="C481" t="s">
        <v>21</v>
      </c>
      <c r="D481" t="s">
        <v>35</v>
      </c>
      <c r="E481" s="5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  <c r="S481" t="str">
        <f t="shared" si="21"/>
        <v>Recomendado</v>
      </c>
      <c r="T481" t="str">
        <f>VLOOKUP(A481,AssuranceTable,2,FALSE)</f>
        <v>Basic</v>
      </c>
      <c r="U481" t="str">
        <f t="shared" si="22"/>
        <v>PF40592 Washington</v>
      </c>
      <c r="X481" s="4">
        <f t="shared" si="23"/>
        <v>494263.06</v>
      </c>
    </row>
    <row r="482" spans="1:24" x14ac:dyDescent="0.35">
      <c r="A482" t="s">
        <v>521</v>
      </c>
      <c r="B482" t="s">
        <v>33</v>
      </c>
      <c r="C482" t="s">
        <v>27</v>
      </c>
      <c r="D482" t="s">
        <v>4</v>
      </c>
      <c r="E482" s="5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  <c r="S482" t="str">
        <f t="shared" si="21"/>
        <v>Recomendado</v>
      </c>
      <c r="T482" t="str">
        <f>VLOOKUP(A482,AssuranceTable,2,FALSE)</f>
        <v>Basic</v>
      </c>
      <c r="U482" t="str">
        <f t="shared" si="22"/>
        <v>LZ34046 Oregon</v>
      </c>
      <c r="X482" s="4">
        <f t="shared" si="23"/>
        <v>2359468.02</v>
      </c>
    </row>
    <row r="483" spans="1:24" x14ac:dyDescent="0.35">
      <c r="A483" t="s">
        <v>522</v>
      </c>
      <c r="B483" t="s">
        <v>3</v>
      </c>
      <c r="C483" t="s">
        <v>27</v>
      </c>
      <c r="D483" t="s">
        <v>2</v>
      </c>
      <c r="E483" s="5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  <c r="S483" t="str">
        <f t="shared" si="21"/>
        <v>Recomendado</v>
      </c>
      <c r="T483" t="str">
        <f>VLOOKUP(A483,AssuranceTable,2,FALSE)</f>
        <v>Basic</v>
      </c>
      <c r="U483" t="str">
        <f t="shared" si="22"/>
        <v>JC80093 Washington</v>
      </c>
      <c r="X483" s="4">
        <f t="shared" si="23"/>
        <v>257250.66</v>
      </c>
    </row>
    <row r="484" spans="1:24" x14ac:dyDescent="0.35">
      <c r="A484" t="s">
        <v>523</v>
      </c>
      <c r="B484" t="s">
        <v>61</v>
      </c>
      <c r="C484" t="s">
        <v>21</v>
      </c>
      <c r="D484" t="s">
        <v>35</v>
      </c>
      <c r="E484" s="5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  <c r="S484" t="str">
        <f t="shared" si="21"/>
        <v>Recomendado</v>
      </c>
      <c r="T484" t="str">
        <f>VLOOKUP(A484,AssuranceTable,2,FALSE)</f>
        <v>Basic</v>
      </c>
      <c r="U484" t="str">
        <f t="shared" si="22"/>
        <v>YE88490 AZ</v>
      </c>
      <c r="X484" s="4">
        <f t="shared" si="23"/>
        <v>538089.86</v>
      </c>
    </row>
    <row r="485" spans="1:24" x14ac:dyDescent="0.35">
      <c r="A485" t="s">
        <v>524</v>
      </c>
      <c r="B485" t="s">
        <v>26</v>
      </c>
      <c r="C485" t="s">
        <v>21</v>
      </c>
      <c r="D485" t="s">
        <v>35</v>
      </c>
      <c r="E485" s="5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  <c r="S485" t="str">
        <f t="shared" si="21"/>
        <v>Recomendado</v>
      </c>
      <c r="T485" t="str">
        <f>VLOOKUP(A485,AssuranceTable,2,FALSE)</f>
        <v>Basic</v>
      </c>
      <c r="U485" t="str">
        <f t="shared" si="22"/>
        <v>YC80498 California</v>
      </c>
      <c r="X485" s="4">
        <f t="shared" si="23"/>
        <v>477055.09</v>
      </c>
    </row>
    <row r="486" spans="1:24" x14ac:dyDescent="0.35">
      <c r="A486" t="s">
        <v>525</v>
      </c>
      <c r="B486" t="s">
        <v>61</v>
      </c>
      <c r="C486" t="s">
        <v>21</v>
      </c>
      <c r="D486" t="s">
        <v>2</v>
      </c>
      <c r="E486" s="5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  <c r="S486" t="str">
        <f t="shared" si="21"/>
        <v>Recomendado</v>
      </c>
      <c r="T486" t="str">
        <f>VLOOKUP(A486,AssuranceTable,2,FALSE)</f>
        <v>Extended</v>
      </c>
      <c r="U486" t="str">
        <f t="shared" si="22"/>
        <v>AI85843 AZ</v>
      </c>
      <c r="X486" s="4">
        <f t="shared" si="23"/>
        <v>675665.14</v>
      </c>
    </row>
    <row r="487" spans="1:24" x14ac:dyDescent="0.35">
      <c r="A487" t="s">
        <v>526</v>
      </c>
      <c r="B487" t="s">
        <v>61</v>
      </c>
      <c r="C487" t="s">
        <v>21</v>
      </c>
      <c r="D487" t="s">
        <v>35</v>
      </c>
      <c r="E487" s="5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  <c r="S487" t="str">
        <f t="shared" si="21"/>
        <v>No recomendado</v>
      </c>
      <c r="T487" t="str">
        <f>VLOOKUP(A487,AssuranceTable,2,FALSE)</f>
        <v>Extended</v>
      </c>
      <c r="U487" t="str">
        <f t="shared" si="22"/>
        <v>XD66024 AZ</v>
      </c>
      <c r="X487" s="4">
        <f t="shared" si="23"/>
        <v>593601.18000000005</v>
      </c>
    </row>
    <row r="488" spans="1:24" x14ac:dyDescent="0.35">
      <c r="A488" t="s">
        <v>527</v>
      </c>
      <c r="B488" t="s">
        <v>61</v>
      </c>
      <c r="C488" t="s">
        <v>21</v>
      </c>
      <c r="D488" t="s">
        <v>4</v>
      </c>
      <c r="E488" s="5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  <c r="S488" t="str">
        <f t="shared" si="21"/>
        <v>Recomendado</v>
      </c>
      <c r="T488" t="str">
        <f>VLOOKUP(A488,AssuranceTable,2,FALSE)</f>
        <v>Extended</v>
      </c>
      <c r="U488" t="str">
        <f t="shared" si="22"/>
        <v>FY51713 AZ</v>
      </c>
      <c r="X488" s="4">
        <f t="shared" si="23"/>
        <v>357076.05</v>
      </c>
    </row>
    <row r="489" spans="1:24" x14ac:dyDescent="0.35">
      <c r="A489" t="s">
        <v>528</v>
      </c>
      <c r="B489" t="s">
        <v>26</v>
      </c>
      <c r="C489" t="s">
        <v>27</v>
      </c>
      <c r="D489" t="s">
        <v>35</v>
      </c>
      <c r="E489" s="5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  <c r="S489" t="str">
        <f t="shared" si="21"/>
        <v>No recomendado</v>
      </c>
      <c r="T489" t="str">
        <f>VLOOKUP(A489,AssuranceTable,2,FALSE)</f>
        <v>Extended</v>
      </c>
      <c r="U489" t="str">
        <f t="shared" si="22"/>
        <v>PH26378 California</v>
      </c>
      <c r="X489" s="4">
        <f t="shared" si="23"/>
        <v>601996.05000000005</v>
      </c>
    </row>
    <row r="490" spans="1:24" x14ac:dyDescent="0.35">
      <c r="A490" t="s">
        <v>529</v>
      </c>
      <c r="B490" t="s">
        <v>33</v>
      </c>
      <c r="C490" t="s">
        <v>27</v>
      </c>
      <c r="D490" t="s">
        <v>31</v>
      </c>
      <c r="E490" s="5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  <c r="S490" t="str">
        <f t="shared" si="21"/>
        <v>Recomendado</v>
      </c>
      <c r="T490" t="str">
        <f>VLOOKUP(A490,AssuranceTable,2,FALSE)</f>
        <v>Basic</v>
      </c>
      <c r="U490" t="str">
        <f t="shared" si="22"/>
        <v>WQ18638 Oregon</v>
      </c>
      <c r="X490" s="4">
        <f t="shared" si="23"/>
        <v>542686.4</v>
      </c>
    </row>
    <row r="491" spans="1:24" x14ac:dyDescent="0.35">
      <c r="A491" t="s">
        <v>530</v>
      </c>
      <c r="B491" t="s">
        <v>33</v>
      </c>
      <c r="C491" t="s">
        <v>21</v>
      </c>
      <c r="D491" t="s">
        <v>2</v>
      </c>
      <c r="E491" s="5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  <c r="S491" t="str">
        <f t="shared" si="21"/>
        <v>Recomendado</v>
      </c>
      <c r="T491" t="str">
        <f>VLOOKUP(A491,AssuranceTable,2,FALSE)</f>
        <v>Basic</v>
      </c>
      <c r="U491" t="str">
        <f t="shared" si="22"/>
        <v>KY14688 Oregon</v>
      </c>
      <c r="X491" s="4">
        <f t="shared" si="23"/>
        <v>273031.38</v>
      </c>
    </row>
    <row r="492" spans="1:24" x14ac:dyDescent="0.35">
      <c r="A492" t="s">
        <v>531</v>
      </c>
      <c r="B492" t="s">
        <v>26</v>
      </c>
      <c r="C492" t="s">
        <v>21</v>
      </c>
      <c r="D492" t="s">
        <v>31</v>
      </c>
      <c r="E492" s="5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  <c r="S492" t="str">
        <f t="shared" si="21"/>
        <v>Recomendado</v>
      </c>
      <c r="T492" t="str">
        <f>VLOOKUP(A492,AssuranceTable,2,FALSE)</f>
        <v>Basic</v>
      </c>
      <c r="U492" t="str">
        <f t="shared" si="22"/>
        <v>TC97762 California</v>
      </c>
      <c r="X492" s="4">
        <f t="shared" si="23"/>
        <v>498268.14</v>
      </c>
    </row>
    <row r="493" spans="1:24" x14ac:dyDescent="0.35">
      <c r="A493" t="s">
        <v>532</v>
      </c>
      <c r="B493" t="s">
        <v>33</v>
      </c>
      <c r="C493" t="s">
        <v>21</v>
      </c>
      <c r="D493" t="s">
        <v>35</v>
      </c>
      <c r="E493" s="5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  <c r="S493" t="str">
        <f t="shared" si="21"/>
        <v>Recomendado</v>
      </c>
      <c r="T493" t="str">
        <f>VLOOKUP(A493,AssuranceTable,2,FALSE)</f>
        <v>Basic</v>
      </c>
      <c r="U493" t="str">
        <f t="shared" si="22"/>
        <v>QC87108 Oregon</v>
      </c>
      <c r="X493" s="4">
        <f t="shared" si="23"/>
        <v>876926.68</v>
      </c>
    </row>
    <row r="494" spans="1:24" x14ac:dyDescent="0.35">
      <c r="A494" t="s">
        <v>533</v>
      </c>
      <c r="B494" t="s">
        <v>23</v>
      </c>
      <c r="C494" t="s">
        <v>27</v>
      </c>
      <c r="D494" t="s">
        <v>31</v>
      </c>
      <c r="E494" s="5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  <c r="S494" t="str">
        <f t="shared" si="21"/>
        <v>Recomendado</v>
      </c>
      <c r="T494" t="str">
        <f>VLOOKUP(A494,AssuranceTable,2,FALSE)</f>
        <v>Premium</v>
      </c>
      <c r="U494" t="str">
        <f t="shared" si="22"/>
        <v>CX12134 Nevada</v>
      </c>
      <c r="X494" s="4">
        <f t="shared" si="23"/>
        <v>422061.35</v>
      </c>
    </row>
    <row r="495" spans="1:24" x14ac:dyDescent="0.35">
      <c r="A495" t="s">
        <v>534</v>
      </c>
      <c r="B495" t="s">
        <v>61</v>
      </c>
      <c r="C495" t="s">
        <v>27</v>
      </c>
      <c r="D495" t="s">
        <v>31</v>
      </c>
      <c r="E495" s="5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S495" t="str">
        <f t="shared" si="21"/>
        <v>No recomendado</v>
      </c>
      <c r="T495" t="str">
        <f>VLOOKUP(A495,AssuranceTable,2,FALSE)</f>
        <v>Extended</v>
      </c>
      <c r="U495" t="str">
        <f t="shared" si="22"/>
        <v>SM73248 AZ</v>
      </c>
      <c r="X495" s="4">
        <f t="shared" si="23"/>
        <v>1153750.51</v>
      </c>
    </row>
    <row r="496" spans="1:24" x14ac:dyDescent="0.35">
      <c r="A496" t="s">
        <v>535</v>
      </c>
      <c r="B496" t="s">
        <v>26</v>
      </c>
      <c r="C496" t="s">
        <v>21</v>
      </c>
      <c r="D496" t="s">
        <v>2</v>
      </c>
      <c r="E496" s="5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  <c r="S496" t="str">
        <f t="shared" si="21"/>
        <v>Recomendado</v>
      </c>
      <c r="T496" t="str">
        <f>VLOOKUP(A496,AssuranceTable,2,FALSE)</f>
        <v>Basic</v>
      </c>
      <c r="U496" t="str">
        <f t="shared" si="22"/>
        <v>CK19789 California</v>
      </c>
      <c r="X496" s="4">
        <f t="shared" si="23"/>
        <v>588718.19999999995</v>
      </c>
    </row>
    <row r="497" spans="1:24" x14ac:dyDescent="0.35">
      <c r="A497" t="s">
        <v>536</v>
      </c>
      <c r="B497" t="s">
        <v>26</v>
      </c>
      <c r="C497" t="s">
        <v>21</v>
      </c>
      <c r="D497" t="s">
        <v>35</v>
      </c>
      <c r="E497" s="5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  <c r="S497" t="str">
        <f t="shared" si="21"/>
        <v>Recomendado</v>
      </c>
      <c r="T497" t="str">
        <f>VLOOKUP(A497,AssuranceTable,2,FALSE)</f>
        <v>Basic</v>
      </c>
      <c r="U497" t="str">
        <f t="shared" si="22"/>
        <v>UV12583 California</v>
      </c>
      <c r="X497" s="4">
        <f t="shared" si="23"/>
        <v>470058.38</v>
      </c>
    </row>
    <row r="498" spans="1:24" x14ac:dyDescent="0.35">
      <c r="A498" t="s">
        <v>537</v>
      </c>
      <c r="B498" t="s">
        <v>33</v>
      </c>
      <c r="C498" t="s">
        <v>27</v>
      </c>
      <c r="D498" t="s">
        <v>31</v>
      </c>
      <c r="E498" s="5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  <c r="S498" t="str">
        <f t="shared" si="21"/>
        <v>Recomendado</v>
      </c>
      <c r="T498" t="str">
        <f>VLOOKUP(A498,AssuranceTable,2,FALSE)</f>
        <v>Premium</v>
      </c>
      <c r="U498" t="str">
        <f t="shared" si="22"/>
        <v>JC11405 Oregon</v>
      </c>
      <c r="X498" s="4">
        <f t="shared" si="23"/>
        <v>1096395.72</v>
      </c>
    </row>
    <row r="499" spans="1:24" x14ac:dyDescent="0.35">
      <c r="A499" t="s">
        <v>538</v>
      </c>
      <c r="B499" t="s">
        <v>61</v>
      </c>
      <c r="C499" t="s">
        <v>21</v>
      </c>
      <c r="D499" t="s">
        <v>31</v>
      </c>
      <c r="E499" s="5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  <c r="S499" t="str">
        <f t="shared" si="21"/>
        <v>No recomendado</v>
      </c>
      <c r="T499" t="str">
        <f>VLOOKUP(A499,AssuranceTable,2,FALSE)</f>
        <v>Basic</v>
      </c>
      <c r="U499" t="str">
        <f t="shared" si="22"/>
        <v>KA89683 AZ</v>
      </c>
      <c r="X499" s="4">
        <f t="shared" si="23"/>
        <v>252317.12</v>
      </c>
    </row>
    <row r="500" spans="1:24" x14ac:dyDescent="0.35">
      <c r="A500" t="s">
        <v>539</v>
      </c>
      <c r="B500" t="s">
        <v>23</v>
      </c>
      <c r="C500" t="s">
        <v>27</v>
      </c>
      <c r="D500" t="s">
        <v>80</v>
      </c>
      <c r="E500" s="5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  <c r="S500" t="str">
        <f t="shared" si="21"/>
        <v>Recomendado</v>
      </c>
      <c r="T500" t="str">
        <f>VLOOKUP(A500,AssuranceTable,2,FALSE)</f>
        <v>Extended</v>
      </c>
      <c r="U500" t="str">
        <f t="shared" si="22"/>
        <v>BG85305 Nevada</v>
      </c>
      <c r="X500" s="4">
        <f t="shared" si="23"/>
        <v>375780.47</v>
      </c>
    </row>
    <row r="501" spans="1:24" x14ac:dyDescent="0.35">
      <c r="A501" t="s">
        <v>540</v>
      </c>
      <c r="B501" t="s">
        <v>33</v>
      </c>
      <c r="C501" t="s">
        <v>27</v>
      </c>
      <c r="D501" t="s">
        <v>31</v>
      </c>
      <c r="E501" s="5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  <c r="S501" t="str">
        <f t="shared" si="21"/>
        <v>Recomendado</v>
      </c>
      <c r="T501" t="str">
        <f>VLOOKUP(A501,AssuranceTable,2,FALSE)</f>
        <v>Basic</v>
      </c>
      <c r="U501" t="str">
        <f t="shared" si="22"/>
        <v>UQ87917 Oregon</v>
      </c>
      <c r="X501" s="4">
        <f t="shared" si="23"/>
        <v>1294173.3500000001</v>
      </c>
    </row>
    <row r="502" spans="1:24" x14ac:dyDescent="0.35">
      <c r="A502" t="s">
        <v>541</v>
      </c>
      <c r="B502" t="s">
        <v>23</v>
      </c>
      <c r="C502" t="s">
        <v>21</v>
      </c>
      <c r="D502" t="s">
        <v>4</v>
      </c>
      <c r="E502" s="5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S502" t="str">
        <f t="shared" si="21"/>
        <v>Recomendado</v>
      </c>
      <c r="T502" t="str">
        <f>VLOOKUP(A502,AssuranceTable,2,FALSE)</f>
        <v>Extended</v>
      </c>
      <c r="U502" t="str">
        <f t="shared" si="22"/>
        <v>XN11823 Nevada</v>
      </c>
      <c r="X502" s="4">
        <f t="shared" si="23"/>
        <v>376446.51</v>
      </c>
    </row>
    <row r="503" spans="1:24" x14ac:dyDescent="0.35">
      <c r="A503" t="s">
        <v>542</v>
      </c>
      <c r="B503" t="s">
        <v>26</v>
      </c>
      <c r="C503" t="s">
        <v>27</v>
      </c>
      <c r="D503" t="s">
        <v>31</v>
      </c>
      <c r="E503" s="5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  <c r="S503" t="str">
        <f t="shared" si="21"/>
        <v>No recomendado</v>
      </c>
      <c r="T503" t="str">
        <f>VLOOKUP(A503,AssuranceTable,2,FALSE)</f>
        <v>Basic</v>
      </c>
      <c r="U503" t="str">
        <f t="shared" si="22"/>
        <v>OS46571 California</v>
      </c>
      <c r="X503" s="4">
        <f t="shared" si="23"/>
        <v>688955.7</v>
      </c>
    </row>
    <row r="504" spans="1:24" x14ac:dyDescent="0.35">
      <c r="A504" t="s">
        <v>543</v>
      </c>
      <c r="B504" t="s">
        <v>23</v>
      </c>
      <c r="C504" t="s">
        <v>27</v>
      </c>
      <c r="D504" t="s">
        <v>35</v>
      </c>
      <c r="E504" s="5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S504" t="str">
        <f t="shared" si="21"/>
        <v>No recomendado</v>
      </c>
      <c r="T504" t="str">
        <f>VLOOKUP(A504,AssuranceTable,2,FALSE)</f>
        <v>Basic</v>
      </c>
      <c r="U504" t="str">
        <f t="shared" si="22"/>
        <v>PX17116 Nevada</v>
      </c>
      <c r="X504" s="4">
        <f t="shared" si="23"/>
        <v>362345.42</v>
      </c>
    </row>
    <row r="505" spans="1:24" x14ac:dyDescent="0.35">
      <c r="A505" t="s">
        <v>544</v>
      </c>
      <c r="B505" t="s">
        <v>61</v>
      </c>
      <c r="C505" t="s">
        <v>27</v>
      </c>
      <c r="D505" t="s">
        <v>35</v>
      </c>
      <c r="E505" s="5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  <c r="S505" t="str">
        <f t="shared" si="21"/>
        <v>Recomendado</v>
      </c>
      <c r="T505" t="str">
        <f>VLOOKUP(A505,AssuranceTable,2,FALSE)</f>
        <v>Basic</v>
      </c>
      <c r="U505" t="str">
        <f t="shared" si="22"/>
        <v>RP19541 AZ</v>
      </c>
      <c r="X505" s="4">
        <f t="shared" si="23"/>
        <v>758211.38</v>
      </c>
    </row>
    <row r="506" spans="1:24" x14ac:dyDescent="0.35">
      <c r="A506" t="s">
        <v>545</v>
      </c>
      <c r="B506" t="s">
        <v>33</v>
      </c>
      <c r="C506" t="s">
        <v>21</v>
      </c>
      <c r="D506" t="s">
        <v>35</v>
      </c>
      <c r="E506" s="5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S506" t="str">
        <f t="shared" si="21"/>
        <v>Recomendado</v>
      </c>
      <c r="T506" t="str">
        <f>VLOOKUP(A506,AssuranceTable,2,FALSE)</f>
        <v>Premium</v>
      </c>
      <c r="U506" t="str">
        <f t="shared" si="22"/>
        <v>ZR25747 Oregon</v>
      </c>
      <c r="X506" s="4">
        <f t="shared" si="23"/>
        <v>827774.56</v>
      </c>
    </row>
    <row r="507" spans="1:24" x14ac:dyDescent="0.35">
      <c r="A507" t="s">
        <v>546</v>
      </c>
      <c r="B507" t="s">
        <v>26</v>
      </c>
      <c r="C507" t="s">
        <v>27</v>
      </c>
      <c r="D507" t="s">
        <v>31</v>
      </c>
      <c r="E507" s="5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  <c r="S507" t="str">
        <f t="shared" si="21"/>
        <v>Recomendado</v>
      </c>
      <c r="T507" t="str">
        <f>VLOOKUP(A507,AssuranceTable,2,FALSE)</f>
        <v>Basic</v>
      </c>
      <c r="U507" t="str">
        <f t="shared" si="22"/>
        <v>NQ86532 California</v>
      </c>
      <c r="X507" s="4">
        <f t="shared" si="23"/>
        <v>257645.56</v>
      </c>
    </row>
    <row r="508" spans="1:24" x14ac:dyDescent="0.35">
      <c r="A508" t="s">
        <v>547</v>
      </c>
      <c r="B508" t="s">
        <v>33</v>
      </c>
      <c r="C508" t="s">
        <v>21</v>
      </c>
      <c r="D508" t="s">
        <v>35</v>
      </c>
      <c r="E508" s="5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S508" t="str">
        <f t="shared" si="21"/>
        <v>Recomendado</v>
      </c>
      <c r="T508" t="str">
        <f>VLOOKUP(A508,AssuranceTable,2,FALSE)</f>
        <v>Basic</v>
      </c>
      <c r="U508" t="str">
        <f t="shared" si="22"/>
        <v>JY27336 Oregon</v>
      </c>
      <c r="X508" s="4">
        <f t="shared" si="23"/>
        <v>820538.79</v>
      </c>
    </row>
    <row r="509" spans="1:24" x14ac:dyDescent="0.35">
      <c r="A509" t="s">
        <v>548</v>
      </c>
      <c r="B509" t="s">
        <v>33</v>
      </c>
      <c r="C509" t="s">
        <v>21</v>
      </c>
      <c r="D509" t="s">
        <v>80</v>
      </c>
      <c r="E509" s="5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  <c r="S509" t="str">
        <f t="shared" si="21"/>
        <v>Recomendado</v>
      </c>
      <c r="T509" t="str">
        <f>VLOOKUP(A509,AssuranceTable,2,FALSE)</f>
        <v>Basic</v>
      </c>
      <c r="U509" t="str">
        <f t="shared" si="22"/>
        <v>PB54378 Oregon</v>
      </c>
      <c r="X509" s="4">
        <f t="shared" si="23"/>
        <v>1958246.89</v>
      </c>
    </row>
    <row r="510" spans="1:24" x14ac:dyDescent="0.35">
      <c r="A510" t="s">
        <v>549</v>
      </c>
      <c r="B510" t="s">
        <v>23</v>
      </c>
      <c r="C510" t="s">
        <v>21</v>
      </c>
      <c r="D510" t="s">
        <v>4</v>
      </c>
      <c r="E510" s="5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  <c r="S510" t="str">
        <f t="shared" si="21"/>
        <v>Recomendado</v>
      </c>
      <c r="T510" t="str">
        <f>VLOOKUP(A510,AssuranceTable,2,FALSE)</f>
        <v>Extended</v>
      </c>
      <c r="U510" t="str">
        <f t="shared" si="22"/>
        <v>SV38190 Nevada</v>
      </c>
      <c r="X510" s="4">
        <f t="shared" si="23"/>
        <v>648152.66</v>
      </c>
    </row>
    <row r="511" spans="1:24" x14ac:dyDescent="0.35">
      <c r="A511" t="s">
        <v>550</v>
      </c>
      <c r="B511" t="s">
        <v>33</v>
      </c>
      <c r="C511" t="s">
        <v>27</v>
      </c>
      <c r="D511" t="s">
        <v>31</v>
      </c>
      <c r="E511" s="5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S511" t="str">
        <f t="shared" si="21"/>
        <v>Recomendado</v>
      </c>
      <c r="T511" t="str">
        <f>VLOOKUP(A511,AssuranceTable,2,FALSE)</f>
        <v>Basic</v>
      </c>
      <c r="U511" t="str">
        <f t="shared" si="22"/>
        <v>CV24005 Oregon</v>
      </c>
      <c r="X511" s="4">
        <f t="shared" si="23"/>
        <v>259931.09</v>
      </c>
    </row>
    <row r="512" spans="1:24" x14ac:dyDescent="0.35">
      <c r="A512" t="s">
        <v>551</v>
      </c>
      <c r="B512" t="s">
        <v>33</v>
      </c>
      <c r="C512" t="s">
        <v>21</v>
      </c>
      <c r="D512" t="s">
        <v>35</v>
      </c>
      <c r="E512" s="5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  <c r="S512" t="str">
        <f t="shared" si="21"/>
        <v>Recomendado</v>
      </c>
      <c r="T512" t="str">
        <f>VLOOKUP(A512,AssuranceTable,2,FALSE)</f>
        <v>Premium</v>
      </c>
      <c r="U512" t="str">
        <f t="shared" si="22"/>
        <v>EX28656 Oregon</v>
      </c>
      <c r="X512" s="4">
        <f t="shared" si="23"/>
        <v>983033.76</v>
      </c>
    </row>
    <row r="513" spans="1:24" x14ac:dyDescent="0.35">
      <c r="A513" t="s">
        <v>552</v>
      </c>
      <c r="B513" t="s">
        <v>33</v>
      </c>
      <c r="C513" t="s">
        <v>27</v>
      </c>
      <c r="D513" t="s">
        <v>4</v>
      </c>
      <c r="E513" s="5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  <c r="S513" t="str">
        <f t="shared" si="21"/>
        <v>Recomendado</v>
      </c>
      <c r="T513" t="str">
        <f>VLOOKUP(A513,AssuranceTable,2,FALSE)</f>
        <v>Extended</v>
      </c>
      <c r="U513" t="str">
        <f t="shared" si="22"/>
        <v>CF57022 Oregon</v>
      </c>
      <c r="X513" s="4">
        <f t="shared" si="23"/>
        <v>1044265.14</v>
      </c>
    </row>
    <row r="514" spans="1:24" x14ac:dyDescent="0.35">
      <c r="A514" t="s">
        <v>553</v>
      </c>
      <c r="B514" t="s">
        <v>33</v>
      </c>
      <c r="C514" t="s">
        <v>27</v>
      </c>
      <c r="D514" t="s">
        <v>35</v>
      </c>
      <c r="E514" s="5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S514" t="str">
        <f t="shared" si="21"/>
        <v>Recomendado</v>
      </c>
      <c r="T514" t="str">
        <f>VLOOKUP(A514,AssuranceTable,2,FALSE)</f>
        <v>Extended</v>
      </c>
      <c r="U514" t="str">
        <f t="shared" si="22"/>
        <v>GM16780 Oregon</v>
      </c>
      <c r="X514" s="4">
        <f t="shared" si="23"/>
        <v>3605753.7</v>
      </c>
    </row>
    <row r="515" spans="1:24" x14ac:dyDescent="0.35">
      <c r="A515" t="s">
        <v>554</v>
      </c>
      <c r="B515" t="s">
        <v>26</v>
      </c>
      <c r="C515" t="s">
        <v>21</v>
      </c>
      <c r="D515" t="s">
        <v>31</v>
      </c>
      <c r="E515" s="5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S515" t="str">
        <f t="shared" ref="S515:S578" si="24">IF(F515&gt;3000,"Recomendado","No recomendado")</f>
        <v>No recomendado</v>
      </c>
      <c r="T515" t="str">
        <f>VLOOKUP(A515,AssuranceTable,2,FALSE)</f>
        <v>Basic</v>
      </c>
      <c r="U515" t="str">
        <f t="shared" ref="U515:U578" si="25">_xlfn.CONCAT(A515, " ",B515)</f>
        <v>BX94438 California</v>
      </c>
      <c r="X515" s="4">
        <f t="shared" ref="X515:X578" si="26">ROUND(E515,3)</f>
        <v>847003.68</v>
      </c>
    </row>
    <row r="516" spans="1:24" x14ac:dyDescent="0.35">
      <c r="A516" t="s">
        <v>555</v>
      </c>
      <c r="B516" t="s">
        <v>26</v>
      </c>
      <c r="C516" t="s">
        <v>21</v>
      </c>
      <c r="D516" t="s">
        <v>31</v>
      </c>
      <c r="E516" s="5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  <c r="S516" t="str">
        <f t="shared" si="24"/>
        <v>No recomendado</v>
      </c>
      <c r="T516" t="str">
        <f>VLOOKUP(A516,AssuranceTable,2,FALSE)</f>
        <v>Premium</v>
      </c>
      <c r="U516" t="str">
        <f t="shared" si="25"/>
        <v>RM41745 California</v>
      </c>
      <c r="X516" s="4">
        <f t="shared" si="26"/>
        <v>827878.65</v>
      </c>
    </row>
    <row r="517" spans="1:24" x14ac:dyDescent="0.35">
      <c r="A517" t="s">
        <v>556</v>
      </c>
      <c r="B517" t="s">
        <v>26</v>
      </c>
      <c r="C517" t="s">
        <v>21</v>
      </c>
      <c r="D517" t="s">
        <v>31</v>
      </c>
      <c r="E517" s="5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  <c r="S517" t="str">
        <f t="shared" si="24"/>
        <v>No recomendado</v>
      </c>
      <c r="T517" t="str">
        <f>VLOOKUP(A517,AssuranceTable,2,FALSE)</f>
        <v>Basic</v>
      </c>
      <c r="U517" t="str">
        <f t="shared" si="25"/>
        <v>XR70252 California</v>
      </c>
      <c r="X517" s="4">
        <f t="shared" si="26"/>
        <v>478893.26</v>
      </c>
    </row>
    <row r="518" spans="1:24" x14ac:dyDescent="0.35">
      <c r="A518" t="s">
        <v>557</v>
      </c>
      <c r="B518" t="s">
        <v>61</v>
      </c>
      <c r="C518" t="s">
        <v>21</v>
      </c>
      <c r="D518" t="s">
        <v>4</v>
      </c>
      <c r="E518" s="5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  <c r="S518" t="str">
        <f t="shared" si="24"/>
        <v>Recomendado</v>
      </c>
      <c r="T518" t="str">
        <f>VLOOKUP(A518,AssuranceTable,2,FALSE)</f>
        <v>Extended</v>
      </c>
      <c r="U518" t="str">
        <f t="shared" si="25"/>
        <v>YH92099 AZ</v>
      </c>
      <c r="X518" s="4">
        <f t="shared" si="26"/>
        <v>308799.99</v>
      </c>
    </row>
    <row r="519" spans="1:24" x14ac:dyDescent="0.35">
      <c r="A519" t="s">
        <v>558</v>
      </c>
      <c r="B519" t="s">
        <v>5</v>
      </c>
      <c r="C519" t="s">
        <v>27</v>
      </c>
      <c r="D519" t="s">
        <v>4</v>
      </c>
      <c r="E519" s="5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  <c r="S519" t="str">
        <f t="shared" si="24"/>
        <v>Recomendado</v>
      </c>
      <c r="T519" t="str">
        <f>VLOOKUP(A519,AssuranceTable,2,FALSE)</f>
        <v>Premium</v>
      </c>
      <c r="U519" t="str">
        <f t="shared" si="25"/>
        <v>SG81493 Arizona</v>
      </c>
      <c r="X519" s="4">
        <f t="shared" si="26"/>
        <v>444373.62</v>
      </c>
    </row>
    <row r="520" spans="1:24" x14ac:dyDescent="0.35">
      <c r="A520" t="s">
        <v>559</v>
      </c>
      <c r="B520" t="s">
        <v>33</v>
      </c>
      <c r="C520" t="s">
        <v>21</v>
      </c>
      <c r="D520" t="s">
        <v>31</v>
      </c>
      <c r="E520" s="5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  <c r="S520" t="str">
        <f t="shared" si="24"/>
        <v>No recomendado</v>
      </c>
      <c r="T520" t="str">
        <f>VLOOKUP(A520,AssuranceTable,2,FALSE)</f>
        <v>Basic</v>
      </c>
      <c r="U520" t="str">
        <f t="shared" si="25"/>
        <v>ZX23819 Oregon</v>
      </c>
      <c r="X520" s="4">
        <f t="shared" si="26"/>
        <v>798408.65</v>
      </c>
    </row>
    <row r="521" spans="1:24" x14ac:dyDescent="0.35">
      <c r="A521" t="s">
        <v>560</v>
      </c>
      <c r="B521" t="s">
        <v>33</v>
      </c>
      <c r="C521" t="s">
        <v>21</v>
      </c>
      <c r="D521" t="s">
        <v>35</v>
      </c>
      <c r="E521" s="5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  <c r="S521" t="str">
        <f t="shared" si="24"/>
        <v>Recomendado</v>
      </c>
      <c r="T521" t="str">
        <f>VLOOKUP(A521,AssuranceTable,2,FALSE)</f>
        <v>Basic</v>
      </c>
      <c r="U521" t="str">
        <f t="shared" si="25"/>
        <v>FJ54907 Oregon</v>
      </c>
      <c r="X521" s="4">
        <f t="shared" si="26"/>
        <v>718097.1</v>
      </c>
    </row>
    <row r="522" spans="1:24" x14ac:dyDescent="0.35">
      <c r="A522" t="s">
        <v>561</v>
      </c>
      <c r="B522" t="s">
        <v>26</v>
      </c>
      <c r="C522" t="s">
        <v>21</v>
      </c>
      <c r="D522" t="s">
        <v>4</v>
      </c>
      <c r="E522" s="5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S522" t="str">
        <f t="shared" si="24"/>
        <v>Recomendado</v>
      </c>
      <c r="T522" t="str">
        <f>VLOOKUP(A522,AssuranceTable,2,FALSE)</f>
        <v>Extended</v>
      </c>
      <c r="U522" t="str">
        <f t="shared" si="25"/>
        <v>CU26127 California</v>
      </c>
      <c r="X522" s="4">
        <f t="shared" si="26"/>
        <v>1565603.43</v>
      </c>
    </row>
    <row r="523" spans="1:24" x14ac:dyDescent="0.35">
      <c r="A523" t="s">
        <v>562</v>
      </c>
      <c r="B523" t="s">
        <v>33</v>
      </c>
      <c r="C523" t="s">
        <v>27</v>
      </c>
      <c r="D523" t="s">
        <v>31</v>
      </c>
      <c r="E523" s="5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  <c r="S523" t="str">
        <f t="shared" si="24"/>
        <v>Recomendado</v>
      </c>
      <c r="T523" t="str">
        <f>VLOOKUP(A523,AssuranceTable,2,FALSE)</f>
        <v>Basic</v>
      </c>
      <c r="U523" t="str">
        <f t="shared" si="25"/>
        <v>YH60476 Oregon</v>
      </c>
      <c r="X523" s="4">
        <f t="shared" si="26"/>
        <v>578018.22</v>
      </c>
    </row>
    <row r="524" spans="1:24" x14ac:dyDescent="0.35">
      <c r="A524" t="s">
        <v>563</v>
      </c>
      <c r="B524" t="s">
        <v>26</v>
      </c>
      <c r="C524" t="s">
        <v>27</v>
      </c>
      <c r="D524" t="s">
        <v>35</v>
      </c>
      <c r="E524" s="5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S524" t="str">
        <f t="shared" si="24"/>
        <v>No recomendado</v>
      </c>
      <c r="T524" t="str">
        <f>VLOOKUP(A524,AssuranceTable,2,FALSE)</f>
        <v>Extended</v>
      </c>
      <c r="U524" t="str">
        <f t="shared" si="25"/>
        <v>ZZ97035 California</v>
      </c>
      <c r="X524" s="4">
        <f t="shared" si="26"/>
        <v>2071494.04</v>
      </c>
    </row>
    <row r="525" spans="1:24" x14ac:dyDescent="0.35">
      <c r="A525" t="s">
        <v>564</v>
      </c>
      <c r="B525" t="s">
        <v>23</v>
      </c>
      <c r="C525" t="s">
        <v>21</v>
      </c>
      <c r="D525" t="s">
        <v>4</v>
      </c>
      <c r="E525" s="5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  <c r="S525" t="str">
        <f t="shared" si="24"/>
        <v>No recomendado</v>
      </c>
      <c r="T525" t="str">
        <f>VLOOKUP(A525,AssuranceTable,2,FALSE)</f>
        <v>Extended</v>
      </c>
      <c r="U525" t="str">
        <f t="shared" si="25"/>
        <v>GE82737 Nevada</v>
      </c>
      <c r="X525" s="4">
        <f t="shared" si="26"/>
        <v>533735.24</v>
      </c>
    </row>
    <row r="526" spans="1:24" x14ac:dyDescent="0.35">
      <c r="A526" t="s">
        <v>565</v>
      </c>
      <c r="B526" t="s">
        <v>5</v>
      </c>
      <c r="C526" t="s">
        <v>27</v>
      </c>
      <c r="D526" t="s">
        <v>35</v>
      </c>
      <c r="E526" s="5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  <c r="S526" t="str">
        <f t="shared" si="24"/>
        <v>No recomendado</v>
      </c>
      <c r="T526" t="str">
        <f>VLOOKUP(A526,AssuranceTable,2,FALSE)</f>
        <v>Basic</v>
      </c>
      <c r="U526" t="str">
        <f t="shared" si="25"/>
        <v>KY21873 Arizona</v>
      </c>
      <c r="X526" s="4">
        <f t="shared" si="26"/>
        <v>505082.62</v>
      </c>
    </row>
    <row r="527" spans="1:24" x14ac:dyDescent="0.35">
      <c r="A527" t="s">
        <v>566</v>
      </c>
      <c r="B527" t="s">
        <v>5</v>
      </c>
      <c r="C527" t="s">
        <v>21</v>
      </c>
      <c r="D527" t="s">
        <v>31</v>
      </c>
      <c r="E527" s="5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  <c r="S527" t="str">
        <f t="shared" si="24"/>
        <v>Recomendado</v>
      </c>
      <c r="T527" t="str">
        <f>VLOOKUP(A527,AssuranceTable,2,FALSE)</f>
        <v>Basic</v>
      </c>
      <c r="U527" t="str">
        <f t="shared" si="25"/>
        <v>UA51318 Arizona</v>
      </c>
      <c r="X527" s="4">
        <f t="shared" si="26"/>
        <v>511662.4</v>
      </c>
    </row>
    <row r="528" spans="1:24" x14ac:dyDescent="0.35">
      <c r="A528" t="s">
        <v>567</v>
      </c>
      <c r="B528" t="s">
        <v>33</v>
      </c>
      <c r="C528" t="s">
        <v>27</v>
      </c>
      <c r="D528" t="s">
        <v>4</v>
      </c>
      <c r="E528" s="5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  <c r="S528" t="str">
        <f t="shared" si="24"/>
        <v>Recomendado</v>
      </c>
      <c r="T528" t="str">
        <f>VLOOKUP(A528,AssuranceTable,2,FALSE)</f>
        <v>Basic</v>
      </c>
      <c r="U528" t="str">
        <f t="shared" si="25"/>
        <v>BV55014 Oregon</v>
      </c>
      <c r="X528" s="4">
        <f t="shared" si="26"/>
        <v>726873.7</v>
      </c>
    </row>
    <row r="529" spans="1:24" x14ac:dyDescent="0.35">
      <c r="A529" t="s">
        <v>568</v>
      </c>
      <c r="B529" t="s">
        <v>33</v>
      </c>
      <c r="C529" t="s">
        <v>271</v>
      </c>
      <c r="D529" t="s">
        <v>35</v>
      </c>
      <c r="E529" s="5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  <c r="S529" t="str">
        <f t="shared" si="24"/>
        <v>Recomendado</v>
      </c>
      <c r="T529" t="str">
        <f>VLOOKUP(A529,AssuranceTable,2,FALSE)</f>
        <v>Basic</v>
      </c>
      <c r="U529" t="str">
        <f t="shared" si="25"/>
        <v>HX21307 Oregon</v>
      </c>
      <c r="X529" s="4">
        <f t="shared" si="26"/>
        <v>261661.39</v>
      </c>
    </row>
    <row r="530" spans="1:24" x14ac:dyDescent="0.35">
      <c r="A530" t="s">
        <v>569</v>
      </c>
      <c r="B530" t="s">
        <v>33</v>
      </c>
      <c r="C530" t="s">
        <v>271</v>
      </c>
      <c r="D530" t="s">
        <v>31</v>
      </c>
      <c r="E530" s="5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  <c r="S530" t="str">
        <f t="shared" si="24"/>
        <v>Recomendado</v>
      </c>
      <c r="T530" t="str">
        <f>VLOOKUP(A530,AssuranceTable,2,FALSE)</f>
        <v>Basic</v>
      </c>
      <c r="U530" t="str">
        <f t="shared" si="25"/>
        <v>LQ68252 Oregon</v>
      </c>
      <c r="X530" s="4">
        <f t="shared" si="26"/>
        <v>373843.62</v>
      </c>
    </row>
    <row r="531" spans="1:24" x14ac:dyDescent="0.35">
      <c r="A531" t="s">
        <v>570</v>
      </c>
      <c r="B531" t="s">
        <v>26</v>
      </c>
      <c r="C531" t="s">
        <v>21</v>
      </c>
      <c r="D531" t="s">
        <v>2</v>
      </c>
      <c r="E531" s="5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  <c r="S531" t="str">
        <f t="shared" si="24"/>
        <v>Recomendado</v>
      </c>
      <c r="T531" t="str">
        <f>VLOOKUP(A531,AssuranceTable,2,FALSE)</f>
        <v>Basic</v>
      </c>
      <c r="U531" t="str">
        <f t="shared" si="25"/>
        <v>CR92802 California</v>
      </c>
      <c r="X531" s="4">
        <f t="shared" si="26"/>
        <v>272535.64</v>
      </c>
    </row>
    <row r="532" spans="1:24" x14ac:dyDescent="0.35">
      <c r="A532" t="s">
        <v>571</v>
      </c>
      <c r="B532" t="s">
        <v>5</v>
      </c>
      <c r="C532" t="s">
        <v>271</v>
      </c>
      <c r="D532" t="s">
        <v>35</v>
      </c>
      <c r="E532" s="5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  <c r="S532" t="str">
        <f t="shared" si="24"/>
        <v>Recomendado</v>
      </c>
      <c r="T532" t="str">
        <f>VLOOKUP(A532,AssuranceTable,2,FALSE)</f>
        <v>Basic</v>
      </c>
      <c r="U532" t="str">
        <f t="shared" si="25"/>
        <v>SL35268 Arizona</v>
      </c>
      <c r="X532" s="4">
        <f t="shared" si="26"/>
        <v>545386.12</v>
      </c>
    </row>
    <row r="533" spans="1:24" x14ac:dyDescent="0.35">
      <c r="A533" t="s">
        <v>572</v>
      </c>
      <c r="B533" t="s">
        <v>5</v>
      </c>
      <c r="C533" t="s">
        <v>21</v>
      </c>
      <c r="D533" t="s">
        <v>4</v>
      </c>
      <c r="E533" s="5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  <c r="S533" t="str">
        <f t="shared" si="24"/>
        <v>No recomendado</v>
      </c>
      <c r="T533" t="str">
        <f>VLOOKUP(A533,AssuranceTable,2,FALSE)</f>
        <v>Extended</v>
      </c>
      <c r="U533" t="str">
        <f t="shared" si="25"/>
        <v>RD62882 Arizona</v>
      </c>
      <c r="X533" s="4">
        <f t="shared" si="26"/>
        <v>684615.03</v>
      </c>
    </row>
    <row r="534" spans="1:24" x14ac:dyDescent="0.35">
      <c r="A534" t="s">
        <v>573</v>
      </c>
      <c r="B534" t="s">
        <v>33</v>
      </c>
      <c r="C534" t="s">
        <v>271</v>
      </c>
      <c r="D534" t="s">
        <v>2</v>
      </c>
      <c r="E534" s="5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  <c r="S534" t="str">
        <f t="shared" si="24"/>
        <v>Recomendado</v>
      </c>
      <c r="T534" t="str">
        <f>VLOOKUP(A534,AssuranceTable,2,FALSE)</f>
        <v>Extended</v>
      </c>
      <c r="U534" t="str">
        <f t="shared" si="25"/>
        <v>JS42382 Oregon</v>
      </c>
      <c r="X534" s="4">
        <f t="shared" si="26"/>
        <v>617291.42000000004</v>
      </c>
    </row>
    <row r="535" spans="1:24" x14ac:dyDescent="0.35">
      <c r="A535" t="s">
        <v>574</v>
      </c>
      <c r="B535" t="s">
        <v>5</v>
      </c>
      <c r="C535" t="s">
        <v>21</v>
      </c>
      <c r="D535" t="s">
        <v>4</v>
      </c>
      <c r="E535" s="5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  <c r="S535" t="str">
        <f t="shared" si="24"/>
        <v>No recomendado</v>
      </c>
      <c r="T535" t="str">
        <f>VLOOKUP(A535,AssuranceTable,2,FALSE)</f>
        <v>Extended</v>
      </c>
      <c r="U535" t="str">
        <f t="shared" si="25"/>
        <v>BT30554 Arizona</v>
      </c>
      <c r="X535" s="4">
        <f t="shared" si="26"/>
        <v>1034632.45</v>
      </c>
    </row>
    <row r="536" spans="1:24" x14ac:dyDescent="0.35">
      <c r="A536" t="s">
        <v>575</v>
      </c>
      <c r="B536" t="s">
        <v>23</v>
      </c>
      <c r="C536" t="s">
        <v>21</v>
      </c>
      <c r="D536" t="s">
        <v>4</v>
      </c>
      <c r="E536" s="5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  <c r="S536" t="str">
        <f t="shared" si="24"/>
        <v>Recomendado</v>
      </c>
      <c r="T536" t="str">
        <f>VLOOKUP(A536,AssuranceTable,2,FALSE)</f>
        <v>Extended</v>
      </c>
      <c r="U536" t="str">
        <f t="shared" si="25"/>
        <v>VP57424 Nevada</v>
      </c>
      <c r="X536" s="4">
        <f t="shared" si="26"/>
        <v>699700.86</v>
      </c>
    </row>
    <row r="537" spans="1:24" x14ac:dyDescent="0.35">
      <c r="A537" t="s">
        <v>576</v>
      </c>
      <c r="B537" t="s">
        <v>5</v>
      </c>
      <c r="C537" t="s">
        <v>21</v>
      </c>
      <c r="D537" t="s">
        <v>31</v>
      </c>
      <c r="E537" s="5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  <c r="S537" t="str">
        <f t="shared" si="24"/>
        <v>Recomendado</v>
      </c>
      <c r="T537" t="str">
        <f>VLOOKUP(A537,AssuranceTable,2,FALSE)</f>
        <v>Premium</v>
      </c>
      <c r="U537" t="str">
        <f t="shared" si="25"/>
        <v>VU19243 Arizona</v>
      </c>
      <c r="X537" s="4">
        <f t="shared" si="26"/>
        <v>419625.77</v>
      </c>
    </row>
    <row r="538" spans="1:24" x14ac:dyDescent="0.35">
      <c r="A538" t="s">
        <v>577</v>
      </c>
      <c r="B538" t="s">
        <v>33</v>
      </c>
      <c r="C538" t="s">
        <v>21</v>
      </c>
      <c r="D538" t="s">
        <v>31</v>
      </c>
      <c r="E538" s="5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  <c r="S538" t="str">
        <f t="shared" si="24"/>
        <v>Recomendado</v>
      </c>
      <c r="T538" t="str">
        <f>VLOOKUP(A538,AssuranceTable,2,FALSE)</f>
        <v>Basic</v>
      </c>
      <c r="U538" t="str">
        <f t="shared" si="25"/>
        <v>TA82973 Oregon</v>
      </c>
      <c r="X538" s="4">
        <f t="shared" si="26"/>
        <v>785810.98</v>
      </c>
    </row>
    <row r="539" spans="1:24" x14ac:dyDescent="0.35">
      <c r="A539" t="s">
        <v>578</v>
      </c>
      <c r="B539" t="s">
        <v>33</v>
      </c>
      <c r="C539" t="s">
        <v>21</v>
      </c>
      <c r="D539" t="s">
        <v>31</v>
      </c>
      <c r="E539" s="5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  <c r="S539" t="str">
        <f t="shared" si="24"/>
        <v>No recomendado</v>
      </c>
      <c r="T539" t="str">
        <f>VLOOKUP(A539,AssuranceTable,2,FALSE)</f>
        <v>Extended</v>
      </c>
      <c r="U539" t="str">
        <f t="shared" si="25"/>
        <v>GK71720 Oregon</v>
      </c>
      <c r="X539" s="4">
        <f t="shared" si="26"/>
        <v>606434.4</v>
      </c>
    </row>
    <row r="540" spans="1:24" x14ac:dyDescent="0.35">
      <c r="A540" t="s">
        <v>579</v>
      </c>
      <c r="B540" t="s">
        <v>26</v>
      </c>
      <c r="C540" t="s">
        <v>271</v>
      </c>
      <c r="D540" t="s">
        <v>35</v>
      </c>
      <c r="E540" s="5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  <c r="S540" t="str">
        <f t="shared" si="24"/>
        <v>No recomendado</v>
      </c>
      <c r="T540" t="str">
        <f>VLOOKUP(A540,AssuranceTable,2,FALSE)</f>
        <v>Basic</v>
      </c>
      <c r="U540" t="str">
        <f t="shared" si="25"/>
        <v>OQ61223 California</v>
      </c>
      <c r="X540" s="4">
        <f t="shared" si="26"/>
        <v>1749752.2</v>
      </c>
    </row>
    <row r="541" spans="1:24" x14ac:dyDescent="0.35">
      <c r="A541" t="s">
        <v>580</v>
      </c>
      <c r="B541" t="s">
        <v>33</v>
      </c>
      <c r="C541" t="s">
        <v>271</v>
      </c>
      <c r="D541" t="s">
        <v>80</v>
      </c>
      <c r="E541" s="5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  <c r="S541" t="str">
        <f t="shared" si="24"/>
        <v>Recomendado</v>
      </c>
      <c r="T541" t="str">
        <f>VLOOKUP(A541,AssuranceTable,2,FALSE)</f>
        <v>Basic</v>
      </c>
      <c r="U541" t="str">
        <f t="shared" si="25"/>
        <v>LL62746 Oregon</v>
      </c>
      <c r="X541" s="4">
        <f t="shared" si="26"/>
        <v>897064.73</v>
      </c>
    </row>
    <row r="542" spans="1:24" x14ac:dyDescent="0.35">
      <c r="A542" t="s">
        <v>581</v>
      </c>
      <c r="B542" t="s">
        <v>33</v>
      </c>
      <c r="C542" t="s">
        <v>21</v>
      </c>
      <c r="D542" t="s">
        <v>2</v>
      </c>
      <c r="E542" s="5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  <c r="S542" t="str">
        <f t="shared" si="24"/>
        <v>Recomendado</v>
      </c>
      <c r="T542" t="str">
        <f>VLOOKUP(A542,AssuranceTable,2,FALSE)</f>
        <v>Basic</v>
      </c>
      <c r="U542" t="str">
        <f t="shared" si="25"/>
        <v>JQ56711 Oregon</v>
      </c>
      <c r="X542" s="4">
        <f t="shared" si="26"/>
        <v>592311.72</v>
      </c>
    </row>
    <row r="543" spans="1:24" x14ac:dyDescent="0.35">
      <c r="A543" t="s">
        <v>582</v>
      </c>
      <c r="B543" t="s">
        <v>33</v>
      </c>
      <c r="C543" t="s">
        <v>271</v>
      </c>
      <c r="D543" t="s">
        <v>31</v>
      </c>
      <c r="E543" s="5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  <c r="S543" t="str">
        <f t="shared" si="24"/>
        <v>Recomendado</v>
      </c>
      <c r="T543" t="str">
        <f>VLOOKUP(A543,AssuranceTable,2,FALSE)</f>
        <v>Basic</v>
      </c>
      <c r="U543" t="str">
        <f t="shared" si="25"/>
        <v>AW77988 Oregon</v>
      </c>
      <c r="X543" s="4">
        <f t="shared" si="26"/>
        <v>3585059.94</v>
      </c>
    </row>
    <row r="544" spans="1:24" x14ac:dyDescent="0.35">
      <c r="A544" t="s">
        <v>583</v>
      </c>
      <c r="B544" t="s">
        <v>3</v>
      </c>
      <c r="C544" t="s">
        <v>21</v>
      </c>
      <c r="D544" t="s">
        <v>4</v>
      </c>
      <c r="E544" s="5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  <c r="S544" t="str">
        <f t="shared" si="24"/>
        <v>Recomendado</v>
      </c>
      <c r="T544" t="str">
        <f>VLOOKUP(A544,AssuranceTable,2,FALSE)</f>
        <v>Premium</v>
      </c>
      <c r="U544" t="str">
        <f t="shared" si="25"/>
        <v>QP84605 Washington</v>
      </c>
      <c r="X544" s="4">
        <f t="shared" si="26"/>
        <v>870984.53</v>
      </c>
    </row>
    <row r="545" spans="1:24" x14ac:dyDescent="0.35">
      <c r="A545" t="s">
        <v>584</v>
      </c>
      <c r="B545" t="s">
        <v>5</v>
      </c>
      <c r="C545" t="s">
        <v>271</v>
      </c>
      <c r="D545" t="s">
        <v>35</v>
      </c>
      <c r="E545" s="5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  <c r="S545" t="str">
        <f t="shared" si="24"/>
        <v>No recomendado</v>
      </c>
      <c r="T545" t="str">
        <f>VLOOKUP(A545,AssuranceTable,2,FALSE)</f>
        <v>Extended</v>
      </c>
      <c r="U545" t="str">
        <f t="shared" si="25"/>
        <v>MY97912 Arizona</v>
      </c>
      <c r="X545" s="4">
        <f t="shared" si="26"/>
        <v>1330933.52</v>
      </c>
    </row>
    <row r="546" spans="1:24" x14ac:dyDescent="0.35">
      <c r="A546" t="s">
        <v>585</v>
      </c>
      <c r="B546" t="s">
        <v>26</v>
      </c>
      <c r="C546" t="s">
        <v>27</v>
      </c>
      <c r="D546" t="s">
        <v>31</v>
      </c>
      <c r="E546" s="5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  <c r="S546" t="str">
        <f t="shared" si="24"/>
        <v>Recomendado</v>
      </c>
      <c r="T546" t="str">
        <f>VLOOKUP(A546,AssuranceTable,2,FALSE)</f>
        <v>Premium</v>
      </c>
      <c r="U546" t="str">
        <f t="shared" si="25"/>
        <v>IB87349 California</v>
      </c>
      <c r="X546" s="4">
        <f t="shared" si="26"/>
        <v>452850.49</v>
      </c>
    </row>
    <row r="547" spans="1:24" x14ac:dyDescent="0.35">
      <c r="A547" t="s">
        <v>586</v>
      </c>
      <c r="B547" t="s">
        <v>33</v>
      </c>
      <c r="C547" t="s">
        <v>21</v>
      </c>
      <c r="D547" t="s">
        <v>31</v>
      </c>
      <c r="E547" s="5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  <c r="S547" t="str">
        <f t="shared" si="24"/>
        <v>No recomendado</v>
      </c>
      <c r="T547" t="str">
        <f>VLOOKUP(A547,AssuranceTable,2,FALSE)</f>
        <v>Basic</v>
      </c>
      <c r="U547" t="str">
        <f t="shared" si="25"/>
        <v>AW73065 Oregon</v>
      </c>
      <c r="X547" s="4">
        <f t="shared" si="26"/>
        <v>279190.65000000002</v>
      </c>
    </row>
    <row r="548" spans="1:24" x14ac:dyDescent="0.35">
      <c r="A548" t="s">
        <v>587</v>
      </c>
      <c r="B548" t="s">
        <v>3</v>
      </c>
      <c r="C548" t="s">
        <v>27</v>
      </c>
      <c r="D548" t="s">
        <v>31</v>
      </c>
      <c r="E548" s="5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  <c r="S548" t="str">
        <f t="shared" si="24"/>
        <v>Recomendado</v>
      </c>
      <c r="T548" t="str">
        <f>VLOOKUP(A548,AssuranceTable,2,FALSE)</f>
        <v>Premium</v>
      </c>
      <c r="U548" t="str">
        <f t="shared" si="25"/>
        <v>BW80872 Washington</v>
      </c>
      <c r="X548" s="4">
        <f t="shared" si="26"/>
        <v>443441.12</v>
      </c>
    </row>
    <row r="549" spans="1:24" x14ac:dyDescent="0.35">
      <c r="A549" t="s">
        <v>588</v>
      </c>
      <c r="B549" t="s">
        <v>5</v>
      </c>
      <c r="C549" t="s">
        <v>27</v>
      </c>
      <c r="D549" t="s">
        <v>35</v>
      </c>
      <c r="E549" s="5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  <c r="S549" t="str">
        <f t="shared" si="24"/>
        <v>Recomendado</v>
      </c>
      <c r="T549" t="str">
        <f>VLOOKUP(A549,AssuranceTable,2,FALSE)</f>
        <v>Extended</v>
      </c>
      <c r="U549" t="str">
        <f t="shared" si="25"/>
        <v>PX70175 Arizona</v>
      </c>
      <c r="X549" s="4">
        <f t="shared" si="26"/>
        <v>799600.75</v>
      </c>
    </row>
    <row r="550" spans="1:24" x14ac:dyDescent="0.35">
      <c r="A550" t="s">
        <v>589</v>
      </c>
      <c r="B550" t="s">
        <v>5</v>
      </c>
      <c r="C550" t="s">
        <v>27</v>
      </c>
      <c r="D550" t="s">
        <v>4</v>
      </c>
      <c r="E550" s="5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  <c r="S550" t="str">
        <f t="shared" si="24"/>
        <v>Recomendado</v>
      </c>
      <c r="T550" t="str">
        <f>VLOOKUP(A550,AssuranceTable,2,FALSE)</f>
        <v>Basic</v>
      </c>
      <c r="U550" t="str">
        <f t="shared" si="25"/>
        <v>KF75098 Arizona</v>
      </c>
      <c r="X550" s="4">
        <f t="shared" si="26"/>
        <v>512973.9</v>
      </c>
    </row>
    <row r="551" spans="1:24" x14ac:dyDescent="0.35">
      <c r="A551" t="s">
        <v>590</v>
      </c>
      <c r="B551" t="s">
        <v>26</v>
      </c>
      <c r="C551" t="s">
        <v>21</v>
      </c>
      <c r="D551" t="s">
        <v>4</v>
      </c>
      <c r="E551" s="5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  <c r="S551" t="str">
        <f t="shared" si="24"/>
        <v>Recomendado</v>
      </c>
      <c r="T551" t="str">
        <f>VLOOKUP(A551,AssuranceTable,2,FALSE)</f>
        <v>Basic</v>
      </c>
      <c r="U551" t="str">
        <f t="shared" si="25"/>
        <v>IS50283 California</v>
      </c>
      <c r="X551" s="4">
        <f t="shared" si="26"/>
        <v>569717.52</v>
      </c>
    </row>
    <row r="552" spans="1:24" x14ac:dyDescent="0.35">
      <c r="A552" t="s">
        <v>591</v>
      </c>
      <c r="B552" t="s">
        <v>33</v>
      </c>
      <c r="C552" t="s">
        <v>21</v>
      </c>
      <c r="D552" t="s">
        <v>35</v>
      </c>
      <c r="E552" s="5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  <c r="S552" t="str">
        <f t="shared" si="24"/>
        <v>Recomendado</v>
      </c>
      <c r="T552" t="str">
        <f>VLOOKUP(A552,AssuranceTable,2,FALSE)</f>
        <v>Basic</v>
      </c>
      <c r="U552" t="str">
        <f t="shared" si="25"/>
        <v>MY64920 Oregon</v>
      </c>
      <c r="X552" s="4">
        <f t="shared" si="26"/>
        <v>921713.06</v>
      </c>
    </row>
    <row r="553" spans="1:24" x14ac:dyDescent="0.35">
      <c r="A553" t="s">
        <v>592</v>
      </c>
      <c r="B553" t="s">
        <v>33</v>
      </c>
      <c r="C553" t="s">
        <v>21</v>
      </c>
      <c r="D553" t="s">
        <v>35</v>
      </c>
      <c r="E553" s="5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S553" t="str">
        <f t="shared" si="24"/>
        <v>Recomendado</v>
      </c>
      <c r="T553" t="str">
        <f>VLOOKUP(A553,AssuranceTable,2,FALSE)</f>
        <v>Extended</v>
      </c>
      <c r="U553" t="str">
        <f t="shared" si="25"/>
        <v>KN34250 Oregon</v>
      </c>
      <c r="X553" s="4">
        <f t="shared" si="26"/>
        <v>1020892.76</v>
      </c>
    </row>
    <row r="554" spans="1:24" x14ac:dyDescent="0.35">
      <c r="A554" t="s">
        <v>593</v>
      </c>
      <c r="B554" t="s">
        <v>33</v>
      </c>
      <c r="C554" t="s">
        <v>21</v>
      </c>
      <c r="D554" t="s">
        <v>2</v>
      </c>
      <c r="E554" s="5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  <c r="S554" t="str">
        <f t="shared" si="24"/>
        <v>Recomendado</v>
      </c>
      <c r="T554" t="str">
        <f>VLOOKUP(A554,AssuranceTable,2,FALSE)</f>
        <v>Basic</v>
      </c>
      <c r="U554" t="str">
        <f t="shared" si="25"/>
        <v>GN46207 Oregon</v>
      </c>
      <c r="X554" s="4">
        <f t="shared" si="26"/>
        <v>417068.73</v>
      </c>
    </row>
    <row r="555" spans="1:24" x14ac:dyDescent="0.35">
      <c r="A555" t="s">
        <v>594</v>
      </c>
      <c r="B555" t="s">
        <v>33</v>
      </c>
      <c r="C555" t="s">
        <v>21</v>
      </c>
      <c r="D555" t="s">
        <v>35</v>
      </c>
      <c r="E555" s="5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  <c r="S555" t="str">
        <f t="shared" si="24"/>
        <v>Recomendado</v>
      </c>
      <c r="T555" t="str">
        <f>VLOOKUP(A555,AssuranceTable,2,FALSE)</f>
        <v>Basic</v>
      </c>
      <c r="U555" t="str">
        <f t="shared" si="25"/>
        <v>KL57176 Oregon</v>
      </c>
      <c r="X555" s="4">
        <f t="shared" si="26"/>
        <v>450540.58</v>
      </c>
    </row>
    <row r="556" spans="1:24" x14ac:dyDescent="0.35">
      <c r="A556" t="s">
        <v>595</v>
      </c>
      <c r="B556" t="s">
        <v>26</v>
      </c>
      <c r="C556" t="s">
        <v>27</v>
      </c>
      <c r="D556" t="s">
        <v>31</v>
      </c>
      <c r="E556" s="5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  <c r="S556" t="str">
        <f t="shared" si="24"/>
        <v>No recomendado</v>
      </c>
      <c r="T556" t="str">
        <f>VLOOKUP(A556,AssuranceTable,2,FALSE)</f>
        <v>Extended</v>
      </c>
      <c r="U556" t="str">
        <f t="shared" si="25"/>
        <v>MN94234 California</v>
      </c>
      <c r="X556" s="4">
        <f t="shared" si="26"/>
        <v>310756.86</v>
      </c>
    </row>
    <row r="557" spans="1:24" x14ac:dyDescent="0.35">
      <c r="A557" t="s">
        <v>596</v>
      </c>
      <c r="B557" t="s">
        <v>5</v>
      </c>
      <c r="C557" t="s">
        <v>27</v>
      </c>
      <c r="D557" t="s">
        <v>31</v>
      </c>
      <c r="E557" s="5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  <c r="S557" t="str">
        <f t="shared" si="24"/>
        <v>Recomendado</v>
      </c>
      <c r="T557" t="str">
        <f>VLOOKUP(A557,AssuranceTable,2,FALSE)</f>
        <v>Basic</v>
      </c>
      <c r="U557" t="str">
        <f t="shared" si="25"/>
        <v>JY90595 Arizona</v>
      </c>
      <c r="X557" s="4">
        <f t="shared" si="26"/>
        <v>552866.5</v>
      </c>
    </row>
    <row r="558" spans="1:24" x14ac:dyDescent="0.35">
      <c r="A558" t="s">
        <v>597</v>
      </c>
      <c r="B558" t="s">
        <v>26</v>
      </c>
      <c r="C558" t="s">
        <v>27</v>
      </c>
      <c r="D558" t="s">
        <v>31</v>
      </c>
      <c r="E558" s="5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  <c r="S558" t="str">
        <f t="shared" si="24"/>
        <v>Recomendado</v>
      </c>
      <c r="T558" t="str">
        <f>VLOOKUP(A558,AssuranceTable,2,FALSE)</f>
        <v>Basic</v>
      </c>
      <c r="U558" t="str">
        <f t="shared" si="25"/>
        <v>HK26543 California</v>
      </c>
      <c r="X558" s="4">
        <f t="shared" si="26"/>
        <v>504586.67</v>
      </c>
    </row>
    <row r="559" spans="1:24" x14ac:dyDescent="0.35">
      <c r="A559" t="s">
        <v>598</v>
      </c>
      <c r="B559" t="s">
        <v>26</v>
      </c>
      <c r="C559" t="s">
        <v>27</v>
      </c>
      <c r="D559" t="s">
        <v>31</v>
      </c>
      <c r="E559" s="5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  <c r="S559" t="str">
        <f t="shared" si="24"/>
        <v>Recomendado</v>
      </c>
      <c r="T559" t="str">
        <f>VLOOKUP(A559,AssuranceTable,2,FALSE)</f>
        <v>Extended</v>
      </c>
      <c r="U559" t="str">
        <f t="shared" si="25"/>
        <v>PN86062 California</v>
      </c>
      <c r="X559" s="4">
        <f t="shared" si="26"/>
        <v>296272.25</v>
      </c>
    </row>
    <row r="560" spans="1:24" x14ac:dyDescent="0.35">
      <c r="A560" t="s">
        <v>599</v>
      </c>
      <c r="B560" t="s">
        <v>26</v>
      </c>
      <c r="C560" t="s">
        <v>21</v>
      </c>
      <c r="D560" t="s">
        <v>2</v>
      </c>
      <c r="E560" s="5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S560" t="str">
        <f t="shared" si="24"/>
        <v>Recomendado</v>
      </c>
      <c r="T560" t="str">
        <f>VLOOKUP(A560,AssuranceTable,2,FALSE)</f>
        <v>Basic</v>
      </c>
      <c r="U560" t="str">
        <f t="shared" si="25"/>
        <v>VW27730 California</v>
      </c>
      <c r="X560" s="4">
        <f t="shared" si="26"/>
        <v>866595.64</v>
      </c>
    </row>
    <row r="561" spans="1:24" x14ac:dyDescent="0.35">
      <c r="A561" t="s">
        <v>600</v>
      </c>
      <c r="B561" t="s">
        <v>5</v>
      </c>
      <c r="C561" t="s">
        <v>21</v>
      </c>
      <c r="D561" t="s">
        <v>35</v>
      </c>
      <c r="E561" s="5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  <c r="S561" t="str">
        <f t="shared" si="24"/>
        <v>No recomendado</v>
      </c>
      <c r="T561" t="str">
        <f>VLOOKUP(A561,AssuranceTable,2,FALSE)</f>
        <v>Premium</v>
      </c>
      <c r="U561" t="str">
        <f t="shared" si="25"/>
        <v>SH55671 Arizona</v>
      </c>
      <c r="X561" s="4">
        <f t="shared" si="26"/>
        <v>1141344.1200000001</v>
      </c>
    </row>
    <row r="562" spans="1:24" x14ac:dyDescent="0.35">
      <c r="A562" t="s">
        <v>601</v>
      </c>
      <c r="B562" t="s">
        <v>26</v>
      </c>
      <c r="C562" t="s">
        <v>27</v>
      </c>
      <c r="D562" t="s">
        <v>4</v>
      </c>
      <c r="E562" s="5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S562" t="str">
        <f t="shared" si="24"/>
        <v>Recomendado</v>
      </c>
      <c r="T562" t="str">
        <f>VLOOKUP(A562,AssuranceTable,2,FALSE)</f>
        <v>Basic</v>
      </c>
      <c r="U562" t="str">
        <f t="shared" si="25"/>
        <v>MO56878 California</v>
      </c>
      <c r="X562" s="4">
        <f t="shared" si="26"/>
        <v>1548843.2</v>
      </c>
    </row>
    <row r="563" spans="1:24" x14ac:dyDescent="0.35">
      <c r="A563" t="s">
        <v>602</v>
      </c>
      <c r="B563" t="s">
        <v>3</v>
      </c>
      <c r="C563" t="s">
        <v>21</v>
      </c>
      <c r="D563" t="s">
        <v>35</v>
      </c>
      <c r="E563" s="5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S563" t="str">
        <f t="shared" si="24"/>
        <v>Recomendado</v>
      </c>
      <c r="T563" t="str">
        <f>VLOOKUP(A563,AssuranceTable,2,FALSE)</f>
        <v>Basic</v>
      </c>
      <c r="U563" t="str">
        <f t="shared" si="25"/>
        <v>VO38365 Washington</v>
      </c>
      <c r="X563" s="4">
        <f t="shared" si="26"/>
        <v>886114.95</v>
      </c>
    </row>
    <row r="564" spans="1:24" x14ac:dyDescent="0.35">
      <c r="A564" t="s">
        <v>603</v>
      </c>
      <c r="B564" t="s">
        <v>33</v>
      </c>
      <c r="C564" t="s">
        <v>21</v>
      </c>
      <c r="D564" t="s">
        <v>4</v>
      </c>
      <c r="E564" s="5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  <c r="S564" t="str">
        <f t="shared" si="24"/>
        <v>Recomendado</v>
      </c>
      <c r="T564" t="str">
        <f>VLOOKUP(A564,AssuranceTable,2,FALSE)</f>
        <v>Premium</v>
      </c>
      <c r="U564" t="str">
        <f t="shared" si="25"/>
        <v>SV35618 Oregon</v>
      </c>
      <c r="X564" s="4">
        <f t="shared" si="26"/>
        <v>593474.15</v>
      </c>
    </row>
    <row r="565" spans="1:24" x14ac:dyDescent="0.35">
      <c r="A565" t="s">
        <v>604</v>
      </c>
      <c r="B565" t="s">
        <v>23</v>
      </c>
      <c r="C565" t="s">
        <v>27</v>
      </c>
      <c r="D565" t="s">
        <v>35</v>
      </c>
      <c r="E565" s="5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  <c r="S565" t="str">
        <f t="shared" si="24"/>
        <v>Recomendado</v>
      </c>
      <c r="T565" t="str">
        <f>VLOOKUP(A565,AssuranceTable,2,FALSE)</f>
        <v>Extended</v>
      </c>
      <c r="U565" t="str">
        <f t="shared" si="25"/>
        <v>RX12347 Nevada</v>
      </c>
      <c r="X565" s="4">
        <f t="shared" si="26"/>
        <v>354323.21</v>
      </c>
    </row>
    <row r="566" spans="1:24" x14ac:dyDescent="0.35">
      <c r="A566" t="s">
        <v>605</v>
      </c>
      <c r="B566" t="s">
        <v>26</v>
      </c>
      <c r="C566" t="s">
        <v>27</v>
      </c>
      <c r="D566" t="s">
        <v>2</v>
      </c>
      <c r="E566" s="5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  <c r="S566" t="str">
        <f t="shared" si="24"/>
        <v>Recomendado</v>
      </c>
      <c r="T566" t="str">
        <f>VLOOKUP(A566,AssuranceTable,2,FALSE)</f>
        <v>Extended</v>
      </c>
      <c r="U566" t="str">
        <f t="shared" si="25"/>
        <v>FR55658 California</v>
      </c>
      <c r="X566" s="4">
        <f t="shared" si="26"/>
        <v>349002.83</v>
      </c>
    </row>
    <row r="567" spans="1:24" x14ac:dyDescent="0.35">
      <c r="A567" t="s">
        <v>606</v>
      </c>
      <c r="B567" t="s">
        <v>26</v>
      </c>
      <c r="C567" t="s">
        <v>21</v>
      </c>
      <c r="D567" t="s">
        <v>35</v>
      </c>
      <c r="E567" s="5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S567" t="str">
        <f t="shared" si="24"/>
        <v>No recomendado</v>
      </c>
      <c r="T567" t="str">
        <f>VLOOKUP(A567,AssuranceTable,2,FALSE)</f>
        <v>Basic</v>
      </c>
      <c r="U567" t="str">
        <f t="shared" si="25"/>
        <v>XS12556 California</v>
      </c>
      <c r="X567" s="4">
        <f t="shared" si="26"/>
        <v>368309.99</v>
      </c>
    </row>
    <row r="568" spans="1:24" x14ac:dyDescent="0.35">
      <c r="A568" t="s">
        <v>607</v>
      </c>
      <c r="B568" t="s">
        <v>26</v>
      </c>
      <c r="C568" t="s">
        <v>27</v>
      </c>
      <c r="D568" t="s">
        <v>35</v>
      </c>
      <c r="E568" s="5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  <c r="S568" t="str">
        <f t="shared" si="24"/>
        <v>Recomendado</v>
      </c>
      <c r="T568" t="str">
        <f>VLOOKUP(A568,AssuranceTable,2,FALSE)</f>
        <v>Premium</v>
      </c>
      <c r="U568" t="str">
        <f t="shared" si="25"/>
        <v>ZU73588 California</v>
      </c>
      <c r="X568" s="4">
        <f t="shared" si="26"/>
        <v>598977.39</v>
      </c>
    </row>
    <row r="569" spans="1:24" x14ac:dyDescent="0.35">
      <c r="A569" t="s">
        <v>608</v>
      </c>
      <c r="B569" t="s">
        <v>26</v>
      </c>
      <c r="C569" t="s">
        <v>21</v>
      </c>
      <c r="D569" t="s">
        <v>31</v>
      </c>
      <c r="E569" s="5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  <c r="S569" t="str">
        <f t="shared" si="24"/>
        <v>No recomendado</v>
      </c>
      <c r="T569" t="str">
        <f>VLOOKUP(A569,AssuranceTable,2,FALSE)</f>
        <v>Premium</v>
      </c>
      <c r="U569" t="str">
        <f t="shared" si="25"/>
        <v>WT43034 California</v>
      </c>
      <c r="X569" s="4">
        <f t="shared" si="26"/>
        <v>1250084.3</v>
      </c>
    </row>
    <row r="570" spans="1:24" x14ac:dyDescent="0.35">
      <c r="A570" t="s">
        <v>609</v>
      </c>
      <c r="B570" t="s">
        <v>33</v>
      </c>
      <c r="C570" t="s">
        <v>21</v>
      </c>
      <c r="D570" t="s">
        <v>4</v>
      </c>
      <c r="E570" s="5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S570" t="str">
        <f t="shared" si="24"/>
        <v>Recomendado</v>
      </c>
      <c r="T570" t="str">
        <f>VLOOKUP(A570,AssuranceTable,2,FALSE)</f>
        <v>Basic</v>
      </c>
      <c r="U570" t="str">
        <f t="shared" si="25"/>
        <v>VM13430 Oregon</v>
      </c>
      <c r="X570" s="4">
        <f t="shared" si="26"/>
        <v>860915.82</v>
      </c>
    </row>
    <row r="571" spans="1:24" x14ac:dyDescent="0.35">
      <c r="A571" t="s">
        <v>610</v>
      </c>
      <c r="B571" t="s">
        <v>33</v>
      </c>
      <c r="C571" t="s">
        <v>27</v>
      </c>
      <c r="D571" t="s">
        <v>4</v>
      </c>
      <c r="E571" s="5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  <c r="S571" t="str">
        <f t="shared" si="24"/>
        <v>Recomendado</v>
      </c>
      <c r="T571" t="str">
        <f>VLOOKUP(A571,AssuranceTable,2,FALSE)</f>
        <v>Basic</v>
      </c>
      <c r="U571" t="str">
        <f t="shared" si="25"/>
        <v>TC78849 Oregon</v>
      </c>
      <c r="X571" s="4">
        <f t="shared" si="26"/>
        <v>249745.51</v>
      </c>
    </row>
    <row r="572" spans="1:24" x14ac:dyDescent="0.35">
      <c r="A572" t="s">
        <v>611</v>
      </c>
      <c r="B572" t="s">
        <v>26</v>
      </c>
      <c r="C572" t="s">
        <v>27</v>
      </c>
      <c r="D572" t="s">
        <v>35</v>
      </c>
      <c r="E572" s="5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  <c r="S572" t="str">
        <f t="shared" si="24"/>
        <v>Recomendado</v>
      </c>
      <c r="T572" t="str">
        <f>VLOOKUP(A572,AssuranceTable,2,FALSE)</f>
        <v>Basic</v>
      </c>
      <c r="U572" t="str">
        <f t="shared" si="25"/>
        <v>VC34764 California</v>
      </c>
      <c r="X572" s="4">
        <f t="shared" si="26"/>
        <v>701917.72</v>
      </c>
    </row>
    <row r="573" spans="1:24" x14ac:dyDescent="0.35">
      <c r="A573" t="s">
        <v>612</v>
      </c>
      <c r="B573" t="s">
        <v>33</v>
      </c>
      <c r="C573" t="s">
        <v>21</v>
      </c>
      <c r="D573" t="s">
        <v>35</v>
      </c>
      <c r="E573" s="5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  <c r="S573" t="str">
        <f t="shared" si="24"/>
        <v>Recomendado</v>
      </c>
      <c r="T573" t="str">
        <f>VLOOKUP(A573,AssuranceTable,2,FALSE)</f>
        <v>Basic</v>
      </c>
      <c r="U573" t="str">
        <f t="shared" si="25"/>
        <v>WO90953 Oregon</v>
      </c>
      <c r="X573" s="4">
        <f t="shared" si="26"/>
        <v>538792.63</v>
      </c>
    </row>
    <row r="574" spans="1:24" x14ac:dyDescent="0.35">
      <c r="A574" t="s">
        <v>613</v>
      </c>
      <c r="B574" t="s">
        <v>33</v>
      </c>
      <c r="C574" t="s">
        <v>21</v>
      </c>
      <c r="D574" t="s">
        <v>4</v>
      </c>
      <c r="E574" s="5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S574" t="str">
        <f t="shared" si="24"/>
        <v>No recomendado</v>
      </c>
      <c r="T574" t="str">
        <f>VLOOKUP(A574,AssuranceTable,2,FALSE)</f>
        <v>Extended</v>
      </c>
      <c r="U574" t="str">
        <f t="shared" si="25"/>
        <v>IU47468 Oregon</v>
      </c>
      <c r="X574" s="4">
        <f t="shared" si="26"/>
        <v>616555.75</v>
      </c>
    </row>
    <row r="575" spans="1:24" x14ac:dyDescent="0.35">
      <c r="A575" t="s">
        <v>614</v>
      </c>
      <c r="B575" t="s">
        <v>26</v>
      </c>
      <c r="C575" t="s">
        <v>27</v>
      </c>
      <c r="D575" t="s">
        <v>4</v>
      </c>
      <c r="E575" s="5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  <c r="S575" t="str">
        <f t="shared" si="24"/>
        <v>Recomendado</v>
      </c>
      <c r="T575" t="str">
        <f>VLOOKUP(A575,AssuranceTable,2,FALSE)</f>
        <v>Basic</v>
      </c>
      <c r="U575" t="str">
        <f t="shared" si="25"/>
        <v>KO46064 California</v>
      </c>
      <c r="X575" s="4">
        <f t="shared" si="26"/>
        <v>273020.28999999998</v>
      </c>
    </row>
    <row r="576" spans="1:24" x14ac:dyDescent="0.35">
      <c r="A576" t="s">
        <v>615</v>
      </c>
      <c r="B576" t="s">
        <v>5</v>
      </c>
      <c r="C576" t="s">
        <v>21</v>
      </c>
      <c r="D576" t="s">
        <v>4</v>
      </c>
      <c r="E576" s="5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  <c r="S576" t="str">
        <f t="shared" si="24"/>
        <v>No recomendado</v>
      </c>
      <c r="T576" t="str">
        <f>VLOOKUP(A576,AssuranceTable,2,FALSE)</f>
        <v>Basic</v>
      </c>
      <c r="U576" t="str">
        <f t="shared" si="25"/>
        <v>RB34917 Arizona</v>
      </c>
      <c r="X576" s="4">
        <f t="shared" si="26"/>
        <v>516211.69</v>
      </c>
    </row>
    <row r="577" spans="1:24" x14ac:dyDescent="0.35">
      <c r="A577" t="s">
        <v>616</v>
      </c>
      <c r="B577" t="s">
        <v>33</v>
      </c>
      <c r="C577" t="s">
        <v>21</v>
      </c>
      <c r="D577" t="s">
        <v>31</v>
      </c>
      <c r="E577" s="5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  <c r="S577" t="str">
        <f t="shared" si="24"/>
        <v>Recomendado</v>
      </c>
      <c r="T577" t="str">
        <f>VLOOKUP(A577,AssuranceTable,2,FALSE)</f>
        <v>Basic</v>
      </c>
      <c r="U577" t="str">
        <f t="shared" si="25"/>
        <v>BI38192 Oregon</v>
      </c>
      <c r="X577" s="4">
        <f t="shared" si="26"/>
        <v>793706.48</v>
      </c>
    </row>
    <row r="578" spans="1:24" x14ac:dyDescent="0.35">
      <c r="A578" t="s">
        <v>617</v>
      </c>
      <c r="B578" t="s">
        <v>33</v>
      </c>
      <c r="C578" t="s">
        <v>21</v>
      </c>
      <c r="D578" t="s">
        <v>31</v>
      </c>
      <c r="E578" s="5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  <c r="S578" t="str">
        <f t="shared" si="24"/>
        <v>Recomendado</v>
      </c>
      <c r="T578" t="str">
        <f>VLOOKUP(A578,AssuranceTable,2,FALSE)</f>
        <v>Basic</v>
      </c>
      <c r="U578" t="str">
        <f t="shared" si="25"/>
        <v>PU18983 Oregon</v>
      </c>
      <c r="X578" s="4">
        <f t="shared" si="26"/>
        <v>860815.72</v>
      </c>
    </row>
    <row r="579" spans="1:24" x14ac:dyDescent="0.35">
      <c r="A579" t="s">
        <v>618</v>
      </c>
      <c r="B579" t="s">
        <v>33</v>
      </c>
      <c r="C579" t="s">
        <v>27</v>
      </c>
      <c r="D579" t="s">
        <v>4</v>
      </c>
      <c r="E579" s="5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  <c r="S579" t="str">
        <f t="shared" ref="S579:S642" si="27">IF(F579&gt;3000,"Recomendado","No recomendado")</f>
        <v>Recomendado</v>
      </c>
      <c r="T579" t="str">
        <f>VLOOKUP(A579,AssuranceTable,2,FALSE)</f>
        <v>Basic</v>
      </c>
      <c r="U579" t="str">
        <f t="shared" ref="U579:U642" si="28">_xlfn.CONCAT(A579, " ",B579)</f>
        <v>SW79912 Oregon</v>
      </c>
      <c r="X579" s="4">
        <f t="shared" ref="X579:X642" si="29">ROUND(E579,3)</f>
        <v>263254.58</v>
      </c>
    </row>
    <row r="580" spans="1:24" x14ac:dyDescent="0.35">
      <c r="A580" t="s">
        <v>619</v>
      </c>
      <c r="B580" t="s">
        <v>33</v>
      </c>
      <c r="C580" t="s">
        <v>21</v>
      </c>
      <c r="D580" t="s">
        <v>4</v>
      </c>
      <c r="E580" s="5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  <c r="S580" t="str">
        <f t="shared" si="27"/>
        <v>Recomendado</v>
      </c>
      <c r="T580" t="str">
        <f>VLOOKUP(A580,AssuranceTable,2,FALSE)</f>
        <v>Extended</v>
      </c>
      <c r="U580" t="str">
        <f t="shared" si="28"/>
        <v>ES39217 Oregon</v>
      </c>
      <c r="X580" s="4">
        <f t="shared" si="29"/>
        <v>778500.42</v>
      </c>
    </row>
    <row r="581" spans="1:24" x14ac:dyDescent="0.35">
      <c r="A581" t="s">
        <v>620</v>
      </c>
      <c r="B581" t="s">
        <v>3</v>
      </c>
      <c r="C581" t="s">
        <v>27</v>
      </c>
      <c r="D581" t="s">
        <v>31</v>
      </c>
      <c r="E581" s="5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  <c r="S581" t="str">
        <f t="shared" si="27"/>
        <v>Recomendado</v>
      </c>
      <c r="T581" t="str">
        <f>VLOOKUP(A581,AssuranceTable,2,FALSE)</f>
        <v>Basic</v>
      </c>
      <c r="U581" t="str">
        <f t="shared" si="28"/>
        <v>KP72427 Washington</v>
      </c>
      <c r="X581" s="4">
        <f t="shared" si="29"/>
        <v>2163983.86</v>
      </c>
    </row>
    <row r="582" spans="1:24" x14ac:dyDescent="0.35">
      <c r="A582" t="s">
        <v>621</v>
      </c>
      <c r="B582" t="s">
        <v>33</v>
      </c>
      <c r="C582" t="s">
        <v>21</v>
      </c>
      <c r="D582" t="s">
        <v>2</v>
      </c>
      <c r="E582" s="5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  <c r="S582" t="str">
        <f t="shared" si="27"/>
        <v>Recomendado</v>
      </c>
      <c r="T582" t="str">
        <f>VLOOKUP(A582,AssuranceTable,2,FALSE)</f>
        <v>Basic</v>
      </c>
      <c r="U582" t="str">
        <f t="shared" si="28"/>
        <v>UA19178 Oregon</v>
      </c>
      <c r="X582" s="4">
        <f t="shared" si="29"/>
        <v>498082.5</v>
      </c>
    </row>
    <row r="583" spans="1:24" x14ac:dyDescent="0.35">
      <c r="A583" t="s">
        <v>622</v>
      </c>
      <c r="B583" t="s">
        <v>5</v>
      </c>
      <c r="C583" t="s">
        <v>21</v>
      </c>
      <c r="D583" t="s">
        <v>31</v>
      </c>
      <c r="E583" s="5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  <c r="S583" t="str">
        <f t="shared" si="27"/>
        <v>No recomendado</v>
      </c>
      <c r="T583" t="str">
        <f>VLOOKUP(A583,AssuranceTable,2,FALSE)</f>
        <v>Basic</v>
      </c>
      <c r="U583" t="str">
        <f t="shared" si="28"/>
        <v>PR53785 Arizona</v>
      </c>
      <c r="X583" s="4">
        <f t="shared" si="29"/>
        <v>745723.78</v>
      </c>
    </row>
    <row r="584" spans="1:24" x14ac:dyDescent="0.35">
      <c r="A584" t="s">
        <v>623</v>
      </c>
      <c r="B584" t="s">
        <v>3</v>
      </c>
      <c r="C584" t="s">
        <v>27</v>
      </c>
      <c r="D584" t="s">
        <v>2</v>
      </c>
      <c r="E584" s="5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  <c r="S584" t="str">
        <f t="shared" si="27"/>
        <v>Recomendado</v>
      </c>
      <c r="T584" t="str">
        <f>VLOOKUP(A584,AssuranceTable,2,FALSE)</f>
        <v>Extended</v>
      </c>
      <c r="U584" t="str">
        <f t="shared" si="28"/>
        <v>XF57481 Washington</v>
      </c>
      <c r="X584" s="4">
        <f t="shared" si="29"/>
        <v>1064093.93</v>
      </c>
    </row>
    <row r="585" spans="1:24" x14ac:dyDescent="0.35">
      <c r="A585" t="s">
        <v>624</v>
      </c>
      <c r="B585" t="s">
        <v>26</v>
      </c>
      <c r="C585" t="s">
        <v>21</v>
      </c>
      <c r="D585" t="s">
        <v>31</v>
      </c>
      <c r="E585" s="5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  <c r="S585" t="str">
        <f t="shared" si="27"/>
        <v>Recomendado</v>
      </c>
      <c r="T585" t="str">
        <f>VLOOKUP(A585,AssuranceTable,2,FALSE)</f>
        <v>Extended</v>
      </c>
      <c r="U585" t="str">
        <f t="shared" si="28"/>
        <v>CN90378 California</v>
      </c>
      <c r="X585" s="4">
        <f t="shared" si="29"/>
        <v>686250.83</v>
      </c>
    </row>
    <row r="586" spans="1:24" x14ac:dyDescent="0.35">
      <c r="A586" t="s">
        <v>625</v>
      </c>
      <c r="B586" t="s">
        <v>23</v>
      </c>
      <c r="C586" t="s">
        <v>27</v>
      </c>
      <c r="D586" t="s">
        <v>31</v>
      </c>
      <c r="E586" s="5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  <c r="S586" t="str">
        <f t="shared" si="27"/>
        <v>No recomendado</v>
      </c>
      <c r="T586" t="str">
        <f>VLOOKUP(A586,AssuranceTable,2,FALSE)</f>
        <v>Basic</v>
      </c>
      <c r="U586" t="str">
        <f t="shared" si="28"/>
        <v>KI56154 Nevada</v>
      </c>
      <c r="X586" s="4">
        <f t="shared" si="29"/>
        <v>904898.34</v>
      </c>
    </row>
    <row r="587" spans="1:24" x14ac:dyDescent="0.35">
      <c r="A587" t="s">
        <v>626</v>
      </c>
      <c r="B587" t="s">
        <v>26</v>
      </c>
      <c r="C587" t="s">
        <v>27</v>
      </c>
      <c r="D587" t="s">
        <v>4</v>
      </c>
      <c r="E587" s="5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  <c r="S587" t="str">
        <f t="shared" si="27"/>
        <v>Recomendado</v>
      </c>
      <c r="T587" t="str">
        <f>VLOOKUP(A587,AssuranceTable,2,FALSE)</f>
        <v>Basic</v>
      </c>
      <c r="U587" t="str">
        <f t="shared" si="28"/>
        <v>UI55951 California</v>
      </c>
      <c r="X587" s="4">
        <f t="shared" si="29"/>
        <v>554803.18999999994</v>
      </c>
    </row>
    <row r="588" spans="1:24" x14ac:dyDescent="0.35">
      <c r="A588" t="s">
        <v>627</v>
      </c>
      <c r="B588" t="s">
        <v>33</v>
      </c>
      <c r="C588" t="s">
        <v>27</v>
      </c>
      <c r="D588" t="s">
        <v>4</v>
      </c>
      <c r="E588" s="5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  <c r="S588" t="str">
        <f t="shared" si="27"/>
        <v>Recomendado</v>
      </c>
      <c r="T588" t="str">
        <f>VLOOKUP(A588,AssuranceTable,2,FALSE)</f>
        <v>Basic</v>
      </c>
      <c r="U588" t="str">
        <f t="shared" si="28"/>
        <v>FF28650 Oregon</v>
      </c>
      <c r="X588" s="4">
        <f t="shared" si="29"/>
        <v>831268.16</v>
      </c>
    </row>
    <row r="589" spans="1:24" x14ac:dyDescent="0.35">
      <c r="A589" t="s">
        <v>628</v>
      </c>
      <c r="B589" t="s">
        <v>26</v>
      </c>
      <c r="C589" t="s">
        <v>27</v>
      </c>
      <c r="D589" t="s">
        <v>4</v>
      </c>
      <c r="E589" s="5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  <c r="S589" t="str">
        <f t="shared" si="27"/>
        <v>Recomendado</v>
      </c>
      <c r="T589" t="str">
        <f>VLOOKUP(A589,AssuranceTable,2,FALSE)</f>
        <v>Basic</v>
      </c>
      <c r="U589" t="str">
        <f t="shared" si="28"/>
        <v>FS55302 California</v>
      </c>
      <c r="X589" s="4">
        <f t="shared" si="29"/>
        <v>238998.1</v>
      </c>
    </row>
    <row r="590" spans="1:24" x14ac:dyDescent="0.35">
      <c r="A590" t="s">
        <v>629</v>
      </c>
      <c r="B590" t="s">
        <v>26</v>
      </c>
      <c r="C590" t="s">
        <v>27</v>
      </c>
      <c r="D590" t="s">
        <v>4</v>
      </c>
      <c r="E590" s="5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  <c r="S590" t="str">
        <f t="shared" si="27"/>
        <v>Recomendado</v>
      </c>
      <c r="T590" t="str">
        <f>VLOOKUP(A590,AssuranceTable,2,FALSE)</f>
        <v>Basic</v>
      </c>
      <c r="U590" t="str">
        <f t="shared" si="28"/>
        <v>TN79487 California</v>
      </c>
      <c r="X590" s="4">
        <f t="shared" si="29"/>
        <v>445811.34</v>
      </c>
    </row>
    <row r="591" spans="1:24" x14ac:dyDescent="0.35">
      <c r="A591" t="s">
        <v>630</v>
      </c>
      <c r="B591" t="s">
        <v>23</v>
      </c>
      <c r="C591" t="s">
        <v>27</v>
      </c>
      <c r="D591" t="s">
        <v>31</v>
      </c>
      <c r="E591" s="5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  <c r="S591" t="str">
        <f t="shared" si="27"/>
        <v>Recomendado</v>
      </c>
      <c r="T591" t="str">
        <f>VLOOKUP(A591,AssuranceTable,2,FALSE)</f>
        <v>Extended</v>
      </c>
      <c r="U591" t="str">
        <f t="shared" si="28"/>
        <v>HG32616 Nevada</v>
      </c>
      <c r="X591" s="4">
        <f t="shared" si="29"/>
        <v>529574.17000000004</v>
      </c>
    </row>
    <row r="592" spans="1:24" x14ac:dyDescent="0.35">
      <c r="A592" t="s">
        <v>631</v>
      </c>
      <c r="B592" t="s">
        <v>5</v>
      </c>
      <c r="C592" t="s">
        <v>21</v>
      </c>
      <c r="D592" t="s">
        <v>80</v>
      </c>
      <c r="E592" s="5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  <c r="S592" t="str">
        <f t="shared" si="27"/>
        <v>No recomendado</v>
      </c>
      <c r="T592" t="str">
        <f>VLOOKUP(A592,AssuranceTable,2,FALSE)</f>
        <v>Basic</v>
      </c>
      <c r="U592" t="str">
        <f t="shared" si="28"/>
        <v>UK41984 Arizona</v>
      </c>
      <c r="X592" s="4">
        <f t="shared" si="29"/>
        <v>383960.61</v>
      </c>
    </row>
    <row r="593" spans="1:24" x14ac:dyDescent="0.35">
      <c r="A593" t="s">
        <v>632</v>
      </c>
      <c r="B593" t="s">
        <v>26</v>
      </c>
      <c r="C593" t="s">
        <v>21</v>
      </c>
      <c r="D593" t="s">
        <v>31</v>
      </c>
      <c r="E593" s="5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  <c r="S593" t="str">
        <f t="shared" si="27"/>
        <v>No recomendado</v>
      </c>
      <c r="T593" t="str">
        <f>VLOOKUP(A593,AssuranceTable,2,FALSE)</f>
        <v>Extended</v>
      </c>
      <c r="U593" t="str">
        <f t="shared" si="28"/>
        <v>LZ52266 California</v>
      </c>
      <c r="X593" s="4">
        <f t="shared" si="29"/>
        <v>373150.46</v>
      </c>
    </row>
    <row r="594" spans="1:24" x14ac:dyDescent="0.35">
      <c r="A594" t="s">
        <v>633</v>
      </c>
      <c r="B594" t="s">
        <v>26</v>
      </c>
      <c r="C594" t="s">
        <v>21</v>
      </c>
      <c r="D594" t="s">
        <v>2</v>
      </c>
      <c r="E594" s="5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S594" t="str">
        <f t="shared" si="27"/>
        <v>Recomendado</v>
      </c>
      <c r="T594" t="str">
        <f>VLOOKUP(A594,AssuranceTable,2,FALSE)</f>
        <v>Basic</v>
      </c>
      <c r="U594" t="str">
        <f t="shared" si="28"/>
        <v>PM27367 California</v>
      </c>
      <c r="X594" s="4">
        <f t="shared" si="29"/>
        <v>277890.37</v>
      </c>
    </row>
    <row r="595" spans="1:24" x14ac:dyDescent="0.35">
      <c r="A595" t="s">
        <v>634</v>
      </c>
      <c r="B595" t="s">
        <v>33</v>
      </c>
      <c r="C595" t="s">
        <v>21</v>
      </c>
      <c r="D595" t="s">
        <v>31</v>
      </c>
      <c r="E595" s="5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  <c r="S595" t="str">
        <f t="shared" si="27"/>
        <v>No recomendado</v>
      </c>
      <c r="T595" t="str">
        <f>VLOOKUP(A595,AssuranceTable,2,FALSE)</f>
        <v>Basic</v>
      </c>
      <c r="U595" t="str">
        <f t="shared" si="28"/>
        <v>ZK21724 Oregon</v>
      </c>
      <c r="X595" s="4">
        <f t="shared" si="29"/>
        <v>401654.2</v>
      </c>
    </row>
    <row r="596" spans="1:24" x14ac:dyDescent="0.35">
      <c r="A596" t="s">
        <v>635</v>
      </c>
      <c r="B596" t="s">
        <v>3</v>
      </c>
      <c r="C596" t="s">
        <v>27</v>
      </c>
      <c r="D596" t="s">
        <v>80</v>
      </c>
      <c r="E596" s="5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S596" t="str">
        <f t="shared" si="27"/>
        <v>Recomendado</v>
      </c>
      <c r="T596" t="str">
        <f>VLOOKUP(A596,AssuranceTable,2,FALSE)</f>
        <v>Basic</v>
      </c>
      <c r="U596" t="str">
        <f t="shared" si="28"/>
        <v>BH35482 Washington</v>
      </c>
      <c r="X596" s="4">
        <f t="shared" si="29"/>
        <v>493094.93</v>
      </c>
    </row>
    <row r="597" spans="1:24" x14ac:dyDescent="0.35">
      <c r="A597" t="s">
        <v>636</v>
      </c>
      <c r="B597" t="s">
        <v>23</v>
      </c>
      <c r="C597" t="s">
        <v>27</v>
      </c>
      <c r="D597" t="s">
        <v>80</v>
      </c>
      <c r="E597" s="5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  <c r="S597" t="str">
        <f t="shared" si="27"/>
        <v>Recomendado</v>
      </c>
      <c r="T597" t="str">
        <f>VLOOKUP(A597,AssuranceTable,2,FALSE)</f>
        <v>Basic</v>
      </c>
      <c r="U597" t="str">
        <f t="shared" si="28"/>
        <v>QE22757 Nevada</v>
      </c>
      <c r="X597" s="4">
        <f t="shared" si="29"/>
        <v>249131.7</v>
      </c>
    </row>
    <row r="598" spans="1:24" x14ac:dyDescent="0.35">
      <c r="A598" t="s">
        <v>637</v>
      </c>
      <c r="B598" t="s">
        <v>33</v>
      </c>
      <c r="C598" t="s">
        <v>21</v>
      </c>
      <c r="D598" t="s">
        <v>35</v>
      </c>
      <c r="E598" s="5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  <c r="S598" t="str">
        <f t="shared" si="27"/>
        <v>Recomendado</v>
      </c>
      <c r="T598" t="str">
        <f>VLOOKUP(A598,AssuranceTable,2,FALSE)</f>
        <v>Basic</v>
      </c>
      <c r="U598" t="str">
        <f t="shared" si="28"/>
        <v>ON77649 Oregon</v>
      </c>
      <c r="X598" s="4">
        <f t="shared" si="29"/>
        <v>290887.59000000003</v>
      </c>
    </row>
    <row r="599" spans="1:24" x14ac:dyDescent="0.35">
      <c r="A599" t="s">
        <v>638</v>
      </c>
      <c r="B599" t="s">
        <v>5</v>
      </c>
      <c r="C599" t="s">
        <v>21</v>
      </c>
      <c r="D599" t="s">
        <v>35</v>
      </c>
      <c r="E599" s="5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  <c r="S599" t="str">
        <f t="shared" si="27"/>
        <v>Recomendado</v>
      </c>
      <c r="T599" t="str">
        <f>VLOOKUP(A599,AssuranceTable,2,FALSE)</f>
        <v>Basic</v>
      </c>
      <c r="U599" t="str">
        <f t="shared" si="28"/>
        <v>RN82884 Arizona</v>
      </c>
      <c r="X599" s="4">
        <f t="shared" si="29"/>
        <v>428294.8</v>
      </c>
    </row>
    <row r="600" spans="1:24" x14ac:dyDescent="0.35">
      <c r="A600" t="s">
        <v>639</v>
      </c>
      <c r="B600" t="s">
        <v>33</v>
      </c>
      <c r="C600" t="s">
        <v>27</v>
      </c>
      <c r="D600" t="s">
        <v>35</v>
      </c>
      <c r="E600" s="5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  <c r="S600" t="str">
        <f t="shared" si="27"/>
        <v>No recomendado</v>
      </c>
      <c r="T600" t="str">
        <f>VLOOKUP(A600,AssuranceTable,2,FALSE)</f>
        <v>Premium</v>
      </c>
      <c r="U600" t="str">
        <f t="shared" si="28"/>
        <v>CQ75652 Oregon</v>
      </c>
      <c r="X600" s="4">
        <f t="shared" si="29"/>
        <v>834162.37</v>
      </c>
    </row>
    <row r="601" spans="1:24" x14ac:dyDescent="0.35">
      <c r="A601" t="s">
        <v>640</v>
      </c>
      <c r="B601" t="s">
        <v>5</v>
      </c>
      <c r="C601" t="s">
        <v>21</v>
      </c>
      <c r="D601" t="s">
        <v>2</v>
      </c>
      <c r="E601" s="5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  <c r="S601" t="str">
        <f t="shared" si="27"/>
        <v>Recomendado</v>
      </c>
      <c r="T601" t="str">
        <f>VLOOKUP(A601,AssuranceTable,2,FALSE)</f>
        <v>Basic</v>
      </c>
      <c r="U601" t="str">
        <f t="shared" si="28"/>
        <v>FF58467 Arizona</v>
      </c>
      <c r="X601" s="4">
        <f t="shared" si="29"/>
        <v>509078.13</v>
      </c>
    </row>
    <row r="602" spans="1:24" x14ac:dyDescent="0.35">
      <c r="A602" t="s">
        <v>641</v>
      </c>
      <c r="B602" t="s">
        <v>33</v>
      </c>
      <c r="C602" t="s">
        <v>27</v>
      </c>
      <c r="D602" t="s">
        <v>4</v>
      </c>
      <c r="E602" s="5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  <c r="S602" t="str">
        <f t="shared" si="27"/>
        <v>Recomendado</v>
      </c>
      <c r="T602" t="str">
        <f>VLOOKUP(A602,AssuranceTable,2,FALSE)</f>
        <v>Basic</v>
      </c>
      <c r="U602" t="str">
        <f t="shared" si="28"/>
        <v>BS83666 Oregon</v>
      </c>
      <c r="X602" s="4">
        <f t="shared" si="29"/>
        <v>736618.83</v>
      </c>
    </row>
    <row r="603" spans="1:24" x14ac:dyDescent="0.35">
      <c r="A603" t="s">
        <v>642</v>
      </c>
      <c r="B603" t="s">
        <v>33</v>
      </c>
      <c r="C603" t="s">
        <v>21</v>
      </c>
      <c r="D603" t="s">
        <v>35</v>
      </c>
      <c r="E603" s="5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  <c r="S603" t="str">
        <f t="shared" si="27"/>
        <v>Recomendado</v>
      </c>
      <c r="T603" t="str">
        <f>VLOOKUP(A603,AssuranceTable,2,FALSE)</f>
        <v>Basic</v>
      </c>
      <c r="U603" t="str">
        <f t="shared" si="28"/>
        <v>WO29605 Oregon</v>
      </c>
      <c r="X603" s="4">
        <f t="shared" si="29"/>
        <v>243687.51</v>
      </c>
    </row>
    <row r="604" spans="1:24" x14ac:dyDescent="0.35">
      <c r="A604" t="s">
        <v>643</v>
      </c>
      <c r="B604" t="s">
        <v>26</v>
      </c>
      <c r="C604" t="s">
        <v>27</v>
      </c>
      <c r="D604" t="s">
        <v>4</v>
      </c>
      <c r="E604" s="5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  <c r="S604" t="str">
        <f t="shared" si="27"/>
        <v>Recomendado</v>
      </c>
      <c r="T604" t="str">
        <f>VLOOKUP(A604,AssuranceTable,2,FALSE)</f>
        <v>Basic</v>
      </c>
      <c r="U604" t="str">
        <f t="shared" si="28"/>
        <v>TL77607 California</v>
      </c>
      <c r="X604" s="4">
        <f t="shared" si="29"/>
        <v>885268.87</v>
      </c>
    </row>
    <row r="605" spans="1:24" x14ac:dyDescent="0.35">
      <c r="A605" t="s">
        <v>644</v>
      </c>
      <c r="B605" t="s">
        <v>33</v>
      </c>
      <c r="C605" t="s">
        <v>21</v>
      </c>
      <c r="D605" t="s">
        <v>31</v>
      </c>
      <c r="E605" s="5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S605" t="str">
        <f t="shared" si="27"/>
        <v>No recomendado</v>
      </c>
      <c r="T605" t="str">
        <f>VLOOKUP(A605,AssuranceTable,2,FALSE)</f>
        <v>Basic</v>
      </c>
      <c r="U605" t="str">
        <f t="shared" si="28"/>
        <v>EZ50606 Oregon</v>
      </c>
      <c r="X605" s="4">
        <f t="shared" si="29"/>
        <v>2387547.6800000002</v>
      </c>
    </row>
    <row r="606" spans="1:24" x14ac:dyDescent="0.35">
      <c r="A606" t="s">
        <v>645</v>
      </c>
      <c r="B606" t="s">
        <v>33</v>
      </c>
      <c r="C606" t="s">
        <v>21</v>
      </c>
      <c r="D606" t="s">
        <v>80</v>
      </c>
      <c r="E606" s="5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  <c r="S606" t="str">
        <f t="shared" si="27"/>
        <v>Recomendado</v>
      </c>
      <c r="T606" t="str">
        <f>VLOOKUP(A606,AssuranceTable,2,FALSE)</f>
        <v>Basic</v>
      </c>
      <c r="U606" t="str">
        <f t="shared" si="28"/>
        <v>OS39723 Oregon</v>
      </c>
      <c r="X606" s="4">
        <f t="shared" si="29"/>
        <v>560049.65</v>
      </c>
    </row>
    <row r="607" spans="1:24" x14ac:dyDescent="0.35">
      <c r="A607" t="s">
        <v>646</v>
      </c>
      <c r="B607" t="s">
        <v>26</v>
      </c>
      <c r="C607" t="s">
        <v>27</v>
      </c>
      <c r="D607" t="s">
        <v>35</v>
      </c>
      <c r="E607" s="5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S607" t="str">
        <f t="shared" si="27"/>
        <v>Recomendado</v>
      </c>
      <c r="T607" t="str">
        <f>VLOOKUP(A607,AssuranceTable,2,FALSE)</f>
        <v>Basic</v>
      </c>
      <c r="U607" t="str">
        <f t="shared" si="28"/>
        <v>FN69743 California</v>
      </c>
      <c r="X607" s="4">
        <f t="shared" si="29"/>
        <v>463654.65</v>
      </c>
    </row>
    <row r="608" spans="1:24" x14ac:dyDescent="0.35">
      <c r="A608" t="s">
        <v>647</v>
      </c>
      <c r="B608" t="s">
        <v>23</v>
      </c>
      <c r="C608" t="s">
        <v>27</v>
      </c>
      <c r="D608" t="s">
        <v>31</v>
      </c>
      <c r="E608" s="5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  <c r="S608" t="str">
        <f t="shared" si="27"/>
        <v>No recomendado</v>
      </c>
      <c r="T608" t="str">
        <f>VLOOKUP(A608,AssuranceTable,2,FALSE)</f>
        <v>Premium</v>
      </c>
      <c r="U608" t="str">
        <f t="shared" si="28"/>
        <v>XW96958 Nevada</v>
      </c>
      <c r="X608" s="4">
        <f t="shared" si="29"/>
        <v>757334.51</v>
      </c>
    </row>
    <row r="609" spans="1:24" x14ac:dyDescent="0.35">
      <c r="A609" t="s">
        <v>648</v>
      </c>
      <c r="B609" t="s">
        <v>26</v>
      </c>
      <c r="C609" t="s">
        <v>27</v>
      </c>
      <c r="D609" t="s">
        <v>35</v>
      </c>
      <c r="E609" s="5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  <c r="S609" t="str">
        <f t="shared" si="27"/>
        <v>Recomendado</v>
      </c>
      <c r="T609" t="str">
        <f>VLOOKUP(A609,AssuranceTable,2,FALSE)</f>
        <v>Extended</v>
      </c>
      <c r="U609" t="str">
        <f t="shared" si="28"/>
        <v>TU92578 California</v>
      </c>
      <c r="X609" s="4">
        <f t="shared" si="29"/>
        <v>1469663.55</v>
      </c>
    </row>
    <row r="610" spans="1:24" x14ac:dyDescent="0.35">
      <c r="A610" t="s">
        <v>649</v>
      </c>
      <c r="B610" t="s">
        <v>3</v>
      </c>
      <c r="C610" t="s">
        <v>27</v>
      </c>
      <c r="D610" t="s">
        <v>53</v>
      </c>
      <c r="E610" s="5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  <c r="S610" t="str">
        <f t="shared" si="27"/>
        <v>Recomendado</v>
      </c>
      <c r="T610" t="str">
        <f>VLOOKUP(A610,AssuranceTable,2,FALSE)</f>
        <v>Basic</v>
      </c>
      <c r="U610" t="str">
        <f t="shared" si="28"/>
        <v>TL43709 Washington</v>
      </c>
      <c r="X610" s="4">
        <f t="shared" si="29"/>
        <v>897214.03</v>
      </c>
    </row>
    <row r="611" spans="1:24" x14ac:dyDescent="0.35">
      <c r="A611" t="s">
        <v>650</v>
      </c>
      <c r="B611" t="s">
        <v>26</v>
      </c>
      <c r="C611" t="s">
        <v>21</v>
      </c>
      <c r="D611" t="s">
        <v>4</v>
      </c>
      <c r="E611" s="5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  <c r="S611" t="str">
        <f t="shared" si="27"/>
        <v>Recomendado</v>
      </c>
      <c r="T611" t="str">
        <f>VLOOKUP(A611,AssuranceTable,2,FALSE)</f>
        <v>Premium</v>
      </c>
      <c r="U611" t="str">
        <f t="shared" si="28"/>
        <v>YE68736 California</v>
      </c>
      <c r="X611" s="4">
        <f t="shared" si="29"/>
        <v>772484.01</v>
      </c>
    </row>
    <row r="612" spans="1:24" x14ac:dyDescent="0.35">
      <c r="A612" t="s">
        <v>651</v>
      </c>
      <c r="B612" t="s">
        <v>33</v>
      </c>
      <c r="C612" t="s">
        <v>27</v>
      </c>
      <c r="D612" t="s">
        <v>2</v>
      </c>
      <c r="E612" s="5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  <c r="S612" t="str">
        <f t="shared" si="27"/>
        <v>Recomendado</v>
      </c>
      <c r="T612" t="str">
        <f>VLOOKUP(A612,AssuranceTable,2,FALSE)</f>
        <v>Basic</v>
      </c>
      <c r="U612" t="str">
        <f t="shared" si="28"/>
        <v>OB96537 Oregon</v>
      </c>
      <c r="X612" s="4">
        <f t="shared" si="29"/>
        <v>594667.06999999995</v>
      </c>
    </row>
    <row r="613" spans="1:24" x14ac:dyDescent="0.35">
      <c r="A613" t="s">
        <v>652</v>
      </c>
      <c r="B613" t="s">
        <v>33</v>
      </c>
      <c r="C613" t="s">
        <v>21</v>
      </c>
      <c r="D613" t="s">
        <v>2</v>
      </c>
      <c r="E613" s="5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  <c r="S613" t="str">
        <f t="shared" si="27"/>
        <v>Recomendado</v>
      </c>
      <c r="T613" t="str">
        <f>VLOOKUP(A613,AssuranceTable,2,FALSE)</f>
        <v>Basic</v>
      </c>
      <c r="U613" t="str">
        <f t="shared" si="28"/>
        <v>EU68825 Oregon</v>
      </c>
      <c r="X613" s="4">
        <f t="shared" si="29"/>
        <v>800054.51</v>
      </c>
    </row>
    <row r="614" spans="1:24" x14ac:dyDescent="0.35">
      <c r="A614" t="s">
        <v>653</v>
      </c>
      <c r="B614" t="s">
        <v>5</v>
      </c>
      <c r="C614" t="s">
        <v>27</v>
      </c>
      <c r="D614" t="s">
        <v>4</v>
      </c>
      <c r="E614" s="5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  <c r="S614" t="str">
        <f t="shared" si="27"/>
        <v>Recomendado</v>
      </c>
      <c r="T614" t="str">
        <f>VLOOKUP(A614,AssuranceTable,2,FALSE)</f>
        <v>Extended</v>
      </c>
      <c r="U614" t="str">
        <f t="shared" si="28"/>
        <v>CC31456 Arizona</v>
      </c>
      <c r="X614" s="4">
        <f t="shared" si="29"/>
        <v>645756.1</v>
      </c>
    </row>
    <row r="615" spans="1:24" x14ac:dyDescent="0.35">
      <c r="A615" t="s">
        <v>654</v>
      </c>
      <c r="B615" t="s">
        <v>5</v>
      </c>
      <c r="C615" t="s">
        <v>21</v>
      </c>
      <c r="D615" t="s">
        <v>31</v>
      </c>
      <c r="E615" s="5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  <c r="S615" t="str">
        <f t="shared" si="27"/>
        <v>No recomendado</v>
      </c>
      <c r="T615" t="str">
        <f>VLOOKUP(A615,AssuranceTable,2,FALSE)</f>
        <v>Basic</v>
      </c>
      <c r="U615" t="str">
        <f t="shared" si="28"/>
        <v>DJ77787 Arizona</v>
      </c>
      <c r="X615" s="4">
        <f t="shared" si="29"/>
        <v>728144.01</v>
      </c>
    </row>
    <row r="616" spans="1:24" x14ac:dyDescent="0.35">
      <c r="A616" t="s">
        <v>655</v>
      </c>
      <c r="B616" t="s">
        <v>26</v>
      </c>
      <c r="C616" t="s">
        <v>27</v>
      </c>
      <c r="D616" t="s">
        <v>31</v>
      </c>
      <c r="E616" s="5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  <c r="S616" t="str">
        <f t="shared" si="27"/>
        <v>Recomendado</v>
      </c>
      <c r="T616" t="str">
        <f>VLOOKUP(A616,AssuranceTable,2,FALSE)</f>
        <v>Basic</v>
      </c>
      <c r="U616" t="str">
        <f t="shared" si="28"/>
        <v>LN26837 California</v>
      </c>
      <c r="X616" s="4">
        <f t="shared" si="29"/>
        <v>259243.78</v>
      </c>
    </row>
    <row r="617" spans="1:24" x14ac:dyDescent="0.35">
      <c r="A617" t="s">
        <v>656</v>
      </c>
      <c r="B617" t="s">
        <v>23</v>
      </c>
      <c r="C617" t="s">
        <v>27</v>
      </c>
      <c r="D617" t="s">
        <v>2</v>
      </c>
      <c r="E617" s="5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  <c r="S617" t="str">
        <f t="shared" si="27"/>
        <v>Recomendado</v>
      </c>
      <c r="T617" t="str">
        <f>VLOOKUP(A617,AssuranceTable,2,FALSE)</f>
        <v>Premium</v>
      </c>
      <c r="U617" t="str">
        <f t="shared" si="28"/>
        <v>YI92916 Nevada</v>
      </c>
      <c r="X617" s="4">
        <f t="shared" si="29"/>
        <v>467842.34</v>
      </c>
    </row>
    <row r="618" spans="1:24" x14ac:dyDescent="0.35">
      <c r="A618" t="s">
        <v>657</v>
      </c>
      <c r="B618" t="s">
        <v>33</v>
      </c>
      <c r="C618" t="s">
        <v>27</v>
      </c>
      <c r="D618" t="s">
        <v>35</v>
      </c>
      <c r="E618" s="5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  <c r="S618" t="str">
        <f t="shared" si="27"/>
        <v>Recomendado</v>
      </c>
      <c r="T618" t="str">
        <f>VLOOKUP(A618,AssuranceTable,2,FALSE)</f>
        <v>Basic</v>
      </c>
      <c r="U618" t="str">
        <f t="shared" si="28"/>
        <v>NW54906 Oregon</v>
      </c>
      <c r="X618" s="4">
        <f t="shared" si="29"/>
        <v>1386992.71</v>
      </c>
    </row>
    <row r="619" spans="1:24" x14ac:dyDescent="0.35">
      <c r="A619" t="s">
        <v>658</v>
      </c>
      <c r="B619" t="s">
        <v>23</v>
      </c>
      <c r="C619" t="s">
        <v>21</v>
      </c>
      <c r="D619" t="s">
        <v>2</v>
      </c>
      <c r="E619" s="5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  <c r="S619" t="str">
        <f t="shared" si="27"/>
        <v>Recomendado</v>
      </c>
      <c r="T619" t="str">
        <f>VLOOKUP(A619,AssuranceTable,2,FALSE)</f>
        <v>Premium</v>
      </c>
      <c r="U619" t="str">
        <f t="shared" si="28"/>
        <v>ME77513 Nevada</v>
      </c>
      <c r="X619" s="4">
        <f t="shared" si="29"/>
        <v>871777.78</v>
      </c>
    </row>
    <row r="620" spans="1:24" x14ac:dyDescent="0.35">
      <c r="A620" t="s">
        <v>659</v>
      </c>
      <c r="B620" t="s">
        <v>26</v>
      </c>
      <c r="C620" t="s">
        <v>21</v>
      </c>
      <c r="D620" t="s">
        <v>35</v>
      </c>
      <c r="E620" s="5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  <c r="S620" t="str">
        <f t="shared" si="27"/>
        <v>Recomendado</v>
      </c>
      <c r="T620" t="str">
        <f>VLOOKUP(A620,AssuranceTable,2,FALSE)</f>
        <v>Basic</v>
      </c>
      <c r="U620" t="str">
        <f t="shared" si="28"/>
        <v>UK76891 California</v>
      </c>
      <c r="X620" s="4">
        <f t="shared" si="29"/>
        <v>523398.68</v>
      </c>
    </row>
    <row r="621" spans="1:24" x14ac:dyDescent="0.35">
      <c r="A621" t="s">
        <v>660</v>
      </c>
      <c r="B621" t="s">
        <v>23</v>
      </c>
      <c r="C621" t="s">
        <v>21</v>
      </c>
      <c r="D621" t="s">
        <v>31</v>
      </c>
      <c r="E621" s="5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  <c r="S621" t="str">
        <f t="shared" si="27"/>
        <v>No recomendado</v>
      </c>
      <c r="T621" t="str">
        <f>VLOOKUP(A621,AssuranceTable,2,FALSE)</f>
        <v>Basic</v>
      </c>
      <c r="U621" t="str">
        <f t="shared" si="28"/>
        <v>SI26888 Nevada</v>
      </c>
      <c r="X621" s="4">
        <f t="shared" si="29"/>
        <v>476418.97</v>
      </c>
    </row>
    <row r="622" spans="1:24" x14ac:dyDescent="0.35">
      <c r="A622" t="s">
        <v>661</v>
      </c>
      <c r="B622" t="s">
        <v>33</v>
      </c>
      <c r="C622" t="s">
        <v>21</v>
      </c>
      <c r="D622" t="s">
        <v>35</v>
      </c>
      <c r="E622" s="5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  <c r="S622" t="str">
        <f t="shared" si="27"/>
        <v>Recomendado</v>
      </c>
      <c r="T622" t="str">
        <f>VLOOKUP(A622,AssuranceTable,2,FALSE)</f>
        <v>Basic</v>
      </c>
      <c r="U622" t="str">
        <f t="shared" si="28"/>
        <v>YD74948 Oregon</v>
      </c>
      <c r="X622" s="4">
        <f t="shared" si="29"/>
        <v>247246.92</v>
      </c>
    </row>
    <row r="623" spans="1:24" x14ac:dyDescent="0.35">
      <c r="A623" t="s">
        <v>662</v>
      </c>
      <c r="B623" t="s">
        <v>3</v>
      </c>
      <c r="C623" t="s">
        <v>27</v>
      </c>
      <c r="D623" t="s">
        <v>4</v>
      </c>
      <c r="E623" s="5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  <c r="S623" t="str">
        <f t="shared" si="27"/>
        <v>Recomendado</v>
      </c>
      <c r="T623" t="str">
        <f>VLOOKUP(A623,AssuranceTable,2,FALSE)</f>
        <v>Basic</v>
      </c>
      <c r="U623" t="str">
        <f t="shared" si="28"/>
        <v>HB64268 Washington</v>
      </c>
      <c r="X623" s="4">
        <f t="shared" si="29"/>
        <v>281369.26</v>
      </c>
    </row>
    <row r="624" spans="1:24" x14ac:dyDescent="0.35">
      <c r="A624" t="s">
        <v>663</v>
      </c>
      <c r="B624" t="s">
        <v>26</v>
      </c>
      <c r="C624" t="s">
        <v>21</v>
      </c>
      <c r="D624" t="s">
        <v>35</v>
      </c>
      <c r="E624" s="5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  <c r="S624" t="str">
        <f t="shared" si="27"/>
        <v>Recomendado</v>
      </c>
      <c r="T624" t="str">
        <f>VLOOKUP(A624,AssuranceTable,2,FALSE)</f>
        <v>Basic</v>
      </c>
      <c r="U624" t="str">
        <f t="shared" si="28"/>
        <v>BW52697 California</v>
      </c>
      <c r="X624" s="4">
        <f t="shared" si="29"/>
        <v>550505.69999999995</v>
      </c>
    </row>
    <row r="625" spans="1:24" x14ac:dyDescent="0.35">
      <c r="A625" t="s">
        <v>664</v>
      </c>
      <c r="B625" t="s">
        <v>33</v>
      </c>
      <c r="C625" t="s">
        <v>21</v>
      </c>
      <c r="D625" t="s">
        <v>4</v>
      </c>
      <c r="E625" s="5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  <c r="S625" t="str">
        <f t="shared" si="27"/>
        <v>Recomendado</v>
      </c>
      <c r="T625" t="str">
        <f>VLOOKUP(A625,AssuranceTable,2,FALSE)</f>
        <v>Basic</v>
      </c>
      <c r="U625" t="str">
        <f t="shared" si="28"/>
        <v>NL41409 Oregon</v>
      </c>
      <c r="X625" s="4">
        <f t="shared" si="29"/>
        <v>260620.85</v>
      </c>
    </row>
    <row r="626" spans="1:24" x14ac:dyDescent="0.35">
      <c r="A626" t="s">
        <v>665</v>
      </c>
      <c r="B626" t="s">
        <v>5</v>
      </c>
      <c r="C626" t="s">
        <v>21</v>
      </c>
      <c r="D626" t="s">
        <v>31</v>
      </c>
      <c r="E626" s="5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  <c r="S626" t="str">
        <f t="shared" si="27"/>
        <v>Recomendado</v>
      </c>
      <c r="T626" t="str">
        <f>VLOOKUP(A626,AssuranceTable,2,FALSE)</f>
        <v>Extended</v>
      </c>
      <c r="U626" t="str">
        <f t="shared" si="28"/>
        <v>OD69005 Arizona</v>
      </c>
      <c r="X626" s="4">
        <f t="shared" si="29"/>
        <v>1048194.38</v>
      </c>
    </row>
    <row r="627" spans="1:24" x14ac:dyDescent="0.35">
      <c r="A627" t="s">
        <v>666</v>
      </c>
      <c r="B627" t="s">
        <v>26</v>
      </c>
      <c r="C627" t="s">
        <v>21</v>
      </c>
      <c r="D627" t="s">
        <v>4</v>
      </c>
      <c r="E627" s="5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  <c r="S627" t="str">
        <f t="shared" si="27"/>
        <v>No recomendado</v>
      </c>
      <c r="T627" t="str">
        <f>VLOOKUP(A627,AssuranceTable,2,FALSE)</f>
        <v>Extended</v>
      </c>
      <c r="U627" t="str">
        <f t="shared" si="28"/>
        <v>ZZ91716 California</v>
      </c>
      <c r="X627" s="4">
        <f t="shared" si="29"/>
        <v>325676.64</v>
      </c>
    </row>
    <row r="628" spans="1:24" x14ac:dyDescent="0.35">
      <c r="A628" t="s">
        <v>667</v>
      </c>
      <c r="B628" t="s">
        <v>26</v>
      </c>
      <c r="C628" t="s">
        <v>21</v>
      </c>
      <c r="D628" t="s">
        <v>35</v>
      </c>
      <c r="E628" s="5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  <c r="S628" t="str">
        <f t="shared" si="27"/>
        <v>Recomendado</v>
      </c>
      <c r="T628" t="str">
        <f>VLOOKUP(A628,AssuranceTable,2,FALSE)</f>
        <v>Extended</v>
      </c>
      <c r="U628" t="str">
        <f t="shared" si="28"/>
        <v>UK70255 California</v>
      </c>
      <c r="X628" s="4">
        <f t="shared" si="29"/>
        <v>3047578.05</v>
      </c>
    </row>
    <row r="629" spans="1:24" x14ac:dyDescent="0.35">
      <c r="A629" t="s">
        <v>668</v>
      </c>
      <c r="B629" t="s">
        <v>23</v>
      </c>
      <c r="C629" t="s">
        <v>27</v>
      </c>
      <c r="D629" t="s">
        <v>31</v>
      </c>
      <c r="E629" s="5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  <c r="S629" t="str">
        <f t="shared" si="27"/>
        <v>Recomendado</v>
      </c>
      <c r="T629" t="str">
        <f>VLOOKUP(A629,AssuranceTable,2,FALSE)</f>
        <v>Extended</v>
      </c>
      <c r="U629" t="str">
        <f t="shared" si="28"/>
        <v>QT25383 Nevada</v>
      </c>
      <c r="X629" s="4">
        <f t="shared" si="29"/>
        <v>636490.22</v>
      </c>
    </row>
    <row r="630" spans="1:24" x14ac:dyDescent="0.35">
      <c r="A630" t="s">
        <v>669</v>
      </c>
      <c r="B630" t="s">
        <v>5</v>
      </c>
      <c r="C630" t="s">
        <v>27</v>
      </c>
      <c r="D630" t="s">
        <v>31</v>
      </c>
      <c r="E630" s="5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  <c r="S630" t="str">
        <f t="shared" si="27"/>
        <v>No recomendado</v>
      </c>
      <c r="T630" t="str">
        <f>VLOOKUP(A630,AssuranceTable,2,FALSE)</f>
        <v>Extended</v>
      </c>
      <c r="U630" t="str">
        <f t="shared" si="28"/>
        <v>AW18068 Arizona</v>
      </c>
      <c r="X630" s="4">
        <f t="shared" si="29"/>
        <v>946850.93</v>
      </c>
    </row>
    <row r="631" spans="1:24" x14ac:dyDescent="0.35">
      <c r="A631" t="s">
        <v>670</v>
      </c>
      <c r="B631" t="s">
        <v>33</v>
      </c>
      <c r="C631" t="s">
        <v>21</v>
      </c>
      <c r="D631" t="s">
        <v>35</v>
      </c>
      <c r="E631" s="5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  <c r="S631" t="str">
        <f t="shared" si="27"/>
        <v>Recomendado</v>
      </c>
      <c r="T631" t="str">
        <f>VLOOKUP(A631,AssuranceTable,2,FALSE)</f>
        <v>Basic</v>
      </c>
      <c r="U631" t="str">
        <f t="shared" si="28"/>
        <v>NS45347 Oregon</v>
      </c>
      <c r="X631" s="4">
        <f t="shared" si="29"/>
        <v>563145.18999999994</v>
      </c>
    </row>
    <row r="632" spans="1:24" x14ac:dyDescent="0.35">
      <c r="A632" t="s">
        <v>671</v>
      </c>
      <c r="B632" t="s">
        <v>26</v>
      </c>
      <c r="C632" t="s">
        <v>27</v>
      </c>
      <c r="D632" t="s">
        <v>4</v>
      </c>
      <c r="E632" s="5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  <c r="S632" t="str">
        <f t="shared" si="27"/>
        <v>No recomendado</v>
      </c>
      <c r="T632" t="str">
        <f>VLOOKUP(A632,AssuranceTable,2,FALSE)</f>
        <v>Basic</v>
      </c>
      <c r="U632" t="str">
        <f t="shared" si="28"/>
        <v>FV19421 California</v>
      </c>
      <c r="X632" s="4">
        <f t="shared" si="29"/>
        <v>778099.93</v>
      </c>
    </row>
    <row r="633" spans="1:24" x14ac:dyDescent="0.35">
      <c r="A633" t="s">
        <v>672</v>
      </c>
      <c r="B633" t="s">
        <v>26</v>
      </c>
      <c r="C633" t="s">
        <v>27</v>
      </c>
      <c r="D633" t="s">
        <v>35</v>
      </c>
      <c r="E633" s="5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  <c r="S633" t="str">
        <f t="shared" si="27"/>
        <v>Recomendado</v>
      </c>
      <c r="T633" t="str">
        <f>VLOOKUP(A633,AssuranceTable,2,FALSE)</f>
        <v>Basic</v>
      </c>
      <c r="U633" t="str">
        <f t="shared" si="28"/>
        <v>XW89091 California</v>
      </c>
      <c r="X633" s="4">
        <f t="shared" si="29"/>
        <v>981652.83</v>
      </c>
    </row>
    <row r="634" spans="1:24" x14ac:dyDescent="0.35">
      <c r="A634" t="s">
        <v>673</v>
      </c>
      <c r="B634" t="s">
        <v>33</v>
      </c>
      <c r="C634" t="s">
        <v>27</v>
      </c>
      <c r="D634" t="s">
        <v>31</v>
      </c>
      <c r="E634" s="5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  <c r="S634" t="str">
        <f t="shared" si="27"/>
        <v>Recomendado</v>
      </c>
      <c r="T634" t="str">
        <f>VLOOKUP(A634,AssuranceTable,2,FALSE)</f>
        <v>Extended</v>
      </c>
      <c r="U634" t="str">
        <f t="shared" si="28"/>
        <v>YC11951 Oregon</v>
      </c>
      <c r="X634" s="4">
        <f t="shared" si="29"/>
        <v>751913.36</v>
      </c>
    </row>
    <row r="635" spans="1:24" x14ac:dyDescent="0.35">
      <c r="A635" t="s">
        <v>674</v>
      </c>
      <c r="B635" t="s">
        <v>26</v>
      </c>
      <c r="C635" t="s">
        <v>21</v>
      </c>
      <c r="D635" t="s">
        <v>4</v>
      </c>
      <c r="E635" s="5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  <c r="S635" t="str">
        <f t="shared" si="27"/>
        <v>Recomendado</v>
      </c>
      <c r="T635" t="str">
        <f>VLOOKUP(A635,AssuranceTable,2,FALSE)</f>
        <v>Premium</v>
      </c>
      <c r="U635" t="str">
        <f t="shared" si="28"/>
        <v>UY18770 California</v>
      </c>
      <c r="X635" s="4">
        <f t="shared" si="29"/>
        <v>1017971.7</v>
      </c>
    </row>
    <row r="636" spans="1:24" x14ac:dyDescent="0.35">
      <c r="A636" t="s">
        <v>675</v>
      </c>
      <c r="B636" t="s">
        <v>26</v>
      </c>
      <c r="C636" t="s">
        <v>21</v>
      </c>
      <c r="D636" t="s">
        <v>35</v>
      </c>
      <c r="E636" s="5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  <c r="S636" t="str">
        <f t="shared" si="27"/>
        <v>Recomendado</v>
      </c>
      <c r="T636" t="str">
        <f>VLOOKUP(A636,AssuranceTable,2,FALSE)</f>
        <v>Basic</v>
      </c>
      <c r="U636" t="str">
        <f t="shared" si="28"/>
        <v>RA49085 California</v>
      </c>
      <c r="X636" s="4">
        <f t="shared" si="29"/>
        <v>277283.92</v>
      </c>
    </row>
    <row r="637" spans="1:24" x14ac:dyDescent="0.35">
      <c r="A637" t="s">
        <v>676</v>
      </c>
      <c r="B637" t="s">
        <v>33</v>
      </c>
      <c r="C637" t="s">
        <v>27</v>
      </c>
      <c r="D637" t="s">
        <v>35</v>
      </c>
      <c r="E637" s="5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S637" t="str">
        <f t="shared" si="27"/>
        <v>Recomendado</v>
      </c>
      <c r="T637" t="str">
        <f>VLOOKUP(A637,AssuranceTable,2,FALSE)</f>
        <v>Basic</v>
      </c>
      <c r="U637" t="str">
        <f t="shared" si="28"/>
        <v>BG84194 Oregon</v>
      </c>
      <c r="X637" s="4">
        <f t="shared" si="29"/>
        <v>403750.18</v>
      </c>
    </row>
    <row r="638" spans="1:24" x14ac:dyDescent="0.35">
      <c r="A638" t="s">
        <v>677</v>
      </c>
      <c r="B638" t="s">
        <v>3</v>
      </c>
      <c r="C638" t="s">
        <v>27</v>
      </c>
      <c r="D638" t="s">
        <v>2</v>
      </c>
      <c r="E638" s="5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  <c r="S638" t="str">
        <f t="shared" si="27"/>
        <v>Recomendado</v>
      </c>
      <c r="T638" t="str">
        <f>VLOOKUP(A638,AssuranceTable,2,FALSE)</f>
        <v>Basic</v>
      </c>
      <c r="U638" t="str">
        <f t="shared" si="28"/>
        <v>PT64580 Washington</v>
      </c>
      <c r="X638" s="4">
        <f t="shared" si="29"/>
        <v>419196.61</v>
      </c>
    </row>
    <row r="639" spans="1:24" x14ac:dyDescent="0.35">
      <c r="A639" t="s">
        <v>678</v>
      </c>
      <c r="B639" t="s">
        <v>33</v>
      </c>
      <c r="C639" t="s">
        <v>21</v>
      </c>
      <c r="D639" t="s">
        <v>31</v>
      </c>
      <c r="E639" s="5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  <c r="S639" t="str">
        <f t="shared" si="27"/>
        <v>Recomendado</v>
      </c>
      <c r="T639" t="str">
        <f>VLOOKUP(A639,AssuranceTable,2,FALSE)</f>
        <v>Basic</v>
      </c>
      <c r="U639" t="str">
        <f t="shared" si="28"/>
        <v>MR67738 Oregon</v>
      </c>
      <c r="X639" s="4">
        <f t="shared" si="29"/>
        <v>267686.78999999998</v>
      </c>
    </row>
    <row r="640" spans="1:24" x14ac:dyDescent="0.35">
      <c r="A640" t="s">
        <v>679</v>
      </c>
      <c r="B640" t="s">
        <v>26</v>
      </c>
      <c r="C640" t="s">
        <v>27</v>
      </c>
      <c r="D640" t="s">
        <v>35</v>
      </c>
      <c r="E640" s="5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  <c r="S640" t="str">
        <f t="shared" si="27"/>
        <v>Recomendado</v>
      </c>
      <c r="T640" t="str">
        <f>VLOOKUP(A640,AssuranceTable,2,FALSE)</f>
        <v>Basic</v>
      </c>
      <c r="U640" t="str">
        <f t="shared" si="28"/>
        <v>DM95829 California</v>
      </c>
      <c r="X640" s="4">
        <f t="shared" si="29"/>
        <v>252395.96</v>
      </c>
    </row>
    <row r="641" spans="1:24" x14ac:dyDescent="0.35">
      <c r="A641" t="s">
        <v>680</v>
      </c>
      <c r="B641" t="s">
        <v>26</v>
      </c>
      <c r="C641" t="s">
        <v>21</v>
      </c>
      <c r="D641" t="s">
        <v>35</v>
      </c>
      <c r="E641" s="5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  <c r="S641" t="str">
        <f t="shared" si="27"/>
        <v>Recomendado</v>
      </c>
      <c r="T641" t="str">
        <f>VLOOKUP(A641,AssuranceTable,2,FALSE)</f>
        <v>Extended</v>
      </c>
      <c r="U641" t="str">
        <f t="shared" si="28"/>
        <v>DB75522 California</v>
      </c>
      <c r="X641" s="4">
        <f t="shared" si="29"/>
        <v>698840.16</v>
      </c>
    </row>
    <row r="642" spans="1:24" x14ac:dyDescent="0.35">
      <c r="A642" t="s">
        <v>681</v>
      </c>
      <c r="B642" t="s">
        <v>3</v>
      </c>
      <c r="C642" t="s">
        <v>21</v>
      </c>
      <c r="D642" t="s">
        <v>35</v>
      </c>
      <c r="E642" s="5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  <c r="S642" t="str">
        <f t="shared" si="27"/>
        <v>Recomendado</v>
      </c>
      <c r="T642" t="str">
        <f>VLOOKUP(A642,AssuranceTable,2,FALSE)</f>
        <v>Basic</v>
      </c>
      <c r="U642" t="str">
        <f t="shared" si="28"/>
        <v>LM34525 Washington</v>
      </c>
      <c r="X642" s="4">
        <f t="shared" si="29"/>
        <v>874205.78</v>
      </c>
    </row>
    <row r="643" spans="1:24" x14ac:dyDescent="0.35">
      <c r="A643" t="s">
        <v>682</v>
      </c>
      <c r="B643" t="s">
        <v>5</v>
      </c>
      <c r="C643" t="s">
        <v>27</v>
      </c>
      <c r="D643" t="s">
        <v>2</v>
      </c>
      <c r="E643" s="5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  <c r="S643" t="str">
        <f t="shared" ref="S643:S706" si="30">IF(F643&gt;3000,"Recomendado","No recomendado")</f>
        <v>Recomendado</v>
      </c>
      <c r="T643" t="str">
        <f>VLOOKUP(A643,AssuranceTable,2,FALSE)</f>
        <v>Basic</v>
      </c>
      <c r="U643" t="str">
        <f t="shared" ref="U643:U706" si="31">_xlfn.CONCAT(A643, " ",B643)</f>
        <v>WW30771 Arizona</v>
      </c>
      <c r="X643" s="4">
        <f t="shared" ref="X643:X706" si="32">ROUND(E643,3)</f>
        <v>267331.96000000002</v>
      </c>
    </row>
    <row r="644" spans="1:24" x14ac:dyDescent="0.35">
      <c r="A644" t="s">
        <v>683</v>
      </c>
      <c r="B644" t="s">
        <v>5</v>
      </c>
      <c r="C644" t="s">
        <v>27</v>
      </c>
      <c r="D644" t="s">
        <v>31</v>
      </c>
      <c r="E644" s="5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  <c r="S644" t="str">
        <f t="shared" si="30"/>
        <v>Recomendado</v>
      </c>
      <c r="T644" t="str">
        <f>VLOOKUP(A644,AssuranceTable,2,FALSE)</f>
        <v>Premium</v>
      </c>
      <c r="U644" t="str">
        <f t="shared" si="31"/>
        <v>QP65569 Arizona</v>
      </c>
      <c r="X644" s="4">
        <f t="shared" si="32"/>
        <v>1215732.99</v>
      </c>
    </row>
    <row r="645" spans="1:24" x14ac:dyDescent="0.35">
      <c r="A645" t="s">
        <v>684</v>
      </c>
      <c r="B645" t="s">
        <v>26</v>
      </c>
      <c r="C645" t="s">
        <v>21</v>
      </c>
      <c r="D645" t="s">
        <v>80</v>
      </c>
      <c r="E645" s="5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  <c r="S645" t="str">
        <f t="shared" si="30"/>
        <v>Recomendado</v>
      </c>
      <c r="T645" t="str">
        <f>VLOOKUP(A645,AssuranceTable,2,FALSE)</f>
        <v>Basic</v>
      </c>
      <c r="U645" t="str">
        <f t="shared" si="31"/>
        <v>TN50051 California</v>
      </c>
      <c r="X645" s="4">
        <f t="shared" si="32"/>
        <v>295776.40000000002</v>
      </c>
    </row>
    <row r="646" spans="1:24" x14ac:dyDescent="0.35">
      <c r="A646" t="s">
        <v>685</v>
      </c>
      <c r="B646" t="s">
        <v>3</v>
      </c>
      <c r="C646" t="s">
        <v>27</v>
      </c>
      <c r="D646" t="s">
        <v>53</v>
      </c>
      <c r="E646" s="5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  <c r="S646" t="str">
        <f t="shared" si="30"/>
        <v>Recomendado</v>
      </c>
      <c r="T646" t="str">
        <f>VLOOKUP(A646,AssuranceTable,2,FALSE)</f>
        <v>Basic</v>
      </c>
      <c r="U646" t="str">
        <f t="shared" si="31"/>
        <v>UO86707 Washington</v>
      </c>
      <c r="X646" s="4">
        <f t="shared" si="32"/>
        <v>717390.94</v>
      </c>
    </row>
    <row r="647" spans="1:24" x14ac:dyDescent="0.35">
      <c r="A647" t="s">
        <v>686</v>
      </c>
      <c r="B647" t="s">
        <v>23</v>
      </c>
      <c r="C647" t="s">
        <v>27</v>
      </c>
      <c r="D647" t="s">
        <v>4</v>
      </c>
      <c r="E647" s="5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S647" t="str">
        <f t="shared" si="30"/>
        <v>No recomendado</v>
      </c>
      <c r="T647" t="str">
        <f>VLOOKUP(A647,AssuranceTable,2,FALSE)</f>
        <v>Basic</v>
      </c>
      <c r="U647" t="str">
        <f t="shared" si="31"/>
        <v>JA41698 Nevada</v>
      </c>
      <c r="X647" s="4">
        <f t="shared" si="32"/>
        <v>309953.8</v>
      </c>
    </row>
    <row r="648" spans="1:24" x14ac:dyDescent="0.35">
      <c r="A648" t="s">
        <v>687</v>
      </c>
      <c r="B648" t="s">
        <v>33</v>
      </c>
      <c r="C648" t="s">
        <v>27</v>
      </c>
      <c r="D648" t="s">
        <v>4</v>
      </c>
      <c r="E648" s="5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S648" t="str">
        <f t="shared" si="30"/>
        <v>Recomendado</v>
      </c>
      <c r="T648" t="str">
        <f>VLOOKUP(A648,AssuranceTable,2,FALSE)</f>
        <v>Basic</v>
      </c>
      <c r="U648" t="str">
        <f t="shared" si="31"/>
        <v>NX18774 Oregon</v>
      </c>
      <c r="X648" s="4">
        <f t="shared" si="32"/>
        <v>841568.46</v>
      </c>
    </row>
    <row r="649" spans="1:24" x14ac:dyDescent="0.35">
      <c r="A649" t="s">
        <v>688</v>
      </c>
      <c r="B649" t="s">
        <v>33</v>
      </c>
      <c r="C649" t="s">
        <v>21</v>
      </c>
      <c r="D649" t="s">
        <v>35</v>
      </c>
      <c r="E649" s="5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  <c r="S649" t="str">
        <f t="shared" si="30"/>
        <v>Recomendado</v>
      </c>
      <c r="T649" t="str">
        <f>VLOOKUP(A649,AssuranceTable,2,FALSE)</f>
        <v>Extended</v>
      </c>
      <c r="U649" t="str">
        <f t="shared" si="31"/>
        <v>DA69469 Oregon</v>
      </c>
      <c r="X649" s="4">
        <f t="shared" si="32"/>
        <v>2684312.4500000002</v>
      </c>
    </row>
    <row r="650" spans="1:24" x14ac:dyDescent="0.35">
      <c r="A650" t="s">
        <v>689</v>
      </c>
      <c r="B650" t="s">
        <v>33</v>
      </c>
      <c r="C650" t="s">
        <v>27</v>
      </c>
      <c r="D650" t="s">
        <v>4</v>
      </c>
      <c r="E650" s="5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  <c r="S650" t="str">
        <f t="shared" si="30"/>
        <v>Recomendado</v>
      </c>
      <c r="T650" t="str">
        <f>VLOOKUP(A650,AssuranceTable,2,FALSE)</f>
        <v>Premium</v>
      </c>
      <c r="U650" t="str">
        <f t="shared" si="31"/>
        <v>CN23147 Oregon</v>
      </c>
      <c r="X650" s="4">
        <f t="shared" si="32"/>
        <v>1305717.07</v>
      </c>
    </row>
    <row r="651" spans="1:24" x14ac:dyDescent="0.35">
      <c r="A651" t="s">
        <v>690</v>
      </c>
      <c r="B651" t="s">
        <v>33</v>
      </c>
      <c r="C651" t="s">
        <v>27</v>
      </c>
      <c r="D651" t="s">
        <v>35</v>
      </c>
      <c r="E651" s="5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  <c r="S651" t="str">
        <f t="shared" si="30"/>
        <v>No recomendado</v>
      </c>
      <c r="T651" t="str">
        <f>VLOOKUP(A651,AssuranceTable,2,FALSE)</f>
        <v>Extended</v>
      </c>
      <c r="U651" t="str">
        <f t="shared" si="31"/>
        <v>RA68844 Oregon</v>
      </c>
      <c r="X651" s="4">
        <f t="shared" si="32"/>
        <v>959995.02</v>
      </c>
    </row>
    <row r="652" spans="1:24" x14ac:dyDescent="0.35">
      <c r="A652" t="s">
        <v>691</v>
      </c>
      <c r="B652" t="s">
        <v>33</v>
      </c>
      <c r="C652" t="s">
        <v>27</v>
      </c>
      <c r="D652" t="s">
        <v>4</v>
      </c>
      <c r="E652" s="5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  <c r="S652" t="str">
        <f t="shared" si="30"/>
        <v>Recomendado</v>
      </c>
      <c r="T652" t="str">
        <f>VLOOKUP(A652,AssuranceTable,2,FALSE)</f>
        <v>Basic</v>
      </c>
      <c r="U652" t="str">
        <f t="shared" si="31"/>
        <v>GH42026 Oregon</v>
      </c>
      <c r="X652" s="4">
        <f t="shared" si="32"/>
        <v>853510.89</v>
      </c>
    </row>
    <row r="653" spans="1:24" x14ac:dyDescent="0.35">
      <c r="A653" t="s">
        <v>692</v>
      </c>
      <c r="B653" t="s">
        <v>5</v>
      </c>
      <c r="C653" t="s">
        <v>21</v>
      </c>
      <c r="D653" t="s">
        <v>4</v>
      </c>
      <c r="E653" s="5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  <c r="S653" t="str">
        <f t="shared" si="30"/>
        <v>Recomendado</v>
      </c>
      <c r="T653" t="str">
        <f>VLOOKUP(A653,AssuranceTable,2,FALSE)</f>
        <v>Basic</v>
      </c>
      <c r="U653" t="str">
        <f t="shared" si="31"/>
        <v>BD16530 Arizona</v>
      </c>
      <c r="X653" s="4">
        <f t="shared" si="32"/>
        <v>829348.19</v>
      </c>
    </row>
    <row r="654" spans="1:24" x14ac:dyDescent="0.35">
      <c r="A654" t="s">
        <v>693</v>
      </c>
      <c r="B654" t="s">
        <v>33</v>
      </c>
      <c r="C654" t="s">
        <v>21</v>
      </c>
      <c r="D654" t="s">
        <v>4</v>
      </c>
      <c r="E654" s="5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  <c r="S654" t="str">
        <f t="shared" si="30"/>
        <v>No recomendado</v>
      </c>
      <c r="T654" t="str">
        <f>VLOOKUP(A654,AssuranceTable,2,FALSE)</f>
        <v>Extended</v>
      </c>
      <c r="U654" t="str">
        <f t="shared" si="31"/>
        <v>JH91579 Oregon</v>
      </c>
      <c r="X654" s="4">
        <f t="shared" si="32"/>
        <v>684615.03</v>
      </c>
    </row>
    <row r="655" spans="1:24" x14ac:dyDescent="0.35">
      <c r="A655" t="s">
        <v>694</v>
      </c>
      <c r="B655" t="s">
        <v>33</v>
      </c>
      <c r="C655" t="s">
        <v>21</v>
      </c>
      <c r="D655" t="s">
        <v>4</v>
      </c>
      <c r="E655" s="5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  <c r="S655" t="str">
        <f t="shared" si="30"/>
        <v>Recomendado</v>
      </c>
      <c r="T655" t="str">
        <f>VLOOKUP(A655,AssuranceTable,2,FALSE)</f>
        <v>Extended</v>
      </c>
      <c r="U655" t="str">
        <f t="shared" si="31"/>
        <v>WK23685 Oregon</v>
      </c>
      <c r="X655" s="4">
        <f t="shared" si="32"/>
        <v>663685.98</v>
      </c>
    </row>
    <row r="656" spans="1:24" x14ac:dyDescent="0.35">
      <c r="A656" t="s">
        <v>695</v>
      </c>
      <c r="B656" t="s">
        <v>3</v>
      </c>
      <c r="C656" t="s">
        <v>21</v>
      </c>
      <c r="D656" t="s">
        <v>35</v>
      </c>
      <c r="E656" s="5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  <c r="S656" t="str">
        <f t="shared" si="30"/>
        <v>Recomendado</v>
      </c>
      <c r="T656" t="str">
        <f>VLOOKUP(A656,AssuranceTable,2,FALSE)</f>
        <v>Basic</v>
      </c>
      <c r="U656" t="str">
        <f t="shared" si="31"/>
        <v>GR62267 Washington</v>
      </c>
      <c r="X656" s="4">
        <f t="shared" si="32"/>
        <v>560908.25</v>
      </c>
    </row>
    <row r="657" spans="1:24" x14ac:dyDescent="0.35">
      <c r="A657" t="s">
        <v>696</v>
      </c>
      <c r="B657" t="s">
        <v>5</v>
      </c>
      <c r="C657" t="s">
        <v>27</v>
      </c>
      <c r="D657" t="s">
        <v>31</v>
      </c>
      <c r="E657" s="5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  <c r="S657" t="str">
        <f t="shared" si="30"/>
        <v>No recomendado</v>
      </c>
      <c r="T657" t="str">
        <f>VLOOKUP(A657,AssuranceTable,2,FALSE)</f>
        <v>Basic</v>
      </c>
      <c r="U657" t="str">
        <f t="shared" si="31"/>
        <v>PI78084 Arizona</v>
      </c>
      <c r="X657" s="4">
        <f t="shared" si="32"/>
        <v>507732.09</v>
      </c>
    </row>
    <row r="658" spans="1:24" x14ac:dyDescent="0.35">
      <c r="A658" t="s">
        <v>697</v>
      </c>
      <c r="B658" t="s">
        <v>3</v>
      </c>
      <c r="C658" t="s">
        <v>21</v>
      </c>
      <c r="D658" t="s">
        <v>2</v>
      </c>
      <c r="E658" s="5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  <c r="S658" t="str">
        <f t="shared" si="30"/>
        <v>Recomendado</v>
      </c>
      <c r="T658" t="str">
        <f>VLOOKUP(A658,AssuranceTable,2,FALSE)</f>
        <v>Basic</v>
      </c>
      <c r="U658" t="str">
        <f t="shared" si="31"/>
        <v>GF97874 Washington</v>
      </c>
      <c r="X658" s="4">
        <f t="shared" si="32"/>
        <v>527562.69999999995</v>
      </c>
    </row>
    <row r="659" spans="1:24" x14ac:dyDescent="0.35">
      <c r="A659" t="s">
        <v>698</v>
      </c>
      <c r="B659" t="s">
        <v>3</v>
      </c>
      <c r="C659" t="s">
        <v>21</v>
      </c>
      <c r="D659" t="s">
        <v>31</v>
      </c>
      <c r="E659" s="5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  <c r="S659" t="str">
        <f t="shared" si="30"/>
        <v>Recomendado</v>
      </c>
      <c r="T659" t="str">
        <f>VLOOKUP(A659,AssuranceTable,2,FALSE)</f>
        <v>Basic</v>
      </c>
      <c r="U659" t="str">
        <f t="shared" si="31"/>
        <v>ZH19885 Washington</v>
      </c>
      <c r="X659" s="4">
        <f t="shared" si="32"/>
        <v>251459.20000000001</v>
      </c>
    </row>
    <row r="660" spans="1:24" x14ac:dyDescent="0.35">
      <c r="A660" t="s">
        <v>699</v>
      </c>
      <c r="B660" t="s">
        <v>33</v>
      </c>
      <c r="C660" t="s">
        <v>21</v>
      </c>
      <c r="D660" t="s">
        <v>4</v>
      </c>
      <c r="E660" s="5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  <c r="S660" t="str">
        <f t="shared" si="30"/>
        <v>Recomendado</v>
      </c>
      <c r="T660" t="str">
        <f>VLOOKUP(A660,AssuranceTable,2,FALSE)</f>
        <v>Extended</v>
      </c>
      <c r="U660" t="str">
        <f t="shared" si="31"/>
        <v>UK25655 Oregon</v>
      </c>
      <c r="X660" s="4">
        <f t="shared" si="32"/>
        <v>343525.01</v>
      </c>
    </row>
    <row r="661" spans="1:24" x14ac:dyDescent="0.35">
      <c r="A661" t="s">
        <v>700</v>
      </c>
      <c r="B661" t="s">
        <v>33</v>
      </c>
      <c r="C661" t="s">
        <v>27</v>
      </c>
      <c r="D661" t="s">
        <v>4</v>
      </c>
      <c r="E661" s="5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S661" t="str">
        <f t="shared" si="30"/>
        <v>No recomendado</v>
      </c>
      <c r="T661" t="str">
        <f>VLOOKUP(A661,AssuranceTable,2,FALSE)</f>
        <v>Basic</v>
      </c>
      <c r="U661" t="str">
        <f t="shared" si="31"/>
        <v>QR45101 Oregon</v>
      </c>
      <c r="X661" s="4">
        <f t="shared" si="32"/>
        <v>662461.18000000005</v>
      </c>
    </row>
    <row r="662" spans="1:24" x14ac:dyDescent="0.35">
      <c r="A662" t="s">
        <v>701</v>
      </c>
      <c r="B662" t="s">
        <v>26</v>
      </c>
      <c r="C662" t="s">
        <v>27</v>
      </c>
      <c r="D662" t="s">
        <v>2</v>
      </c>
      <c r="E662" s="5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  <c r="S662" t="str">
        <f t="shared" si="30"/>
        <v>Recomendado</v>
      </c>
      <c r="T662" t="str">
        <f>VLOOKUP(A662,AssuranceTable,2,FALSE)</f>
        <v>Basic</v>
      </c>
      <c r="U662" t="str">
        <f t="shared" si="31"/>
        <v>EL93539 California</v>
      </c>
      <c r="X662" s="4">
        <f t="shared" si="32"/>
        <v>575744.23</v>
      </c>
    </row>
    <row r="663" spans="1:24" x14ac:dyDescent="0.35">
      <c r="A663" t="s">
        <v>702</v>
      </c>
      <c r="B663" t="s">
        <v>3</v>
      </c>
      <c r="C663" t="s">
        <v>21</v>
      </c>
      <c r="D663" t="s">
        <v>31</v>
      </c>
      <c r="E663" s="5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  <c r="S663" t="str">
        <f t="shared" si="30"/>
        <v>Recomendado</v>
      </c>
      <c r="T663" t="str">
        <f>VLOOKUP(A663,AssuranceTable,2,FALSE)</f>
        <v>Basic</v>
      </c>
      <c r="U663" t="str">
        <f t="shared" si="31"/>
        <v>EE99484 Washington</v>
      </c>
      <c r="X663" s="4">
        <f t="shared" si="32"/>
        <v>251459.20000000001</v>
      </c>
    </row>
    <row r="664" spans="1:24" x14ac:dyDescent="0.35">
      <c r="A664" t="s">
        <v>703</v>
      </c>
      <c r="B664" t="s">
        <v>26</v>
      </c>
      <c r="C664" t="s">
        <v>21</v>
      </c>
      <c r="D664" t="s">
        <v>31</v>
      </c>
      <c r="E664" s="5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  <c r="S664" t="str">
        <f t="shared" si="30"/>
        <v>Recomendado</v>
      </c>
      <c r="T664" t="str">
        <f>VLOOKUP(A664,AssuranceTable,2,FALSE)</f>
        <v>Extended</v>
      </c>
      <c r="U664" t="str">
        <f t="shared" si="31"/>
        <v>DP46882 California</v>
      </c>
      <c r="X664" s="4">
        <f t="shared" si="32"/>
        <v>288645.15999999997</v>
      </c>
    </row>
    <row r="665" spans="1:24" x14ac:dyDescent="0.35">
      <c r="A665" t="s">
        <v>704</v>
      </c>
      <c r="B665" t="s">
        <v>26</v>
      </c>
      <c r="C665" t="s">
        <v>21</v>
      </c>
      <c r="D665" t="s">
        <v>31</v>
      </c>
      <c r="E665" s="5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  <c r="S665" t="str">
        <f t="shared" si="30"/>
        <v>No recomendado</v>
      </c>
      <c r="T665" t="str">
        <f>VLOOKUP(A665,AssuranceTable,2,FALSE)</f>
        <v>Basic</v>
      </c>
      <c r="U665" t="str">
        <f t="shared" si="31"/>
        <v>WP41146 California</v>
      </c>
      <c r="X665" s="4">
        <f t="shared" si="32"/>
        <v>534143.88</v>
      </c>
    </row>
    <row r="666" spans="1:24" x14ac:dyDescent="0.35">
      <c r="A666" t="s">
        <v>705</v>
      </c>
      <c r="B666" t="s">
        <v>5</v>
      </c>
      <c r="C666" t="s">
        <v>21</v>
      </c>
      <c r="D666" t="s">
        <v>31</v>
      </c>
      <c r="E666" s="5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  <c r="S666" t="str">
        <f t="shared" si="30"/>
        <v>Recomendado</v>
      </c>
      <c r="T666" t="str">
        <f>VLOOKUP(A666,AssuranceTable,2,FALSE)</f>
        <v>Basic</v>
      </c>
      <c r="U666" t="str">
        <f t="shared" si="31"/>
        <v>TK60799 Arizona</v>
      </c>
      <c r="X666" s="4">
        <f t="shared" si="32"/>
        <v>416001.81</v>
      </c>
    </row>
    <row r="667" spans="1:24" x14ac:dyDescent="0.35">
      <c r="A667" t="s">
        <v>706</v>
      </c>
      <c r="B667" t="s">
        <v>26</v>
      </c>
      <c r="C667" t="s">
        <v>21</v>
      </c>
      <c r="D667" t="s">
        <v>35</v>
      </c>
      <c r="E667" s="5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  <c r="S667" t="str">
        <f t="shared" si="30"/>
        <v>Recomendado</v>
      </c>
      <c r="T667" t="str">
        <f>VLOOKUP(A667,AssuranceTable,2,FALSE)</f>
        <v>Basic</v>
      </c>
      <c r="U667" t="str">
        <f t="shared" si="31"/>
        <v>DN29808 California</v>
      </c>
      <c r="X667" s="4">
        <f t="shared" si="32"/>
        <v>284624.53999999998</v>
      </c>
    </row>
    <row r="668" spans="1:24" x14ac:dyDescent="0.35">
      <c r="A668" t="s">
        <v>707</v>
      </c>
      <c r="B668" t="s">
        <v>33</v>
      </c>
      <c r="C668" t="s">
        <v>21</v>
      </c>
      <c r="D668" t="s">
        <v>35</v>
      </c>
      <c r="E668" s="5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  <c r="S668" t="str">
        <f t="shared" si="30"/>
        <v>No recomendado</v>
      </c>
      <c r="T668" t="str">
        <f>VLOOKUP(A668,AssuranceTable,2,FALSE)</f>
        <v>Basic</v>
      </c>
      <c r="U668" t="str">
        <f t="shared" si="31"/>
        <v>SS59521 Oregon</v>
      </c>
      <c r="X668" s="4">
        <f t="shared" si="32"/>
        <v>477025.66</v>
      </c>
    </row>
    <row r="669" spans="1:24" x14ac:dyDescent="0.35">
      <c r="A669" t="s">
        <v>708</v>
      </c>
      <c r="B669" t="s">
        <v>33</v>
      </c>
      <c r="C669" t="s">
        <v>27</v>
      </c>
      <c r="D669" t="s">
        <v>4</v>
      </c>
      <c r="E669" s="5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  <c r="S669" t="str">
        <f t="shared" si="30"/>
        <v>Recomendado</v>
      </c>
      <c r="T669" t="str">
        <f>VLOOKUP(A669,AssuranceTable,2,FALSE)</f>
        <v>Basic</v>
      </c>
      <c r="U669" t="str">
        <f t="shared" si="31"/>
        <v>NG66579 Oregon</v>
      </c>
      <c r="X669" s="4">
        <f t="shared" si="32"/>
        <v>505961.62</v>
      </c>
    </row>
    <row r="670" spans="1:24" x14ac:dyDescent="0.35">
      <c r="A670" t="s">
        <v>709</v>
      </c>
      <c r="B670" t="s">
        <v>5</v>
      </c>
      <c r="C670" t="s">
        <v>21</v>
      </c>
      <c r="D670" t="s">
        <v>31</v>
      </c>
      <c r="E670" s="5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  <c r="S670" t="str">
        <f t="shared" si="30"/>
        <v>No recomendado</v>
      </c>
      <c r="T670" t="str">
        <f>VLOOKUP(A670,AssuranceTable,2,FALSE)</f>
        <v>Extended</v>
      </c>
      <c r="U670" t="str">
        <f t="shared" si="31"/>
        <v>TC14209 Arizona</v>
      </c>
      <c r="X670" s="4">
        <f t="shared" si="32"/>
        <v>909574.46</v>
      </c>
    </row>
    <row r="671" spans="1:24" x14ac:dyDescent="0.35">
      <c r="A671" t="s">
        <v>710</v>
      </c>
      <c r="B671" t="s">
        <v>26</v>
      </c>
      <c r="C671" t="s">
        <v>21</v>
      </c>
      <c r="D671" t="s">
        <v>31</v>
      </c>
      <c r="E671" s="5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  <c r="S671" t="str">
        <f t="shared" si="30"/>
        <v>Recomendado</v>
      </c>
      <c r="T671" t="str">
        <f>VLOOKUP(A671,AssuranceTable,2,FALSE)</f>
        <v>Basic</v>
      </c>
      <c r="U671" t="str">
        <f t="shared" si="31"/>
        <v>ED50963 California</v>
      </c>
      <c r="X671" s="4">
        <f t="shared" si="32"/>
        <v>268886.40000000002</v>
      </c>
    </row>
    <row r="672" spans="1:24" x14ac:dyDescent="0.35">
      <c r="A672" t="s">
        <v>711</v>
      </c>
      <c r="B672" t="s">
        <v>26</v>
      </c>
      <c r="C672" t="s">
        <v>21</v>
      </c>
      <c r="D672" t="s">
        <v>4</v>
      </c>
      <c r="E672" s="5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  <c r="S672" t="str">
        <f t="shared" si="30"/>
        <v>Recomendado</v>
      </c>
      <c r="T672" t="str">
        <f>VLOOKUP(A672,AssuranceTable,2,FALSE)</f>
        <v>Basic</v>
      </c>
      <c r="U672" t="str">
        <f t="shared" si="31"/>
        <v>GP40701 California</v>
      </c>
      <c r="X672" s="4">
        <f t="shared" si="32"/>
        <v>827763.76</v>
      </c>
    </row>
    <row r="673" spans="1:24" x14ac:dyDescent="0.35">
      <c r="A673" t="s">
        <v>712</v>
      </c>
      <c r="B673" t="s">
        <v>33</v>
      </c>
      <c r="C673" t="s">
        <v>21</v>
      </c>
      <c r="D673" t="s">
        <v>35</v>
      </c>
      <c r="E673" s="5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  <c r="S673" t="str">
        <f t="shared" si="30"/>
        <v>Recomendado</v>
      </c>
      <c r="T673" t="str">
        <f>VLOOKUP(A673,AssuranceTable,2,FALSE)</f>
        <v>Basic</v>
      </c>
      <c r="U673" t="str">
        <f t="shared" si="31"/>
        <v>CP98451 Oregon</v>
      </c>
      <c r="X673" s="4">
        <f t="shared" si="32"/>
        <v>905793.53</v>
      </c>
    </row>
    <row r="674" spans="1:24" x14ac:dyDescent="0.35">
      <c r="A674" t="s">
        <v>713</v>
      </c>
      <c r="B674" t="s">
        <v>26</v>
      </c>
      <c r="C674" t="s">
        <v>21</v>
      </c>
      <c r="D674" t="s">
        <v>31</v>
      </c>
      <c r="E674" s="5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  <c r="S674" t="str">
        <f t="shared" si="30"/>
        <v>Recomendado</v>
      </c>
      <c r="T674" t="str">
        <f>VLOOKUP(A674,AssuranceTable,2,FALSE)</f>
        <v>Extended</v>
      </c>
      <c r="U674" t="str">
        <f t="shared" si="31"/>
        <v>NX52648 California</v>
      </c>
      <c r="X674" s="4">
        <f t="shared" si="32"/>
        <v>380175.04</v>
      </c>
    </row>
    <row r="675" spans="1:24" x14ac:dyDescent="0.35">
      <c r="A675" t="s">
        <v>714</v>
      </c>
      <c r="B675" t="s">
        <v>5</v>
      </c>
      <c r="C675" t="s">
        <v>27</v>
      </c>
      <c r="D675" t="s">
        <v>31</v>
      </c>
      <c r="E675" s="5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  <c r="S675" t="str">
        <f t="shared" si="30"/>
        <v>Recomendado</v>
      </c>
      <c r="T675" t="str">
        <f>VLOOKUP(A675,AssuranceTable,2,FALSE)</f>
        <v>Premium</v>
      </c>
      <c r="U675" t="str">
        <f t="shared" si="31"/>
        <v>ZC32510 Arizona</v>
      </c>
      <c r="X675" s="4">
        <f t="shared" si="32"/>
        <v>933934.16</v>
      </c>
    </row>
    <row r="676" spans="1:24" x14ac:dyDescent="0.35">
      <c r="A676" t="s">
        <v>715</v>
      </c>
      <c r="B676" t="s">
        <v>33</v>
      </c>
      <c r="C676" t="s">
        <v>27</v>
      </c>
      <c r="D676" t="s">
        <v>35</v>
      </c>
      <c r="E676" s="5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  <c r="S676" t="str">
        <f t="shared" si="30"/>
        <v>No recomendado</v>
      </c>
      <c r="T676" t="str">
        <f>VLOOKUP(A676,AssuranceTable,2,FALSE)</f>
        <v>Basic</v>
      </c>
      <c r="U676" t="str">
        <f t="shared" si="31"/>
        <v>NG27780 Oregon</v>
      </c>
      <c r="X676" s="4">
        <f t="shared" si="32"/>
        <v>252012.32</v>
      </c>
    </row>
    <row r="677" spans="1:24" x14ac:dyDescent="0.35">
      <c r="A677" t="s">
        <v>716</v>
      </c>
      <c r="B677" t="s">
        <v>5</v>
      </c>
      <c r="C677" t="s">
        <v>21</v>
      </c>
      <c r="D677" t="s">
        <v>35</v>
      </c>
      <c r="E677" s="5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  <c r="S677" t="str">
        <f t="shared" si="30"/>
        <v>No recomendado</v>
      </c>
      <c r="T677" t="str">
        <f>VLOOKUP(A677,AssuranceTable,2,FALSE)</f>
        <v>Basic</v>
      </c>
      <c r="U677" t="str">
        <f t="shared" si="31"/>
        <v>HN95240 Arizona</v>
      </c>
      <c r="X677" s="4">
        <f t="shared" si="32"/>
        <v>498409.53</v>
      </c>
    </row>
    <row r="678" spans="1:24" x14ac:dyDescent="0.35">
      <c r="A678" t="s">
        <v>717</v>
      </c>
      <c r="B678" t="s">
        <v>33</v>
      </c>
      <c r="C678" t="s">
        <v>21</v>
      </c>
      <c r="D678" t="s">
        <v>4</v>
      </c>
      <c r="E678" s="5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  <c r="S678" t="str">
        <f t="shared" si="30"/>
        <v>Recomendado</v>
      </c>
      <c r="T678" t="str">
        <f>VLOOKUP(A678,AssuranceTable,2,FALSE)</f>
        <v>Basic</v>
      </c>
      <c r="U678" t="str">
        <f t="shared" si="31"/>
        <v>EB59129 Oregon</v>
      </c>
      <c r="X678" s="4">
        <f t="shared" si="32"/>
        <v>259574.8</v>
      </c>
    </row>
    <row r="679" spans="1:24" x14ac:dyDescent="0.35">
      <c r="A679" t="s">
        <v>718</v>
      </c>
      <c r="B679" t="s">
        <v>33</v>
      </c>
      <c r="C679" t="s">
        <v>27</v>
      </c>
      <c r="D679" t="s">
        <v>31</v>
      </c>
      <c r="E679" s="5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  <c r="S679" t="str">
        <f t="shared" si="30"/>
        <v>Recomendado</v>
      </c>
      <c r="T679" t="str">
        <f>VLOOKUP(A679,AssuranceTable,2,FALSE)</f>
        <v>Extended</v>
      </c>
      <c r="U679" t="str">
        <f t="shared" si="31"/>
        <v>RA70851 Oregon</v>
      </c>
      <c r="X679" s="4">
        <f t="shared" si="32"/>
        <v>743769.33</v>
      </c>
    </row>
    <row r="680" spans="1:24" x14ac:dyDescent="0.35">
      <c r="A680" t="s">
        <v>719</v>
      </c>
      <c r="B680" t="s">
        <v>33</v>
      </c>
      <c r="C680" t="s">
        <v>27</v>
      </c>
      <c r="D680" t="s">
        <v>4</v>
      </c>
      <c r="E680" s="5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  <c r="S680" t="str">
        <f t="shared" si="30"/>
        <v>Recomendado</v>
      </c>
      <c r="T680" t="str">
        <f>VLOOKUP(A680,AssuranceTable,2,FALSE)</f>
        <v>Basic</v>
      </c>
      <c r="U680" t="str">
        <f t="shared" si="31"/>
        <v>PM19162 Oregon</v>
      </c>
      <c r="X680" s="4">
        <f t="shared" si="32"/>
        <v>1453678.76</v>
      </c>
    </row>
    <row r="681" spans="1:24" x14ac:dyDescent="0.35">
      <c r="A681" t="s">
        <v>720</v>
      </c>
      <c r="B681" t="s">
        <v>23</v>
      </c>
      <c r="C681" t="s">
        <v>27</v>
      </c>
      <c r="D681" t="s">
        <v>4</v>
      </c>
      <c r="E681" s="5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  <c r="S681" t="str">
        <f t="shared" si="30"/>
        <v>Recomendado</v>
      </c>
      <c r="T681" t="str">
        <f>VLOOKUP(A681,AssuranceTable,2,FALSE)</f>
        <v>Extended</v>
      </c>
      <c r="U681" t="str">
        <f t="shared" si="31"/>
        <v>MS59005 Nevada</v>
      </c>
      <c r="X681" s="4">
        <f t="shared" si="32"/>
        <v>591330.59</v>
      </c>
    </row>
    <row r="682" spans="1:24" x14ac:dyDescent="0.35">
      <c r="A682" t="s">
        <v>721</v>
      </c>
      <c r="B682" t="s">
        <v>5</v>
      </c>
      <c r="C682" t="s">
        <v>27</v>
      </c>
      <c r="D682" t="s">
        <v>35</v>
      </c>
      <c r="E682" s="5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  <c r="S682" t="str">
        <f t="shared" si="30"/>
        <v>Recomendado</v>
      </c>
      <c r="T682" t="str">
        <f>VLOOKUP(A682,AssuranceTable,2,FALSE)</f>
        <v>Basic</v>
      </c>
      <c r="U682" t="str">
        <f t="shared" si="31"/>
        <v>SU71163 Arizona</v>
      </c>
      <c r="X682" s="4">
        <f t="shared" si="32"/>
        <v>277166.3</v>
      </c>
    </row>
    <row r="683" spans="1:24" x14ac:dyDescent="0.35">
      <c r="A683" t="s">
        <v>722</v>
      </c>
      <c r="B683" t="s">
        <v>5</v>
      </c>
      <c r="C683" t="s">
        <v>27</v>
      </c>
      <c r="D683" t="s">
        <v>2</v>
      </c>
      <c r="E683" s="5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  <c r="S683" t="str">
        <f t="shared" si="30"/>
        <v>Recomendado</v>
      </c>
      <c r="T683" t="str">
        <f>VLOOKUP(A683,AssuranceTable,2,FALSE)</f>
        <v>Extended</v>
      </c>
      <c r="U683" t="str">
        <f t="shared" si="31"/>
        <v>BD35676 Arizona</v>
      </c>
      <c r="X683" s="4">
        <f t="shared" si="32"/>
        <v>2919436.64</v>
      </c>
    </row>
    <row r="684" spans="1:24" x14ac:dyDescent="0.35">
      <c r="A684" t="s">
        <v>723</v>
      </c>
      <c r="B684" t="s">
        <v>33</v>
      </c>
      <c r="C684" t="s">
        <v>21</v>
      </c>
      <c r="D684" t="s">
        <v>2</v>
      </c>
      <c r="E684" s="5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  <c r="S684" t="str">
        <f t="shared" si="30"/>
        <v>Recomendado</v>
      </c>
      <c r="T684" t="str">
        <f>VLOOKUP(A684,AssuranceTable,2,FALSE)</f>
        <v>Extended</v>
      </c>
      <c r="U684" t="str">
        <f t="shared" si="31"/>
        <v>NI44621 Oregon</v>
      </c>
      <c r="X684" s="4">
        <f t="shared" si="32"/>
        <v>988038.58</v>
      </c>
    </row>
    <row r="685" spans="1:24" x14ac:dyDescent="0.35">
      <c r="A685" t="s">
        <v>724</v>
      </c>
      <c r="B685" t="s">
        <v>26</v>
      </c>
      <c r="C685" t="s">
        <v>21</v>
      </c>
      <c r="D685" t="s">
        <v>31</v>
      </c>
      <c r="E685" s="5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S685" t="str">
        <f t="shared" si="30"/>
        <v>Recomendado</v>
      </c>
      <c r="T685" t="str">
        <f>VLOOKUP(A685,AssuranceTable,2,FALSE)</f>
        <v>Basic</v>
      </c>
      <c r="U685" t="str">
        <f t="shared" si="31"/>
        <v>EW33419 California</v>
      </c>
      <c r="X685" s="4">
        <f t="shared" si="32"/>
        <v>1511440.24</v>
      </c>
    </row>
    <row r="686" spans="1:24" x14ac:dyDescent="0.35">
      <c r="A686" t="s">
        <v>725</v>
      </c>
      <c r="B686" t="s">
        <v>33</v>
      </c>
      <c r="C686" t="s">
        <v>27</v>
      </c>
      <c r="D686" t="s">
        <v>4</v>
      </c>
      <c r="E686" s="5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  <c r="S686" t="str">
        <f t="shared" si="30"/>
        <v>Recomendado</v>
      </c>
      <c r="T686" t="str">
        <f>VLOOKUP(A686,AssuranceTable,2,FALSE)</f>
        <v>Basic</v>
      </c>
      <c r="U686" t="str">
        <f t="shared" si="31"/>
        <v>HX44948 Oregon</v>
      </c>
      <c r="X686" s="4">
        <f t="shared" si="32"/>
        <v>575991.07999999996</v>
      </c>
    </row>
    <row r="687" spans="1:24" x14ac:dyDescent="0.35">
      <c r="A687" t="s">
        <v>726</v>
      </c>
      <c r="B687" t="s">
        <v>33</v>
      </c>
      <c r="C687" t="s">
        <v>21</v>
      </c>
      <c r="D687" t="s">
        <v>31</v>
      </c>
      <c r="E687" s="5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  <c r="S687" t="str">
        <f t="shared" si="30"/>
        <v>Recomendado</v>
      </c>
      <c r="T687" t="str">
        <f>VLOOKUP(A687,AssuranceTable,2,FALSE)</f>
        <v>Premium</v>
      </c>
      <c r="U687" t="str">
        <f t="shared" si="31"/>
        <v>DL36983 Oregon</v>
      </c>
      <c r="X687" s="4">
        <f t="shared" si="32"/>
        <v>849516.42</v>
      </c>
    </row>
    <row r="688" spans="1:24" x14ac:dyDescent="0.35">
      <c r="A688" t="s">
        <v>727</v>
      </c>
      <c r="B688" t="s">
        <v>26</v>
      </c>
      <c r="C688" t="s">
        <v>21</v>
      </c>
      <c r="D688" t="s">
        <v>4</v>
      </c>
      <c r="E688" s="5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  <c r="S688" t="str">
        <f t="shared" si="30"/>
        <v>Recomendado</v>
      </c>
      <c r="T688" t="str">
        <f>VLOOKUP(A688,AssuranceTable,2,FALSE)</f>
        <v>Premium</v>
      </c>
      <c r="U688" t="str">
        <f t="shared" si="31"/>
        <v>XR87264 California</v>
      </c>
      <c r="X688" s="4">
        <f t="shared" si="32"/>
        <v>438118.42</v>
      </c>
    </row>
    <row r="689" spans="1:24" x14ac:dyDescent="0.35">
      <c r="A689" t="s">
        <v>728</v>
      </c>
      <c r="B689" t="s">
        <v>5</v>
      </c>
      <c r="C689" t="s">
        <v>21</v>
      </c>
      <c r="D689" t="s">
        <v>35</v>
      </c>
      <c r="E689" s="5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  <c r="S689" t="str">
        <f t="shared" si="30"/>
        <v>Recomendado</v>
      </c>
      <c r="T689" t="str">
        <f>VLOOKUP(A689,AssuranceTable,2,FALSE)</f>
        <v>Extended</v>
      </c>
      <c r="U689" t="str">
        <f t="shared" si="31"/>
        <v>NN99001 Arizona</v>
      </c>
      <c r="X689" s="4">
        <f t="shared" si="32"/>
        <v>699782.74</v>
      </c>
    </row>
    <row r="690" spans="1:24" x14ac:dyDescent="0.35">
      <c r="A690" t="s">
        <v>729</v>
      </c>
      <c r="B690" t="s">
        <v>33</v>
      </c>
      <c r="C690" t="s">
        <v>27</v>
      </c>
      <c r="D690" t="s">
        <v>4</v>
      </c>
      <c r="E690" s="5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  <c r="S690" t="str">
        <f t="shared" si="30"/>
        <v>Recomendado</v>
      </c>
      <c r="T690" t="str">
        <f>VLOOKUP(A690,AssuranceTable,2,FALSE)</f>
        <v>Basic</v>
      </c>
      <c r="U690" t="str">
        <f t="shared" si="31"/>
        <v>XV95530 Oregon</v>
      </c>
      <c r="X690" s="4">
        <f t="shared" si="32"/>
        <v>1143058.8500000001</v>
      </c>
    </row>
    <row r="691" spans="1:24" x14ac:dyDescent="0.35">
      <c r="A691" t="s">
        <v>730</v>
      </c>
      <c r="B691" t="s">
        <v>33</v>
      </c>
      <c r="C691" t="s">
        <v>21</v>
      </c>
      <c r="D691" t="s">
        <v>4</v>
      </c>
      <c r="E691" s="5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  <c r="S691" t="str">
        <f t="shared" si="30"/>
        <v>Recomendado</v>
      </c>
      <c r="T691" t="str">
        <f>VLOOKUP(A691,AssuranceTable,2,FALSE)</f>
        <v>Extended</v>
      </c>
      <c r="U691" t="str">
        <f t="shared" si="31"/>
        <v>OL97871 Oregon</v>
      </c>
      <c r="X691" s="4">
        <f t="shared" si="32"/>
        <v>748248.61</v>
      </c>
    </row>
    <row r="692" spans="1:24" x14ac:dyDescent="0.35">
      <c r="A692" t="s">
        <v>731</v>
      </c>
      <c r="B692" t="s">
        <v>5</v>
      </c>
      <c r="C692" t="s">
        <v>21</v>
      </c>
      <c r="D692" t="s">
        <v>2</v>
      </c>
      <c r="E692" s="5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  <c r="S692" t="str">
        <f t="shared" si="30"/>
        <v>Recomendado</v>
      </c>
      <c r="T692" t="str">
        <f>VLOOKUP(A692,AssuranceTable,2,FALSE)</f>
        <v>Basic</v>
      </c>
      <c r="U692" t="str">
        <f t="shared" si="31"/>
        <v>HQ23708 Arizona</v>
      </c>
      <c r="X692" s="4">
        <f t="shared" si="32"/>
        <v>859691.66</v>
      </c>
    </row>
    <row r="693" spans="1:24" x14ac:dyDescent="0.35">
      <c r="A693" t="s">
        <v>732</v>
      </c>
      <c r="B693" t="s">
        <v>5</v>
      </c>
      <c r="C693" t="s">
        <v>27</v>
      </c>
      <c r="D693" t="s">
        <v>35</v>
      </c>
      <c r="E693" s="5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  <c r="S693" t="str">
        <f t="shared" si="30"/>
        <v>Recomendado</v>
      </c>
      <c r="T693" t="str">
        <f>VLOOKUP(A693,AssuranceTable,2,FALSE)</f>
        <v>Basic</v>
      </c>
      <c r="U693" t="str">
        <f t="shared" si="31"/>
        <v>WR63188 Arizona</v>
      </c>
      <c r="X693" s="4">
        <f t="shared" si="32"/>
        <v>785496.08</v>
      </c>
    </row>
    <row r="694" spans="1:24" x14ac:dyDescent="0.35">
      <c r="A694" t="s">
        <v>733</v>
      </c>
      <c r="B694" t="s">
        <v>33</v>
      </c>
      <c r="C694" t="s">
        <v>21</v>
      </c>
      <c r="D694" t="s">
        <v>4</v>
      </c>
      <c r="E694" s="5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  <c r="S694" t="str">
        <f t="shared" si="30"/>
        <v>Recomendado</v>
      </c>
      <c r="T694" t="str">
        <f>VLOOKUP(A694,AssuranceTable,2,FALSE)</f>
        <v>Basic</v>
      </c>
      <c r="U694" t="str">
        <f t="shared" si="31"/>
        <v>NG82219 Oregon</v>
      </c>
      <c r="X694" s="4">
        <f t="shared" si="32"/>
        <v>258240.85</v>
      </c>
    </row>
    <row r="695" spans="1:24" x14ac:dyDescent="0.35">
      <c r="A695" t="s">
        <v>734</v>
      </c>
      <c r="B695" t="s">
        <v>3</v>
      </c>
      <c r="C695" t="s">
        <v>27</v>
      </c>
      <c r="D695" t="s">
        <v>2</v>
      </c>
      <c r="E695" s="5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S695" t="str">
        <f t="shared" si="30"/>
        <v>Recomendado</v>
      </c>
      <c r="T695" t="str">
        <f>VLOOKUP(A695,AssuranceTable,2,FALSE)</f>
        <v>Basic</v>
      </c>
      <c r="U695" t="str">
        <f t="shared" si="31"/>
        <v>KU29408 Washington</v>
      </c>
      <c r="X695" s="4">
        <f t="shared" si="32"/>
        <v>907576.82</v>
      </c>
    </row>
    <row r="696" spans="1:24" x14ac:dyDescent="0.35">
      <c r="A696" t="s">
        <v>735</v>
      </c>
      <c r="B696" t="s">
        <v>26</v>
      </c>
      <c r="C696" t="s">
        <v>21</v>
      </c>
      <c r="D696" t="s">
        <v>4</v>
      </c>
      <c r="E696" s="5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  <c r="S696" t="str">
        <f t="shared" si="30"/>
        <v>Recomendado</v>
      </c>
      <c r="T696" t="str">
        <f>VLOOKUP(A696,AssuranceTable,2,FALSE)</f>
        <v>Premium</v>
      </c>
      <c r="U696" t="str">
        <f t="shared" si="31"/>
        <v>RE46783 California</v>
      </c>
      <c r="X696" s="4">
        <f t="shared" si="32"/>
        <v>411858.86</v>
      </c>
    </row>
    <row r="697" spans="1:24" x14ac:dyDescent="0.35">
      <c r="A697" t="s">
        <v>736</v>
      </c>
      <c r="B697" t="s">
        <v>33</v>
      </c>
      <c r="C697" t="s">
        <v>27</v>
      </c>
      <c r="D697" t="s">
        <v>31</v>
      </c>
      <c r="E697" s="5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  <c r="S697" t="str">
        <f t="shared" si="30"/>
        <v>Recomendado</v>
      </c>
      <c r="T697" t="str">
        <f>VLOOKUP(A697,AssuranceTable,2,FALSE)</f>
        <v>Premium</v>
      </c>
      <c r="U697" t="str">
        <f t="shared" si="31"/>
        <v>RU94434 Oregon</v>
      </c>
      <c r="X697" s="4">
        <f t="shared" si="32"/>
        <v>1215732.99</v>
      </c>
    </row>
    <row r="698" spans="1:24" x14ac:dyDescent="0.35">
      <c r="A698" t="s">
        <v>737</v>
      </c>
      <c r="B698" t="s">
        <v>5</v>
      </c>
      <c r="C698" t="s">
        <v>27</v>
      </c>
      <c r="D698" t="s">
        <v>4</v>
      </c>
      <c r="E698" s="5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  <c r="S698" t="str">
        <f t="shared" si="30"/>
        <v>No recomendado</v>
      </c>
      <c r="T698" t="str">
        <f>VLOOKUP(A698,AssuranceTable,2,FALSE)</f>
        <v>Basic</v>
      </c>
      <c r="U698" t="str">
        <f t="shared" si="31"/>
        <v>GI82355 Arizona</v>
      </c>
      <c r="X698" s="4">
        <f t="shared" si="32"/>
        <v>515281.96</v>
      </c>
    </row>
    <row r="699" spans="1:24" x14ac:dyDescent="0.35">
      <c r="A699" t="s">
        <v>738</v>
      </c>
      <c r="B699" t="s">
        <v>23</v>
      </c>
      <c r="C699" t="s">
        <v>27</v>
      </c>
      <c r="D699" t="s">
        <v>35</v>
      </c>
      <c r="E699" s="5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  <c r="S699" t="str">
        <f t="shared" si="30"/>
        <v>No recomendado</v>
      </c>
      <c r="T699" t="str">
        <f>VLOOKUP(A699,AssuranceTable,2,FALSE)</f>
        <v>Extended</v>
      </c>
      <c r="U699" t="str">
        <f t="shared" si="31"/>
        <v>VO26340 Nevada</v>
      </c>
      <c r="X699" s="4">
        <f t="shared" si="32"/>
        <v>651297.65</v>
      </c>
    </row>
    <row r="700" spans="1:24" x14ac:dyDescent="0.35">
      <c r="A700" t="s">
        <v>739</v>
      </c>
      <c r="B700" t="s">
        <v>5</v>
      </c>
      <c r="C700" t="s">
        <v>21</v>
      </c>
      <c r="D700" t="s">
        <v>4</v>
      </c>
      <c r="E700" s="5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  <c r="S700" t="str">
        <f t="shared" si="30"/>
        <v>Recomendado</v>
      </c>
      <c r="T700" t="str">
        <f>VLOOKUP(A700,AssuranceTable,2,FALSE)</f>
        <v>Extended</v>
      </c>
      <c r="U700" t="str">
        <f t="shared" si="31"/>
        <v>NV61299 Arizona</v>
      </c>
      <c r="X700" s="4">
        <f t="shared" si="32"/>
        <v>2778969.24</v>
      </c>
    </row>
    <row r="701" spans="1:24" x14ac:dyDescent="0.35">
      <c r="A701" t="s">
        <v>740</v>
      </c>
      <c r="B701" t="s">
        <v>3</v>
      </c>
      <c r="C701" t="s">
        <v>21</v>
      </c>
      <c r="D701" t="s">
        <v>35</v>
      </c>
      <c r="E701" s="5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  <c r="S701" t="str">
        <f t="shared" si="30"/>
        <v>Recomendado</v>
      </c>
      <c r="T701" t="str">
        <f>VLOOKUP(A701,AssuranceTable,2,FALSE)</f>
        <v>Basic</v>
      </c>
      <c r="U701" t="str">
        <f t="shared" si="31"/>
        <v>DX31066 Washington</v>
      </c>
      <c r="X701" s="4">
        <f t="shared" si="32"/>
        <v>266727</v>
      </c>
    </row>
    <row r="702" spans="1:24" x14ac:dyDescent="0.35">
      <c r="A702" t="s">
        <v>741</v>
      </c>
      <c r="B702" t="s">
        <v>33</v>
      </c>
      <c r="C702" t="s">
        <v>21</v>
      </c>
      <c r="D702" t="s">
        <v>35</v>
      </c>
      <c r="E702" s="5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  <c r="S702" t="str">
        <f t="shared" si="30"/>
        <v>Recomendado</v>
      </c>
      <c r="T702" t="str">
        <f>VLOOKUP(A702,AssuranceTable,2,FALSE)</f>
        <v>Extended</v>
      </c>
      <c r="U702" t="str">
        <f t="shared" si="31"/>
        <v>CY50337 Oregon</v>
      </c>
      <c r="X702" s="4">
        <f t="shared" si="32"/>
        <v>1092840.71</v>
      </c>
    </row>
    <row r="703" spans="1:24" x14ac:dyDescent="0.35">
      <c r="A703" t="s">
        <v>742</v>
      </c>
      <c r="B703" t="s">
        <v>5</v>
      </c>
      <c r="C703" t="s">
        <v>21</v>
      </c>
      <c r="D703" t="s">
        <v>31</v>
      </c>
      <c r="E703" s="5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  <c r="S703" t="str">
        <f t="shared" si="30"/>
        <v>Recomendado</v>
      </c>
      <c r="T703" t="str">
        <f>VLOOKUP(A703,AssuranceTable,2,FALSE)</f>
        <v>Basic</v>
      </c>
      <c r="U703" t="str">
        <f t="shared" si="31"/>
        <v>TJ20375 Arizona</v>
      </c>
      <c r="X703" s="4">
        <f t="shared" si="32"/>
        <v>761538.13</v>
      </c>
    </row>
    <row r="704" spans="1:24" x14ac:dyDescent="0.35">
      <c r="A704" t="s">
        <v>743</v>
      </c>
      <c r="B704" t="s">
        <v>26</v>
      </c>
      <c r="C704" t="s">
        <v>21</v>
      </c>
      <c r="D704" t="s">
        <v>35</v>
      </c>
      <c r="E704" s="5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  <c r="S704" t="str">
        <f t="shared" si="30"/>
        <v>No recomendado</v>
      </c>
      <c r="T704" t="str">
        <f>VLOOKUP(A704,AssuranceTable,2,FALSE)</f>
        <v>Basic</v>
      </c>
      <c r="U704" t="str">
        <f t="shared" si="31"/>
        <v>EP72155 California</v>
      </c>
      <c r="X704" s="4">
        <f t="shared" si="32"/>
        <v>200435.07</v>
      </c>
    </row>
    <row r="705" spans="1:24" x14ac:dyDescent="0.35">
      <c r="A705" t="s">
        <v>744</v>
      </c>
      <c r="B705" t="s">
        <v>26</v>
      </c>
      <c r="C705" t="s">
        <v>27</v>
      </c>
      <c r="D705" t="s">
        <v>35</v>
      </c>
      <c r="E705" s="5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  <c r="S705" t="str">
        <f t="shared" si="30"/>
        <v>Recomendado</v>
      </c>
      <c r="T705" t="str">
        <f>VLOOKUP(A705,AssuranceTable,2,FALSE)</f>
        <v>Basic</v>
      </c>
      <c r="U705" t="str">
        <f t="shared" si="31"/>
        <v>JJ76159 California</v>
      </c>
      <c r="X705" s="4">
        <f t="shared" si="32"/>
        <v>243468.12</v>
      </c>
    </row>
    <row r="706" spans="1:24" x14ac:dyDescent="0.35">
      <c r="A706" t="s">
        <v>745</v>
      </c>
      <c r="B706" t="s">
        <v>23</v>
      </c>
      <c r="C706" t="s">
        <v>21</v>
      </c>
      <c r="D706" t="s">
        <v>4</v>
      </c>
      <c r="E706" s="5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  <c r="S706" t="str">
        <f t="shared" si="30"/>
        <v>Recomendado</v>
      </c>
      <c r="T706" t="str">
        <f>VLOOKUP(A706,AssuranceTable,2,FALSE)</f>
        <v>Basic</v>
      </c>
      <c r="U706" t="str">
        <f t="shared" si="31"/>
        <v>BG15419 Nevada</v>
      </c>
      <c r="X706" s="4">
        <f t="shared" si="32"/>
        <v>1419536.03</v>
      </c>
    </row>
    <row r="707" spans="1:24" x14ac:dyDescent="0.35">
      <c r="A707" t="s">
        <v>746</v>
      </c>
      <c r="B707" t="s">
        <v>26</v>
      </c>
      <c r="C707" t="s">
        <v>21</v>
      </c>
      <c r="D707" t="s">
        <v>31</v>
      </c>
      <c r="E707" s="5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  <c r="S707" t="str">
        <f t="shared" ref="S707:S770" si="33">IF(F707&gt;3000,"Recomendado","No recomendado")</f>
        <v>Recomendado</v>
      </c>
      <c r="T707" t="str">
        <f>VLOOKUP(A707,AssuranceTable,2,FALSE)</f>
        <v>Basic</v>
      </c>
      <c r="U707" t="str">
        <f t="shared" ref="U707:U770" si="34">_xlfn.CONCAT(A707, " ",B707)</f>
        <v>AO74776 California</v>
      </c>
      <c r="X707" s="4">
        <f t="shared" ref="X707:X770" si="35">ROUND(E707,3)</f>
        <v>942768.49</v>
      </c>
    </row>
    <row r="708" spans="1:24" x14ac:dyDescent="0.35">
      <c r="A708" t="s">
        <v>747</v>
      </c>
      <c r="B708" t="s">
        <v>26</v>
      </c>
      <c r="C708" t="s">
        <v>27</v>
      </c>
      <c r="D708" t="s">
        <v>31</v>
      </c>
      <c r="E708" s="5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  <c r="S708" t="str">
        <f t="shared" si="33"/>
        <v>Recomendado</v>
      </c>
      <c r="T708" t="str">
        <f>VLOOKUP(A708,AssuranceTable,2,FALSE)</f>
        <v>Basic</v>
      </c>
      <c r="U708" t="str">
        <f t="shared" si="34"/>
        <v>HQ82233 California</v>
      </c>
      <c r="X708" s="4">
        <f t="shared" si="35"/>
        <v>1198242.0900000001</v>
      </c>
    </row>
    <row r="709" spans="1:24" x14ac:dyDescent="0.35">
      <c r="A709" t="s">
        <v>748</v>
      </c>
      <c r="B709" t="s">
        <v>33</v>
      </c>
      <c r="C709" t="s">
        <v>21</v>
      </c>
      <c r="D709" t="s">
        <v>31</v>
      </c>
      <c r="E709" s="5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  <c r="S709" t="str">
        <f t="shared" si="33"/>
        <v>Recomendado</v>
      </c>
      <c r="T709" t="str">
        <f>VLOOKUP(A709,AssuranceTable,2,FALSE)</f>
        <v>Extended</v>
      </c>
      <c r="U709" t="str">
        <f t="shared" si="34"/>
        <v>OL72737 Oregon</v>
      </c>
      <c r="X709" s="4">
        <f t="shared" si="35"/>
        <v>310278.95</v>
      </c>
    </row>
    <row r="710" spans="1:24" x14ac:dyDescent="0.35">
      <c r="A710" t="s">
        <v>749</v>
      </c>
      <c r="B710" t="s">
        <v>26</v>
      </c>
      <c r="C710" t="s">
        <v>27</v>
      </c>
      <c r="D710" t="s">
        <v>31</v>
      </c>
      <c r="E710" s="5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  <c r="S710" t="str">
        <f t="shared" si="33"/>
        <v>Recomendado</v>
      </c>
      <c r="T710" t="str">
        <f>VLOOKUP(A710,AssuranceTable,2,FALSE)</f>
        <v>Basic</v>
      </c>
      <c r="U710" t="str">
        <f t="shared" si="34"/>
        <v>ZQ59828 California</v>
      </c>
      <c r="X710" s="4">
        <f t="shared" si="35"/>
        <v>422263.12</v>
      </c>
    </row>
    <row r="711" spans="1:24" x14ac:dyDescent="0.35">
      <c r="A711" t="s">
        <v>750</v>
      </c>
      <c r="B711" t="s">
        <v>33</v>
      </c>
      <c r="C711" t="s">
        <v>27</v>
      </c>
      <c r="D711" t="s">
        <v>4</v>
      </c>
      <c r="E711" s="5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  <c r="S711" t="str">
        <f t="shared" si="33"/>
        <v>Recomendado</v>
      </c>
      <c r="T711" t="str">
        <f>VLOOKUP(A711,AssuranceTable,2,FALSE)</f>
        <v>Premium</v>
      </c>
      <c r="U711" t="str">
        <f t="shared" si="34"/>
        <v>NZ15548 Oregon</v>
      </c>
      <c r="X711" s="4">
        <f t="shared" si="35"/>
        <v>402381.44</v>
      </c>
    </row>
    <row r="712" spans="1:24" x14ac:dyDescent="0.35">
      <c r="A712" t="s">
        <v>751</v>
      </c>
      <c r="B712" t="s">
        <v>26</v>
      </c>
      <c r="C712" t="s">
        <v>21</v>
      </c>
      <c r="D712" t="s">
        <v>35</v>
      </c>
      <c r="E712" s="5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  <c r="S712" t="str">
        <f t="shared" si="33"/>
        <v>Recomendado</v>
      </c>
      <c r="T712" t="str">
        <f>VLOOKUP(A712,AssuranceTable,2,FALSE)</f>
        <v>Basic</v>
      </c>
      <c r="U712" t="str">
        <f t="shared" si="34"/>
        <v>XK61304 California</v>
      </c>
      <c r="X712" s="4">
        <f t="shared" si="35"/>
        <v>529715.18000000005</v>
      </c>
    </row>
    <row r="713" spans="1:24" x14ac:dyDescent="0.35">
      <c r="A713" t="s">
        <v>752</v>
      </c>
      <c r="B713" t="s">
        <v>33</v>
      </c>
      <c r="C713" t="s">
        <v>27</v>
      </c>
      <c r="D713" t="s">
        <v>4</v>
      </c>
      <c r="E713" s="5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  <c r="S713" t="str">
        <f t="shared" si="33"/>
        <v>No recomendado</v>
      </c>
      <c r="T713" t="str">
        <f>VLOOKUP(A713,AssuranceTable,2,FALSE)</f>
        <v>Basic</v>
      </c>
      <c r="U713" t="str">
        <f t="shared" si="34"/>
        <v>EJ44139 Oregon</v>
      </c>
      <c r="X713" s="4">
        <f t="shared" si="35"/>
        <v>2142363.7200000002</v>
      </c>
    </row>
    <row r="714" spans="1:24" x14ac:dyDescent="0.35">
      <c r="A714" t="s">
        <v>753</v>
      </c>
      <c r="B714" t="s">
        <v>5</v>
      </c>
      <c r="C714" t="s">
        <v>27</v>
      </c>
      <c r="D714" t="s">
        <v>4</v>
      </c>
      <c r="E714" s="5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  <c r="S714" t="str">
        <f t="shared" si="33"/>
        <v>Recomendado</v>
      </c>
      <c r="T714" t="str">
        <f>VLOOKUP(A714,AssuranceTable,2,FALSE)</f>
        <v>Basic</v>
      </c>
      <c r="U714" t="str">
        <f t="shared" si="34"/>
        <v>CM94425 Arizona</v>
      </c>
      <c r="X714" s="4">
        <f t="shared" si="35"/>
        <v>441620.62</v>
      </c>
    </row>
    <row r="715" spans="1:24" x14ac:dyDescent="0.35">
      <c r="A715" t="s">
        <v>754</v>
      </c>
      <c r="B715" t="s">
        <v>26</v>
      </c>
      <c r="C715" t="s">
        <v>27</v>
      </c>
      <c r="D715" t="s">
        <v>4</v>
      </c>
      <c r="E715" s="5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S715" t="str">
        <f t="shared" si="33"/>
        <v>No recomendado</v>
      </c>
      <c r="T715" t="str">
        <f>VLOOKUP(A715,AssuranceTable,2,FALSE)</f>
        <v>Premium</v>
      </c>
      <c r="U715" t="str">
        <f t="shared" si="34"/>
        <v>OV54878 California</v>
      </c>
      <c r="X715" s="4">
        <f t="shared" si="35"/>
        <v>463903.52</v>
      </c>
    </row>
    <row r="716" spans="1:24" x14ac:dyDescent="0.35">
      <c r="A716" t="s">
        <v>755</v>
      </c>
      <c r="B716" t="s">
        <v>23</v>
      </c>
      <c r="C716" t="s">
        <v>27</v>
      </c>
      <c r="D716" t="s">
        <v>4</v>
      </c>
      <c r="E716" s="5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  <c r="S716" t="str">
        <f t="shared" si="33"/>
        <v>No recomendado</v>
      </c>
      <c r="T716" t="str">
        <f>VLOOKUP(A716,AssuranceTable,2,FALSE)</f>
        <v>Extended</v>
      </c>
      <c r="U716" t="str">
        <f t="shared" si="34"/>
        <v>JF57282 Nevada</v>
      </c>
      <c r="X716" s="4">
        <f t="shared" si="35"/>
        <v>486354.46</v>
      </c>
    </row>
    <row r="717" spans="1:24" x14ac:dyDescent="0.35">
      <c r="A717" t="s">
        <v>756</v>
      </c>
      <c r="B717" t="s">
        <v>5</v>
      </c>
      <c r="C717" t="s">
        <v>21</v>
      </c>
      <c r="D717" t="s">
        <v>4</v>
      </c>
      <c r="E717" s="5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  <c r="S717" t="str">
        <f t="shared" si="33"/>
        <v>Recomendado</v>
      </c>
      <c r="T717" t="str">
        <f>VLOOKUP(A717,AssuranceTable,2,FALSE)</f>
        <v>Basic</v>
      </c>
      <c r="U717" t="str">
        <f t="shared" si="34"/>
        <v>MY37953 Arizona</v>
      </c>
      <c r="X717" s="4">
        <f t="shared" si="35"/>
        <v>2583090.98</v>
      </c>
    </row>
    <row r="718" spans="1:24" x14ac:dyDescent="0.35">
      <c r="A718" t="s">
        <v>757</v>
      </c>
      <c r="B718" t="s">
        <v>33</v>
      </c>
      <c r="C718" t="s">
        <v>21</v>
      </c>
      <c r="D718" t="s">
        <v>35</v>
      </c>
      <c r="E718" s="5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  <c r="S718" t="str">
        <f t="shared" si="33"/>
        <v>Recomendado</v>
      </c>
      <c r="T718" t="str">
        <f>VLOOKUP(A718,AssuranceTable,2,FALSE)</f>
        <v>Basic</v>
      </c>
      <c r="U718" t="str">
        <f t="shared" si="34"/>
        <v>XP64922 Oregon</v>
      </c>
      <c r="X718" s="4">
        <f t="shared" si="35"/>
        <v>297431.49</v>
      </c>
    </row>
    <row r="719" spans="1:24" x14ac:dyDescent="0.35">
      <c r="A719" t="s">
        <v>758</v>
      </c>
      <c r="B719" t="s">
        <v>26</v>
      </c>
      <c r="C719" t="s">
        <v>27</v>
      </c>
      <c r="D719" t="s">
        <v>35</v>
      </c>
      <c r="E719" s="5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  <c r="S719" t="str">
        <f t="shared" si="33"/>
        <v>No recomendado</v>
      </c>
      <c r="T719" t="str">
        <f>VLOOKUP(A719,AssuranceTable,2,FALSE)</f>
        <v>Basic</v>
      </c>
      <c r="U719" t="str">
        <f t="shared" si="34"/>
        <v>WL65572 California</v>
      </c>
      <c r="X719" s="4">
        <f t="shared" si="35"/>
        <v>206445.88</v>
      </c>
    </row>
    <row r="720" spans="1:24" x14ac:dyDescent="0.35">
      <c r="A720" t="s">
        <v>759</v>
      </c>
      <c r="B720" t="s">
        <v>5</v>
      </c>
      <c r="C720" t="s">
        <v>21</v>
      </c>
      <c r="D720" t="s">
        <v>31</v>
      </c>
      <c r="E720" s="5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S720" t="str">
        <f t="shared" si="33"/>
        <v>Recomendado</v>
      </c>
      <c r="T720" t="str">
        <f>VLOOKUP(A720,AssuranceTable,2,FALSE)</f>
        <v>Extended</v>
      </c>
      <c r="U720" t="str">
        <f t="shared" si="34"/>
        <v>LN50325 Arizona</v>
      </c>
      <c r="X720" s="4">
        <f t="shared" si="35"/>
        <v>1006460.83</v>
      </c>
    </row>
    <row r="721" spans="1:24" x14ac:dyDescent="0.35">
      <c r="A721" t="s">
        <v>760</v>
      </c>
      <c r="B721" t="s">
        <v>3</v>
      </c>
      <c r="C721" t="s">
        <v>27</v>
      </c>
      <c r="D721" t="s">
        <v>2</v>
      </c>
      <c r="E721" s="5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  <c r="S721" t="str">
        <f t="shared" si="33"/>
        <v>Recomendado</v>
      </c>
      <c r="T721" t="str">
        <f>VLOOKUP(A721,AssuranceTable,2,FALSE)</f>
        <v>Basic</v>
      </c>
      <c r="U721" t="str">
        <f t="shared" si="34"/>
        <v>HJ15383 Washington</v>
      </c>
      <c r="X721" s="4">
        <f t="shared" si="35"/>
        <v>803240.19</v>
      </c>
    </row>
    <row r="722" spans="1:24" x14ac:dyDescent="0.35">
      <c r="A722" t="s">
        <v>761</v>
      </c>
      <c r="B722" t="s">
        <v>26</v>
      </c>
      <c r="C722" t="s">
        <v>27</v>
      </c>
      <c r="D722" t="s">
        <v>35</v>
      </c>
      <c r="E722" s="5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S722" t="str">
        <f t="shared" si="33"/>
        <v>Recomendado</v>
      </c>
      <c r="T722" t="str">
        <f>VLOOKUP(A722,AssuranceTable,2,FALSE)</f>
        <v>Extended</v>
      </c>
      <c r="U722" t="str">
        <f t="shared" si="34"/>
        <v>KH59823 California</v>
      </c>
      <c r="X722" s="4">
        <f t="shared" si="35"/>
        <v>548921.41</v>
      </c>
    </row>
    <row r="723" spans="1:24" x14ac:dyDescent="0.35">
      <c r="A723" t="s">
        <v>762</v>
      </c>
      <c r="B723" t="s">
        <v>26</v>
      </c>
      <c r="C723" t="s">
        <v>27</v>
      </c>
      <c r="D723" t="s">
        <v>4</v>
      </c>
      <c r="E723" s="5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  <c r="S723" t="str">
        <f t="shared" si="33"/>
        <v>Recomendado</v>
      </c>
      <c r="T723" t="str">
        <f>VLOOKUP(A723,AssuranceTable,2,FALSE)</f>
        <v>Basic</v>
      </c>
      <c r="U723" t="str">
        <f t="shared" si="34"/>
        <v>YM79169 California</v>
      </c>
      <c r="X723" s="4">
        <f t="shared" si="35"/>
        <v>261275.67</v>
      </c>
    </row>
    <row r="724" spans="1:24" x14ac:dyDescent="0.35">
      <c r="A724" t="s">
        <v>763</v>
      </c>
      <c r="B724" t="s">
        <v>26</v>
      </c>
      <c r="C724" t="s">
        <v>27</v>
      </c>
      <c r="D724" t="s">
        <v>35</v>
      </c>
      <c r="E724" s="5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  <c r="S724" t="str">
        <f t="shared" si="33"/>
        <v>Recomendado</v>
      </c>
      <c r="T724" t="str">
        <f>VLOOKUP(A724,AssuranceTable,2,FALSE)</f>
        <v>Premium</v>
      </c>
      <c r="U724" t="str">
        <f t="shared" si="34"/>
        <v>DR38127 California</v>
      </c>
      <c r="X724" s="4">
        <f t="shared" si="35"/>
        <v>857346.39</v>
      </c>
    </row>
    <row r="725" spans="1:24" x14ac:dyDescent="0.35">
      <c r="A725" t="s">
        <v>764</v>
      </c>
      <c r="B725" t="s">
        <v>26</v>
      </c>
      <c r="C725" t="s">
        <v>27</v>
      </c>
      <c r="D725" t="s">
        <v>4</v>
      </c>
      <c r="E725" s="5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  <c r="S725" t="str">
        <f t="shared" si="33"/>
        <v>Recomendado</v>
      </c>
      <c r="T725" t="str">
        <f>VLOOKUP(A725,AssuranceTable,2,FALSE)</f>
        <v>Basic</v>
      </c>
      <c r="U725" t="str">
        <f t="shared" si="34"/>
        <v>PU42145 California</v>
      </c>
      <c r="X725" s="4">
        <f t="shared" si="35"/>
        <v>2412750.4</v>
      </c>
    </row>
    <row r="726" spans="1:24" x14ac:dyDescent="0.35">
      <c r="A726" t="s">
        <v>765</v>
      </c>
      <c r="B726" t="s">
        <v>33</v>
      </c>
      <c r="C726" t="s">
        <v>27</v>
      </c>
      <c r="D726" t="s">
        <v>35</v>
      </c>
      <c r="E726" s="5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  <c r="S726" t="str">
        <f t="shared" si="33"/>
        <v>Recomendado</v>
      </c>
      <c r="T726" t="str">
        <f>VLOOKUP(A726,AssuranceTable,2,FALSE)</f>
        <v>Basic</v>
      </c>
      <c r="U726" t="str">
        <f t="shared" si="34"/>
        <v>KM33477 Oregon</v>
      </c>
      <c r="X726" s="4">
        <f t="shared" si="35"/>
        <v>855038.66</v>
      </c>
    </row>
    <row r="727" spans="1:24" x14ac:dyDescent="0.35">
      <c r="A727" t="s">
        <v>766</v>
      </c>
      <c r="B727" t="s">
        <v>5</v>
      </c>
      <c r="C727" t="s">
        <v>27</v>
      </c>
      <c r="D727" t="s">
        <v>4</v>
      </c>
      <c r="E727" s="5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  <c r="S727" t="str">
        <f t="shared" si="33"/>
        <v>Recomendado</v>
      </c>
      <c r="T727" t="str">
        <f>VLOOKUP(A727,AssuranceTable,2,FALSE)</f>
        <v>Basic</v>
      </c>
      <c r="U727" t="str">
        <f t="shared" si="34"/>
        <v>RI53167 Arizona</v>
      </c>
      <c r="X727" s="4">
        <f t="shared" si="35"/>
        <v>230864.8</v>
      </c>
    </row>
    <row r="728" spans="1:24" x14ac:dyDescent="0.35">
      <c r="A728" t="s">
        <v>767</v>
      </c>
      <c r="B728" t="s">
        <v>5</v>
      </c>
      <c r="C728" t="s">
        <v>21</v>
      </c>
      <c r="D728" t="s">
        <v>31</v>
      </c>
      <c r="E728" s="5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  <c r="S728" t="str">
        <f t="shared" si="33"/>
        <v>Recomendado</v>
      </c>
      <c r="T728" t="str">
        <f>VLOOKUP(A728,AssuranceTable,2,FALSE)</f>
        <v>Basic</v>
      </c>
      <c r="U728" t="str">
        <f t="shared" si="34"/>
        <v>OF77789 Arizona</v>
      </c>
      <c r="X728" s="4">
        <f t="shared" si="35"/>
        <v>425462.07</v>
      </c>
    </row>
    <row r="729" spans="1:24" x14ac:dyDescent="0.35">
      <c r="A729" t="s">
        <v>768</v>
      </c>
      <c r="B729" t="s">
        <v>33</v>
      </c>
      <c r="C729" t="s">
        <v>21</v>
      </c>
      <c r="D729" t="s">
        <v>35</v>
      </c>
      <c r="E729" s="5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S729" t="str">
        <f t="shared" si="33"/>
        <v>Recomendado</v>
      </c>
      <c r="T729" t="str">
        <f>VLOOKUP(A729,AssuranceTable,2,FALSE)</f>
        <v>Basic</v>
      </c>
      <c r="U729" t="str">
        <f t="shared" si="34"/>
        <v>YB33445 Oregon</v>
      </c>
      <c r="X729" s="4">
        <f t="shared" si="35"/>
        <v>898285.04</v>
      </c>
    </row>
    <row r="730" spans="1:24" x14ac:dyDescent="0.35">
      <c r="A730" t="s">
        <v>769</v>
      </c>
      <c r="B730" t="s">
        <v>26</v>
      </c>
      <c r="C730" t="s">
        <v>27</v>
      </c>
      <c r="D730" t="s">
        <v>31</v>
      </c>
      <c r="E730" s="5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  <c r="S730" t="str">
        <f t="shared" si="33"/>
        <v>Recomendado</v>
      </c>
      <c r="T730" t="str">
        <f>VLOOKUP(A730,AssuranceTable,2,FALSE)</f>
        <v>Basic</v>
      </c>
      <c r="U730" t="str">
        <f t="shared" si="34"/>
        <v>BA17836 California</v>
      </c>
      <c r="X730" s="4">
        <f t="shared" si="35"/>
        <v>786816.6</v>
      </c>
    </row>
    <row r="731" spans="1:24" x14ac:dyDescent="0.35">
      <c r="A731" t="s">
        <v>770</v>
      </c>
      <c r="B731" t="s">
        <v>26</v>
      </c>
      <c r="C731" t="s">
        <v>27</v>
      </c>
      <c r="D731" t="s">
        <v>35</v>
      </c>
      <c r="E731" s="5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  <c r="S731" t="str">
        <f t="shared" si="33"/>
        <v>Recomendado</v>
      </c>
      <c r="T731" t="str">
        <f>VLOOKUP(A731,AssuranceTable,2,FALSE)</f>
        <v>Extended</v>
      </c>
      <c r="U731" t="str">
        <f t="shared" si="34"/>
        <v>JS43228 California</v>
      </c>
      <c r="X731" s="4">
        <f t="shared" si="35"/>
        <v>770424.87</v>
      </c>
    </row>
    <row r="732" spans="1:24" x14ac:dyDescent="0.35">
      <c r="A732" t="s">
        <v>771</v>
      </c>
      <c r="B732" t="s">
        <v>23</v>
      </c>
      <c r="C732" t="s">
        <v>27</v>
      </c>
      <c r="D732" t="s">
        <v>2</v>
      </c>
      <c r="E732" s="5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  <c r="S732" t="str">
        <f t="shared" si="33"/>
        <v>Recomendado</v>
      </c>
      <c r="T732" t="str">
        <f>VLOOKUP(A732,AssuranceTable,2,FALSE)</f>
        <v>Extended</v>
      </c>
      <c r="U732" t="str">
        <f t="shared" si="34"/>
        <v>BB11622 Nevada</v>
      </c>
      <c r="X732" s="4">
        <f t="shared" si="35"/>
        <v>1055217</v>
      </c>
    </row>
    <row r="733" spans="1:24" x14ac:dyDescent="0.35">
      <c r="A733" t="s">
        <v>772</v>
      </c>
      <c r="B733" t="s">
        <v>3</v>
      </c>
      <c r="C733" t="s">
        <v>21</v>
      </c>
      <c r="D733" t="s">
        <v>35</v>
      </c>
      <c r="E733" s="5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  <c r="S733" t="str">
        <f t="shared" si="33"/>
        <v>No recomendado</v>
      </c>
      <c r="T733" t="str">
        <f>VLOOKUP(A733,AssuranceTable,2,FALSE)</f>
        <v>Basic</v>
      </c>
      <c r="U733" t="str">
        <f t="shared" si="34"/>
        <v>HQ70429 Washington</v>
      </c>
      <c r="X733" s="4">
        <f t="shared" si="35"/>
        <v>1604510.95</v>
      </c>
    </row>
    <row r="734" spans="1:24" x14ac:dyDescent="0.35">
      <c r="A734" t="s">
        <v>773</v>
      </c>
      <c r="B734" t="s">
        <v>5</v>
      </c>
      <c r="C734" t="s">
        <v>27</v>
      </c>
      <c r="D734" t="s">
        <v>4</v>
      </c>
      <c r="E734" s="5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  <c r="S734" t="str">
        <f t="shared" si="33"/>
        <v>Recomendado</v>
      </c>
      <c r="T734" t="str">
        <f>VLOOKUP(A734,AssuranceTable,2,FALSE)</f>
        <v>Basic</v>
      </c>
      <c r="U734" t="str">
        <f t="shared" si="34"/>
        <v>WK88044 Arizona</v>
      </c>
      <c r="X734" s="4">
        <f t="shared" si="35"/>
        <v>873783.75</v>
      </c>
    </row>
    <row r="735" spans="1:24" x14ac:dyDescent="0.35">
      <c r="A735" t="s">
        <v>774</v>
      </c>
      <c r="B735" t="s">
        <v>23</v>
      </c>
      <c r="C735" t="s">
        <v>27</v>
      </c>
      <c r="D735" t="s">
        <v>4</v>
      </c>
      <c r="E735" s="5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S735" t="str">
        <f t="shared" si="33"/>
        <v>No recomendado</v>
      </c>
      <c r="T735" t="str">
        <f>VLOOKUP(A735,AssuranceTable,2,FALSE)</f>
        <v>Extended</v>
      </c>
      <c r="U735" t="str">
        <f t="shared" si="34"/>
        <v>LA80525 Nevada</v>
      </c>
      <c r="X735" s="4">
        <f t="shared" si="35"/>
        <v>545489.06999999995</v>
      </c>
    </row>
    <row r="736" spans="1:24" x14ac:dyDescent="0.35">
      <c r="A736" t="s">
        <v>775</v>
      </c>
      <c r="B736" t="s">
        <v>5</v>
      </c>
      <c r="C736" t="s">
        <v>27</v>
      </c>
      <c r="D736" t="s">
        <v>4</v>
      </c>
      <c r="E736" s="5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  <c r="S736" t="str">
        <f t="shared" si="33"/>
        <v>Recomendado</v>
      </c>
      <c r="T736" t="str">
        <f>VLOOKUP(A736,AssuranceTable,2,FALSE)</f>
        <v>Basic</v>
      </c>
      <c r="U736" t="str">
        <f t="shared" si="34"/>
        <v>EH16250 Arizona</v>
      </c>
      <c r="X736" s="4">
        <f t="shared" si="35"/>
        <v>770528.33</v>
      </c>
    </row>
    <row r="737" spans="1:24" x14ac:dyDescent="0.35">
      <c r="A737" t="s">
        <v>776</v>
      </c>
      <c r="B737" t="s">
        <v>5</v>
      </c>
      <c r="C737" t="s">
        <v>21</v>
      </c>
      <c r="D737" t="s">
        <v>31</v>
      </c>
      <c r="E737" s="5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  <c r="S737" t="str">
        <f t="shared" si="33"/>
        <v>Recomendado</v>
      </c>
      <c r="T737" t="str">
        <f>VLOOKUP(A737,AssuranceTable,2,FALSE)</f>
        <v>Extended</v>
      </c>
      <c r="U737" t="str">
        <f t="shared" si="34"/>
        <v>PU41872 Arizona</v>
      </c>
      <c r="X737" s="4">
        <f t="shared" si="35"/>
        <v>703926.24</v>
      </c>
    </row>
    <row r="738" spans="1:24" x14ac:dyDescent="0.35">
      <c r="A738" t="s">
        <v>777</v>
      </c>
      <c r="B738" t="s">
        <v>26</v>
      </c>
      <c r="C738" t="s">
        <v>27</v>
      </c>
      <c r="D738" t="s">
        <v>4</v>
      </c>
      <c r="E738" s="5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  <c r="S738" t="str">
        <f t="shared" si="33"/>
        <v>Recomendado</v>
      </c>
      <c r="T738" t="str">
        <f>VLOOKUP(A738,AssuranceTable,2,FALSE)</f>
        <v>Basic</v>
      </c>
      <c r="U738" t="str">
        <f t="shared" si="34"/>
        <v>HB85743 California</v>
      </c>
      <c r="X738" s="4">
        <f t="shared" si="35"/>
        <v>883808.56</v>
      </c>
    </row>
    <row r="739" spans="1:24" x14ac:dyDescent="0.35">
      <c r="A739" t="s">
        <v>778</v>
      </c>
      <c r="B739" t="s">
        <v>5</v>
      </c>
      <c r="C739" t="s">
        <v>27</v>
      </c>
      <c r="D739" t="s">
        <v>4</v>
      </c>
      <c r="E739" s="5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  <c r="S739" t="str">
        <f t="shared" si="33"/>
        <v>Recomendado</v>
      </c>
      <c r="T739" t="str">
        <f>VLOOKUP(A739,AssuranceTable,2,FALSE)</f>
        <v>Basic</v>
      </c>
      <c r="U739" t="str">
        <f t="shared" si="34"/>
        <v>MM71959 Arizona</v>
      </c>
      <c r="X739" s="4">
        <f t="shared" si="35"/>
        <v>873352.73</v>
      </c>
    </row>
    <row r="740" spans="1:24" x14ac:dyDescent="0.35">
      <c r="A740" t="s">
        <v>779</v>
      </c>
      <c r="B740" t="s">
        <v>33</v>
      </c>
      <c r="C740" t="s">
        <v>21</v>
      </c>
      <c r="D740" t="s">
        <v>4</v>
      </c>
      <c r="E740" s="5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  <c r="S740" t="str">
        <f t="shared" si="33"/>
        <v>Recomendado</v>
      </c>
      <c r="T740" t="str">
        <f>VLOOKUP(A740,AssuranceTable,2,FALSE)</f>
        <v>Extended</v>
      </c>
      <c r="U740" t="str">
        <f t="shared" si="34"/>
        <v>MB83663 Oregon</v>
      </c>
      <c r="X740" s="4">
        <f t="shared" si="35"/>
        <v>959747.48</v>
      </c>
    </row>
    <row r="741" spans="1:24" x14ac:dyDescent="0.35">
      <c r="A741" t="s">
        <v>780</v>
      </c>
      <c r="B741" t="s">
        <v>26</v>
      </c>
      <c r="C741" t="s">
        <v>27</v>
      </c>
      <c r="D741" t="s">
        <v>35</v>
      </c>
      <c r="E741" s="5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  <c r="S741" t="str">
        <f t="shared" si="33"/>
        <v>No recomendado</v>
      </c>
      <c r="T741" t="str">
        <f>VLOOKUP(A741,AssuranceTable,2,FALSE)</f>
        <v>Basic</v>
      </c>
      <c r="U741" t="str">
        <f t="shared" si="34"/>
        <v>KR43119 California</v>
      </c>
      <c r="X741" s="4">
        <f t="shared" si="35"/>
        <v>450666.02</v>
      </c>
    </row>
    <row r="742" spans="1:24" x14ac:dyDescent="0.35">
      <c r="A742" t="s">
        <v>781</v>
      </c>
      <c r="B742" t="s">
        <v>33</v>
      </c>
      <c r="C742" t="s">
        <v>27</v>
      </c>
      <c r="D742" t="s">
        <v>35</v>
      </c>
      <c r="E742" s="5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  <c r="S742" t="str">
        <f t="shared" si="33"/>
        <v>Recomendado</v>
      </c>
      <c r="T742" t="str">
        <f>VLOOKUP(A742,AssuranceTable,2,FALSE)</f>
        <v>Basic</v>
      </c>
      <c r="U742" t="str">
        <f t="shared" si="34"/>
        <v>KH24214 Oregon</v>
      </c>
      <c r="X742" s="4">
        <f t="shared" si="35"/>
        <v>1785797.23</v>
      </c>
    </row>
    <row r="743" spans="1:24" x14ac:dyDescent="0.35">
      <c r="A743" t="s">
        <v>782</v>
      </c>
      <c r="B743" t="s">
        <v>3</v>
      </c>
      <c r="C743" t="s">
        <v>27</v>
      </c>
      <c r="D743" t="s">
        <v>53</v>
      </c>
      <c r="E743" s="5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  <c r="S743" t="str">
        <f t="shared" si="33"/>
        <v>Recomendado</v>
      </c>
      <c r="T743" t="str">
        <f>VLOOKUP(A743,AssuranceTable,2,FALSE)</f>
        <v>Basic</v>
      </c>
      <c r="U743" t="str">
        <f t="shared" si="34"/>
        <v>AC40767 Washington</v>
      </c>
      <c r="X743" s="4">
        <f t="shared" si="35"/>
        <v>249780.82</v>
      </c>
    </row>
    <row r="744" spans="1:24" x14ac:dyDescent="0.35">
      <c r="A744" t="s">
        <v>783</v>
      </c>
      <c r="B744" t="s">
        <v>33</v>
      </c>
      <c r="C744" t="s">
        <v>27</v>
      </c>
      <c r="D744" t="s">
        <v>2</v>
      </c>
      <c r="E744" s="5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  <c r="S744" t="str">
        <f t="shared" si="33"/>
        <v>No recomendado</v>
      </c>
      <c r="T744" t="str">
        <f>VLOOKUP(A744,AssuranceTable,2,FALSE)</f>
        <v>Basic</v>
      </c>
      <c r="U744" t="str">
        <f t="shared" si="34"/>
        <v>HP55391 Oregon</v>
      </c>
      <c r="X744" s="4">
        <f t="shared" si="35"/>
        <v>542613.62</v>
      </c>
    </row>
    <row r="745" spans="1:24" x14ac:dyDescent="0.35">
      <c r="A745" t="s">
        <v>784</v>
      </c>
      <c r="B745" t="s">
        <v>26</v>
      </c>
      <c r="C745" t="s">
        <v>21</v>
      </c>
      <c r="D745" t="s">
        <v>31</v>
      </c>
      <c r="E745" s="5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  <c r="S745" t="str">
        <f t="shared" si="33"/>
        <v>Recomendado</v>
      </c>
      <c r="T745" t="str">
        <f>VLOOKUP(A745,AssuranceTable,2,FALSE)</f>
        <v>Basic</v>
      </c>
      <c r="U745" t="str">
        <f t="shared" si="34"/>
        <v>EG62398 California</v>
      </c>
      <c r="X745" s="4">
        <f t="shared" si="35"/>
        <v>799814.38</v>
      </c>
    </row>
    <row r="746" spans="1:24" x14ac:dyDescent="0.35">
      <c r="A746" t="s">
        <v>785</v>
      </c>
      <c r="B746" t="s">
        <v>23</v>
      </c>
      <c r="C746" t="s">
        <v>27</v>
      </c>
      <c r="D746" t="s">
        <v>4</v>
      </c>
      <c r="E746" s="5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  <c r="S746" t="str">
        <f t="shared" si="33"/>
        <v>Recomendado</v>
      </c>
      <c r="T746" t="str">
        <f>VLOOKUP(A746,AssuranceTable,2,FALSE)</f>
        <v>Basic</v>
      </c>
      <c r="U746" t="str">
        <f t="shared" si="34"/>
        <v>VS19949 Nevada</v>
      </c>
      <c r="X746" s="4">
        <f t="shared" si="35"/>
        <v>289762.07</v>
      </c>
    </row>
    <row r="747" spans="1:24" x14ac:dyDescent="0.35">
      <c r="A747" t="s">
        <v>786</v>
      </c>
      <c r="B747" t="s">
        <v>33</v>
      </c>
      <c r="C747" t="s">
        <v>21</v>
      </c>
      <c r="D747" t="s">
        <v>31</v>
      </c>
      <c r="E747" s="5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  <c r="S747" t="str">
        <f t="shared" si="33"/>
        <v>Recomendado</v>
      </c>
      <c r="T747" t="str">
        <f>VLOOKUP(A747,AssuranceTable,2,FALSE)</f>
        <v>Extended</v>
      </c>
      <c r="U747" t="str">
        <f t="shared" si="34"/>
        <v>AM92343 Oregon</v>
      </c>
      <c r="X747" s="4">
        <f t="shared" si="35"/>
        <v>1159950.22</v>
      </c>
    </row>
    <row r="748" spans="1:24" x14ac:dyDescent="0.35">
      <c r="A748" t="s">
        <v>787</v>
      </c>
      <c r="B748" t="s">
        <v>26</v>
      </c>
      <c r="C748" t="s">
        <v>21</v>
      </c>
      <c r="D748" t="s">
        <v>4</v>
      </c>
      <c r="E748" s="5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  <c r="S748" t="str">
        <f t="shared" si="33"/>
        <v>Recomendado</v>
      </c>
      <c r="T748" t="str">
        <f>VLOOKUP(A748,AssuranceTable,2,FALSE)</f>
        <v>Basic</v>
      </c>
      <c r="U748" t="str">
        <f t="shared" si="34"/>
        <v>GI68556 California</v>
      </c>
      <c r="X748" s="4">
        <f t="shared" si="35"/>
        <v>1514793.06</v>
      </c>
    </row>
    <row r="749" spans="1:24" x14ac:dyDescent="0.35">
      <c r="A749" t="s">
        <v>788</v>
      </c>
      <c r="B749" t="s">
        <v>102</v>
      </c>
      <c r="C749" t="s">
        <v>21</v>
      </c>
      <c r="D749" t="s">
        <v>31</v>
      </c>
      <c r="E749" s="5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  <c r="S749" t="str">
        <f t="shared" si="33"/>
        <v>No recomendado</v>
      </c>
      <c r="T749" t="str">
        <f>VLOOKUP(A749,AssuranceTable,2,FALSE)</f>
        <v>Basic</v>
      </c>
      <c r="U749" t="str">
        <f t="shared" si="34"/>
        <v>JT11876 WA</v>
      </c>
      <c r="X749" s="4">
        <f t="shared" si="35"/>
        <v>543576.78</v>
      </c>
    </row>
    <row r="750" spans="1:24" x14ac:dyDescent="0.35">
      <c r="A750" t="s">
        <v>789</v>
      </c>
      <c r="B750" t="s">
        <v>23</v>
      </c>
      <c r="C750" t="s">
        <v>21</v>
      </c>
      <c r="D750" t="s">
        <v>2</v>
      </c>
      <c r="E750" s="5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  <c r="S750" t="str">
        <f t="shared" si="33"/>
        <v>Recomendado</v>
      </c>
      <c r="T750" t="str">
        <f>VLOOKUP(A750,AssuranceTable,2,FALSE)</f>
        <v>Basic</v>
      </c>
      <c r="U750" t="str">
        <f t="shared" si="34"/>
        <v>XR64251 Nevada</v>
      </c>
      <c r="X750" s="4">
        <f t="shared" si="35"/>
        <v>272535.64</v>
      </c>
    </row>
    <row r="751" spans="1:24" x14ac:dyDescent="0.35">
      <c r="A751" t="s">
        <v>790</v>
      </c>
      <c r="B751" t="s">
        <v>33</v>
      </c>
      <c r="C751" t="s">
        <v>21</v>
      </c>
      <c r="D751" t="s">
        <v>35</v>
      </c>
      <c r="E751" s="5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S751" t="str">
        <f t="shared" si="33"/>
        <v>Recomendado</v>
      </c>
      <c r="T751" t="str">
        <f>VLOOKUP(A751,AssuranceTable,2,FALSE)</f>
        <v>Basic</v>
      </c>
      <c r="U751" t="str">
        <f t="shared" si="34"/>
        <v>MK34957 Oregon</v>
      </c>
      <c r="X751" s="4">
        <f t="shared" si="35"/>
        <v>1329771.23</v>
      </c>
    </row>
    <row r="752" spans="1:24" x14ac:dyDescent="0.35">
      <c r="A752" t="s">
        <v>791</v>
      </c>
      <c r="B752" t="s">
        <v>26</v>
      </c>
      <c r="C752" t="s">
        <v>27</v>
      </c>
      <c r="D752" t="s">
        <v>35</v>
      </c>
      <c r="E752" s="5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  <c r="S752" t="str">
        <f t="shared" si="33"/>
        <v>Recomendado</v>
      </c>
      <c r="T752" t="str">
        <f>VLOOKUP(A752,AssuranceTable,2,FALSE)</f>
        <v>Extended</v>
      </c>
      <c r="U752" t="str">
        <f t="shared" si="34"/>
        <v>GP18756 California</v>
      </c>
      <c r="X752" s="4">
        <f t="shared" si="35"/>
        <v>992704.97</v>
      </c>
    </row>
    <row r="753" spans="1:24" x14ac:dyDescent="0.35">
      <c r="A753" t="s">
        <v>792</v>
      </c>
      <c r="B753" t="s">
        <v>102</v>
      </c>
      <c r="C753" t="s">
        <v>21</v>
      </c>
      <c r="D753" t="s">
        <v>31</v>
      </c>
      <c r="E753" s="5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  <c r="S753" t="str">
        <f t="shared" si="33"/>
        <v>No recomendado</v>
      </c>
      <c r="T753" t="str">
        <f>VLOOKUP(A753,AssuranceTable,2,FALSE)</f>
        <v>Premium</v>
      </c>
      <c r="U753" t="str">
        <f t="shared" si="34"/>
        <v>AP23850 WA</v>
      </c>
      <c r="X753" s="4">
        <f t="shared" si="35"/>
        <v>1777154.9</v>
      </c>
    </row>
    <row r="754" spans="1:24" x14ac:dyDescent="0.35">
      <c r="A754" t="s">
        <v>793</v>
      </c>
      <c r="B754" t="s">
        <v>5</v>
      </c>
      <c r="C754" t="s">
        <v>21</v>
      </c>
      <c r="D754" t="s">
        <v>35</v>
      </c>
      <c r="E754" s="5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  <c r="S754" t="str">
        <f t="shared" si="33"/>
        <v>Recomendado</v>
      </c>
      <c r="T754" t="str">
        <f>VLOOKUP(A754,AssuranceTable,2,FALSE)</f>
        <v>Basic</v>
      </c>
      <c r="U754" t="str">
        <f t="shared" si="34"/>
        <v>KQ65521 Arizona</v>
      </c>
      <c r="X754" s="4">
        <f t="shared" si="35"/>
        <v>1826927.02</v>
      </c>
    </row>
    <row r="755" spans="1:24" x14ac:dyDescent="0.35">
      <c r="A755" t="s">
        <v>794</v>
      </c>
      <c r="B755" t="s">
        <v>26</v>
      </c>
      <c r="C755" t="s">
        <v>21</v>
      </c>
      <c r="D755" t="s">
        <v>35</v>
      </c>
      <c r="E755" s="5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  <c r="S755" t="str">
        <f t="shared" si="33"/>
        <v>Recomendado</v>
      </c>
      <c r="T755" t="str">
        <f>VLOOKUP(A755,AssuranceTable,2,FALSE)</f>
        <v>Basic</v>
      </c>
      <c r="U755" t="str">
        <f t="shared" si="34"/>
        <v>EJ19449 California</v>
      </c>
      <c r="X755" s="4">
        <f t="shared" si="35"/>
        <v>272221.07</v>
      </c>
    </row>
    <row r="756" spans="1:24" x14ac:dyDescent="0.35">
      <c r="A756" t="s">
        <v>795</v>
      </c>
      <c r="B756" t="s">
        <v>26</v>
      </c>
      <c r="C756" t="s">
        <v>21</v>
      </c>
      <c r="D756" t="s">
        <v>4</v>
      </c>
      <c r="E756" s="5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  <c r="S756" t="str">
        <f t="shared" si="33"/>
        <v>Recomendado</v>
      </c>
      <c r="T756" t="str">
        <f>VLOOKUP(A756,AssuranceTable,2,FALSE)</f>
        <v>Extended</v>
      </c>
      <c r="U756" t="str">
        <f t="shared" si="34"/>
        <v>QB70027 California</v>
      </c>
      <c r="X756" s="4">
        <f t="shared" si="35"/>
        <v>708321.24</v>
      </c>
    </row>
    <row r="757" spans="1:24" x14ac:dyDescent="0.35">
      <c r="A757" t="s">
        <v>796</v>
      </c>
      <c r="B757" t="s">
        <v>48</v>
      </c>
      <c r="C757" t="s">
        <v>21</v>
      </c>
      <c r="D757" t="s">
        <v>4</v>
      </c>
      <c r="E757" s="5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  <c r="S757" t="str">
        <f t="shared" si="33"/>
        <v>Recomendado</v>
      </c>
      <c r="T757" t="str">
        <f>VLOOKUP(A757,AssuranceTable,2,FALSE)</f>
        <v>Premium</v>
      </c>
      <c r="U757" t="str">
        <f t="shared" si="34"/>
        <v>QW47320 Cali</v>
      </c>
      <c r="X757" s="4">
        <f t="shared" si="35"/>
        <v>1017971.7</v>
      </c>
    </row>
    <row r="758" spans="1:24" x14ac:dyDescent="0.35">
      <c r="A758" t="s">
        <v>797</v>
      </c>
      <c r="B758" t="s">
        <v>23</v>
      </c>
      <c r="C758" t="s">
        <v>21</v>
      </c>
      <c r="D758" t="s">
        <v>35</v>
      </c>
      <c r="E758" s="5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  <c r="S758" t="str">
        <f t="shared" si="33"/>
        <v>Recomendado</v>
      </c>
      <c r="T758" t="str">
        <f>VLOOKUP(A758,AssuranceTable,2,FALSE)</f>
        <v>Basic</v>
      </c>
      <c r="U758" t="str">
        <f t="shared" si="34"/>
        <v>KH64733 Nevada</v>
      </c>
      <c r="X758" s="4">
        <f t="shared" si="35"/>
        <v>588950.91</v>
      </c>
    </row>
    <row r="759" spans="1:24" x14ac:dyDescent="0.35">
      <c r="A759" t="s">
        <v>798</v>
      </c>
      <c r="B759" t="s">
        <v>5</v>
      </c>
      <c r="C759" t="s">
        <v>27</v>
      </c>
      <c r="D759" t="s">
        <v>31</v>
      </c>
      <c r="E759" s="5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S759" t="str">
        <f t="shared" si="33"/>
        <v>Recomendado</v>
      </c>
      <c r="T759" t="str">
        <f>VLOOKUP(A759,AssuranceTable,2,FALSE)</f>
        <v>Extended</v>
      </c>
      <c r="U759" t="str">
        <f t="shared" si="34"/>
        <v>ON59472 Arizona</v>
      </c>
      <c r="X759" s="4">
        <f t="shared" si="35"/>
        <v>1577139.34</v>
      </c>
    </row>
    <row r="760" spans="1:24" x14ac:dyDescent="0.35">
      <c r="A760" t="s">
        <v>799</v>
      </c>
      <c r="B760" t="s">
        <v>5</v>
      </c>
      <c r="C760" t="s">
        <v>21</v>
      </c>
      <c r="D760" t="s">
        <v>4</v>
      </c>
      <c r="E760" s="5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  <c r="S760" t="str">
        <f t="shared" si="33"/>
        <v>Recomendado</v>
      </c>
      <c r="T760" t="str">
        <f>VLOOKUP(A760,AssuranceTable,2,FALSE)</f>
        <v>Basic</v>
      </c>
      <c r="U760" t="str">
        <f t="shared" si="34"/>
        <v>HP94242 Arizona</v>
      </c>
      <c r="X760" s="4">
        <f t="shared" si="35"/>
        <v>528817.32999999996</v>
      </c>
    </row>
    <row r="761" spans="1:24" x14ac:dyDescent="0.35">
      <c r="A761" t="s">
        <v>800</v>
      </c>
      <c r="B761" t="s">
        <v>33</v>
      </c>
      <c r="C761" t="s">
        <v>27</v>
      </c>
      <c r="D761" t="s">
        <v>35</v>
      </c>
      <c r="E761" s="5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  <c r="S761" t="str">
        <f t="shared" si="33"/>
        <v>No recomendado</v>
      </c>
      <c r="T761" t="str">
        <f>VLOOKUP(A761,AssuranceTable,2,FALSE)</f>
        <v>Extended</v>
      </c>
      <c r="U761" t="str">
        <f t="shared" si="34"/>
        <v>RV15398 Oregon</v>
      </c>
      <c r="X761" s="4">
        <f t="shared" si="35"/>
        <v>2758055.4</v>
      </c>
    </row>
    <row r="762" spans="1:24" x14ac:dyDescent="0.35">
      <c r="A762" t="s">
        <v>801</v>
      </c>
      <c r="B762" t="s">
        <v>102</v>
      </c>
      <c r="C762" t="s">
        <v>27</v>
      </c>
      <c r="D762" t="s">
        <v>31</v>
      </c>
      <c r="E762" s="5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S762" t="str">
        <f t="shared" si="33"/>
        <v>Recomendado</v>
      </c>
      <c r="T762" t="str">
        <f>VLOOKUP(A762,AssuranceTable,2,FALSE)</f>
        <v>Basic</v>
      </c>
      <c r="U762" t="str">
        <f t="shared" si="34"/>
        <v>EA25683 WA</v>
      </c>
      <c r="X762" s="4">
        <f t="shared" si="35"/>
        <v>777853.23</v>
      </c>
    </row>
    <row r="763" spans="1:24" x14ac:dyDescent="0.35">
      <c r="A763" t="s">
        <v>802</v>
      </c>
      <c r="B763" t="s">
        <v>48</v>
      </c>
      <c r="C763" t="s">
        <v>21</v>
      </c>
      <c r="D763" t="s">
        <v>31</v>
      </c>
      <c r="E763" s="5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  <c r="S763" t="str">
        <f t="shared" si="33"/>
        <v>No recomendado</v>
      </c>
      <c r="T763" t="str">
        <f>VLOOKUP(A763,AssuranceTable,2,FALSE)</f>
        <v>Basic</v>
      </c>
      <c r="U763" t="str">
        <f t="shared" si="34"/>
        <v>PW73754 Cali</v>
      </c>
      <c r="X763" s="4">
        <f t="shared" si="35"/>
        <v>734186.13</v>
      </c>
    </row>
    <row r="764" spans="1:24" x14ac:dyDescent="0.35">
      <c r="A764" t="s">
        <v>803</v>
      </c>
      <c r="B764" t="s">
        <v>48</v>
      </c>
      <c r="C764" t="s">
        <v>21</v>
      </c>
      <c r="D764" t="s">
        <v>31</v>
      </c>
      <c r="E764" s="5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  <c r="S764" t="str">
        <f t="shared" si="33"/>
        <v>Recomendado</v>
      </c>
      <c r="T764" t="str">
        <f>VLOOKUP(A764,AssuranceTable,2,FALSE)</f>
        <v>Extended</v>
      </c>
      <c r="U764" t="str">
        <f t="shared" si="34"/>
        <v>MC71942 Cali</v>
      </c>
      <c r="X764" s="4">
        <f t="shared" si="35"/>
        <v>791919.7</v>
      </c>
    </row>
    <row r="765" spans="1:24" x14ac:dyDescent="0.35">
      <c r="A765" t="s">
        <v>804</v>
      </c>
      <c r="B765" t="s">
        <v>5</v>
      </c>
      <c r="C765" t="s">
        <v>27</v>
      </c>
      <c r="D765" t="s">
        <v>35</v>
      </c>
      <c r="E765" s="5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S765" t="str">
        <f t="shared" si="33"/>
        <v>No recomendado</v>
      </c>
      <c r="T765" t="str">
        <f>VLOOKUP(A765,AssuranceTable,2,FALSE)</f>
        <v>Basic</v>
      </c>
      <c r="U765" t="str">
        <f t="shared" si="34"/>
        <v>OX72195 Arizona</v>
      </c>
      <c r="X765" s="4">
        <f t="shared" si="35"/>
        <v>216387.02</v>
      </c>
    </row>
    <row r="766" spans="1:24" x14ac:dyDescent="0.35">
      <c r="A766" t="s">
        <v>805</v>
      </c>
      <c r="B766" t="s">
        <v>23</v>
      </c>
      <c r="C766" t="s">
        <v>27</v>
      </c>
      <c r="D766" t="s">
        <v>31</v>
      </c>
      <c r="E766" s="5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  <c r="S766" t="str">
        <f t="shared" si="33"/>
        <v>Recomendado</v>
      </c>
      <c r="T766" t="str">
        <f>VLOOKUP(A766,AssuranceTable,2,FALSE)</f>
        <v>Extended</v>
      </c>
      <c r="U766" t="str">
        <f t="shared" si="34"/>
        <v>YQ99152 Nevada</v>
      </c>
      <c r="X766" s="4">
        <f t="shared" si="35"/>
        <v>978780.88</v>
      </c>
    </row>
    <row r="767" spans="1:24" x14ac:dyDescent="0.35">
      <c r="A767" t="s">
        <v>806</v>
      </c>
      <c r="B767" t="s">
        <v>33</v>
      </c>
      <c r="C767" t="s">
        <v>21</v>
      </c>
      <c r="D767" t="s">
        <v>31</v>
      </c>
      <c r="E767" s="5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  <c r="S767" t="str">
        <f t="shared" si="33"/>
        <v>Recomendado</v>
      </c>
      <c r="T767" t="str">
        <f>VLOOKUP(A767,AssuranceTable,2,FALSE)</f>
        <v>Basic</v>
      </c>
      <c r="U767" t="str">
        <f t="shared" si="34"/>
        <v>KI19439 Oregon</v>
      </c>
      <c r="X767" s="4">
        <f t="shared" si="35"/>
        <v>520764.08</v>
      </c>
    </row>
    <row r="768" spans="1:24" x14ac:dyDescent="0.35">
      <c r="A768" t="s">
        <v>807</v>
      </c>
      <c r="B768" t="s">
        <v>33</v>
      </c>
      <c r="C768" t="s">
        <v>21</v>
      </c>
      <c r="D768" t="s">
        <v>4</v>
      </c>
      <c r="E768" s="5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S768" t="str">
        <f t="shared" si="33"/>
        <v>Recomendado</v>
      </c>
      <c r="T768" t="str">
        <f>VLOOKUP(A768,AssuranceTable,2,FALSE)</f>
        <v>Extended</v>
      </c>
      <c r="U768" t="str">
        <f t="shared" si="34"/>
        <v>PM76175 Oregon</v>
      </c>
      <c r="X768" s="4">
        <f t="shared" si="35"/>
        <v>2114727.7200000002</v>
      </c>
    </row>
    <row r="769" spans="1:24" x14ac:dyDescent="0.35">
      <c r="A769" t="s">
        <v>808</v>
      </c>
      <c r="B769" t="s">
        <v>48</v>
      </c>
      <c r="C769" t="s">
        <v>27</v>
      </c>
      <c r="D769" t="s">
        <v>35</v>
      </c>
      <c r="E769" s="5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  <c r="S769" t="str">
        <f t="shared" si="33"/>
        <v>Recomendado</v>
      </c>
      <c r="T769" t="str">
        <f>VLOOKUP(A769,AssuranceTable,2,FALSE)</f>
        <v>Premium</v>
      </c>
      <c r="U769" t="str">
        <f t="shared" si="34"/>
        <v>US45383 Cali</v>
      </c>
      <c r="X769" s="4">
        <f t="shared" si="35"/>
        <v>1228076.6599999999</v>
      </c>
    </row>
    <row r="770" spans="1:24" x14ac:dyDescent="0.35">
      <c r="A770" t="s">
        <v>809</v>
      </c>
      <c r="B770" t="s">
        <v>48</v>
      </c>
      <c r="C770" t="s">
        <v>21</v>
      </c>
      <c r="D770" t="s">
        <v>35</v>
      </c>
      <c r="E770" s="5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  <c r="S770" t="str">
        <f t="shared" si="33"/>
        <v>No recomendado</v>
      </c>
      <c r="T770" t="str">
        <f>VLOOKUP(A770,AssuranceTable,2,FALSE)</f>
        <v>Basic</v>
      </c>
      <c r="U770" t="str">
        <f t="shared" si="34"/>
        <v>GT38956 Cali</v>
      </c>
      <c r="X770" s="4">
        <f t="shared" si="35"/>
        <v>244139.42</v>
      </c>
    </row>
    <row r="771" spans="1:24" x14ac:dyDescent="0.35">
      <c r="A771" t="s">
        <v>810</v>
      </c>
      <c r="B771" t="s">
        <v>33</v>
      </c>
      <c r="C771" t="s">
        <v>27</v>
      </c>
      <c r="D771" t="s">
        <v>4</v>
      </c>
      <c r="E771" s="5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  <c r="S771" t="str">
        <f t="shared" ref="S771:S834" si="36">IF(F771&gt;3000,"Recomendado","No recomendado")</f>
        <v>No recomendado</v>
      </c>
      <c r="T771" t="str">
        <f>VLOOKUP(A771,AssuranceTable,2,FALSE)</f>
        <v>Basic</v>
      </c>
      <c r="U771" t="str">
        <f t="shared" ref="U771:U834" si="37">_xlfn.CONCAT(A771, " ",B771)</f>
        <v>SN41301 Oregon</v>
      </c>
      <c r="X771" s="4">
        <f t="shared" ref="X771:X834" si="38">ROUND(E771,3)</f>
        <v>653556.06000000006</v>
      </c>
    </row>
    <row r="772" spans="1:24" x14ac:dyDescent="0.35">
      <c r="A772" t="s">
        <v>811</v>
      </c>
      <c r="B772" t="s">
        <v>102</v>
      </c>
      <c r="C772" t="s">
        <v>21</v>
      </c>
      <c r="D772" t="s">
        <v>35</v>
      </c>
      <c r="E772" s="5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  <c r="S772" t="str">
        <f t="shared" si="36"/>
        <v>Recomendado</v>
      </c>
      <c r="T772" t="str">
        <f>VLOOKUP(A772,AssuranceTable,2,FALSE)</f>
        <v>Extended</v>
      </c>
      <c r="U772" t="str">
        <f t="shared" si="37"/>
        <v>BE62503 WA</v>
      </c>
      <c r="X772" s="4">
        <f t="shared" si="38"/>
        <v>920659.83</v>
      </c>
    </row>
    <row r="773" spans="1:24" x14ac:dyDescent="0.35">
      <c r="A773" t="s">
        <v>812</v>
      </c>
      <c r="B773" t="s">
        <v>48</v>
      </c>
      <c r="C773" t="s">
        <v>21</v>
      </c>
      <c r="D773" t="s">
        <v>4</v>
      </c>
      <c r="E773" s="5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  <c r="S773" t="str">
        <f t="shared" si="36"/>
        <v>Recomendado</v>
      </c>
      <c r="T773" t="str">
        <f>VLOOKUP(A773,AssuranceTable,2,FALSE)</f>
        <v>Premium</v>
      </c>
      <c r="U773" t="str">
        <f t="shared" si="37"/>
        <v>PA16884 Cali</v>
      </c>
      <c r="X773" s="4">
        <f t="shared" si="38"/>
        <v>411858.86</v>
      </c>
    </row>
    <row r="774" spans="1:24" x14ac:dyDescent="0.35">
      <c r="A774" t="s">
        <v>813</v>
      </c>
      <c r="B774" t="s">
        <v>23</v>
      </c>
      <c r="C774" t="s">
        <v>21</v>
      </c>
      <c r="D774" t="s">
        <v>4</v>
      </c>
      <c r="E774" s="5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  <c r="S774" t="str">
        <f t="shared" si="36"/>
        <v>Recomendado</v>
      </c>
      <c r="T774" t="str">
        <f>VLOOKUP(A774,AssuranceTable,2,FALSE)</f>
        <v>Basic</v>
      </c>
      <c r="U774" t="str">
        <f t="shared" si="37"/>
        <v>NC58480 Nevada</v>
      </c>
      <c r="X774" s="4">
        <f t="shared" si="38"/>
        <v>483820.9</v>
      </c>
    </row>
    <row r="775" spans="1:24" x14ac:dyDescent="0.35">
      <c r="A775" t="s">
        <v>814</v>
      </c>
      <c r="B775" t="s">
        <v>48</v>
      </c>
      <c r="C775" t="s">
        <v>21</v>
      </c>
      <c r="D775" t="s">
        <v>35</v>
      </c>
      <c r="E775" s="5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  <c r="S775" t="str">
        <f t="shared" si="36"/>
        <v>Recomendado</v>
      </c>
      <c r="T775" t="str">
        <f>VLOOKUP(A775,AssuranceTable,2,FALSE)</f>
        <v>Basic</v>
      </c>
      <c r="U775" t="str">
        <f t="shared" si="37"/>
        <v>NS39326 Cali</v>
      </c>
      <c r="X775" s="4">
        <f t="shared" si="38"/>
        <v>462554.81</v>
      </c>
    </row>
    <row r="776" spans="1:24" x14ac:dyDescent="0.35">
      <c r="A776" t="s">
        <v>815</v>
      </c>
      <c r="B776" t="s">
        <v>5</v>
      </c>
      <c r="C776" t="s">
        <v>27</v>
      </c>
      <c r="D776" t="s">
        <v>4</v>
      </c>
      <c r="E776" s="5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  <c r="S776" t="str">
        <f t="shared" si="36"/>
        <v>Recomendado</v>
      </c>
      <c r="T776" t="str">
        <f>VLOOKUP(A776,AssuranceTable,2,FALSE)</f>
        <v>Premium</v>
      </c>
      <c r="U776" t="str">
        <f t="shared" si="37"/>
        <v>PN18507 Arizona</v>
      </c>
      <c r="X776" s="4">
        <f t="shared" si="38"/>
        <v>1404210.3</v>
      </c>
    </row>
    <row r="777" spans="1:24" x14ac:dyDescent="0.35">
      <c r="A777" t="s">
        <v>816</v>
      </c>
      <c r="B777" t="s">
        <v>33</v>
      </c>
      <c r="C777" t="s">
        <v>27</v>
      </c>
      <c r="D777" t="s">
        <v>4</v>
      </c>
      <c r="E777" s="5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S777" t="str">
        <f t="shared" si="36"/>
        <v>Recomendado</v>
      </c>
      <c r="T777" t="str">
        <f>VLOOKUP(A777,AssuranceTable,2,FALSE)</f>
        <v>Basic</v>
      </c>
      <c r="U777" t="str">
        <f t="shared" si="37"/>
        <v>EK91340 Oregon</v>
      </c>
      <c r="X777" s="4">
        <f t="shared" si="38"/>
        <v>754661.35</v>
      </c>
    </row>
    <row r="778" spans="1:24" x14ac:dyDescent="0.35">
      <c r="A778" t="s">
        <v>817</v>
      </c>
      <c r="B778" t="s">
        <v>48</v>
      </c>
      <c r="C778" t="s">
        <v>21</v>
      </c>
      <c r="D778" t="s">
        <v>31</v>
      </c>
      <c r="E778" s="5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  <c r="S778" t="str">
        <f t="shared" si="36"/>
        <v>Recomendado</v>
      </c>
      <c r="T778" t="str">
        <f>VLOOKUP(A778,AssuranceTable,2,FALSE)</f>
        <v>Basic</v>
      </c>
      <c r="U778" t="str">
        <f t="shared" si="37"/>
        <v>JY16280 Cali</v>
      </c>
      <c r="X778" s="4">
        <f t="shared" si="38"/>
        <v>251459.20000000001</v>
      </c>
    </row>
    <row r="779" spans="1:24" x14ac:dyDescent="0.35">
      <c r="A779" t="s">
        <v>818</v>
      </c>
      <c r="B779" t="s">
        <v>48</v>
      </c>
      <c r="C779" t="s">
        <v>27</v>
      </c>
      <c r="D779" t="s">
        <v>4</v>
      </c>
      <c r="E779" s="5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S779" t="str">
        <f t="shared" si="36"/>
        <v>Recomendado</v>
      </c>
      <c r="T779" t="str">
        <f>VLOOKUP(A779,AssuranceTable,2,FALSE)</f>
        <v>Extended</v>
      </c>
      <c r="U779" t="str">
        <f t="shared" si="37"/>
        <v>ZW71731 Cali</v>
      </c>
      <c r="X779" s="4">
        <f t="shared" si="38"/>
        <v>517035.84</v>
      </c>
    </row>
    <row r="780" spans="1:24" x14ac:dyDescent="0.35">
      <c r="A780" t="s">
        <v>819</v>
      </c>
      <c r="B780" t="s">
        <v>33</v>
      </c>
      <c r="C780" t="s">
        <v>27</v>
      </c>
      <c r="D780" t="s">
        <v>35</v>
      </c>
      <c r="E780" s="5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  <c r="S780" t="str">
        <f t="shared" si="36"/>
        <v>Recomendado</v>
      </c>
      <c r="T780" t="str">
        <f>VLOOKUP(A780,AssuranceTable,2,FALSE)</f>
        <v>Extended</v>
      </c>
      <c r="U780" t="str">
        <f t="shared" si="37"/>
        <v>ZC24631 Oregon</v>
      </c>
      <c r="X780" s="4">
        <f t="shared" si="38"/>
        <v>1391737.72</v>
      </c>
    </row>
    <row r="781" spans="1:24" x14ac:dyDescent="0.35">
      <c r="A781" t="s">
        <v>820</v>
      </c>
      <c r="B781" t="s">
        <v>48</v>
      </c>
      <c r="C781" t="s">
        <v>21</v>
      </c>
      <c r="D781" t="s">
        <v>31</v>
      </c>
      <c r="E781" s="5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  <c r="S781" t="str">
        <f t="shared" si="36"/>
        <v>Recomendado</v>
      </c>
      <c r="T781" t="str">
        <f>VLOOKUP(A781,AssuranceTable,2,FALSE)</f>
        <v>Extended</v>
      </c>
      <c r="U781" t="str">
        <f t="shared" si="37"/>
        <v>YR34689 Cali</v>
      </c>
      <c r="X781" s="4">
        <f t="shared" si="38"/>
        <v>1131813.08</v>
      </c>
    </row>
    <row r="782" spans="1:24" x14ac:dyDescent="0.35">
      <c r="A782" t="s">
        <v>821</v>
      </c>
      <c r="B782" t="s">
        <v>33</v>
      </c>
      <c r="C782" t="s">
        <v>27</v>
      </c>
      <c r="D782" t="s">
        <v>4</v>
      </c>
      <c r="E782" s="5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  <c r="S782" t="str">
        <f t="shared" si="36"/>
        <v>Recomendado</v>
      </c>
      <c r="T782" t="str">
        <f>VLOOKUP(A782,AssuranceTable,2,FALSE)</f>
        <v>Premium</v>
      </c>
      <c r="U782" t="str">
        <f t="shared" si="37"/>
        <v>RT65829 Oregon</v>
      </c>
      <c r="X782" s="4">
        <f t="shared" si="38"/>
        <v>427636.36</v>
      </c>
    </row>
    <row r="783" spans="1:24" x14ac:dyDescent="0.35">
      <c r="A783" t="s">
        <v>822</v>
      </c>
      <c r="B783" t="s">
        <v>33</v>
      </c>
      <c r="C783" t="s">
        <v>21</v>
      </c>
      <c r="D783" t="s">
        <v>31</v>
      </c>
      <c r="E783" s="5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  <c r="S783" t="str">
        <f t="shared" si="36"/>
        <v>No recomendado</v>
      </c>
      <c r="T783" t="str">
        <f>VLOOKUP(A783,AssuranceTable,2,FALSE)</f>
        <v>Basic</v>
      </c>
      <c r="U783" t="str">
        <f t="shared" si="37"/>
        <v>BZ12077 Oregon</v>
      </c>
      <c r="X783" s="4">
        <f t="shared" si="38"/>
        <v>432224.03</v>
      </c>
    </row>
    <row r="784" spans="1:24" x14ac:dyDescent="0.35">
      <c r="A784" t="s">
        <v>823</v>
      </c>
      <c r="B784" t="s">
        <v>48</v>
      </c>
      <c r="C784" t="s">
        <v>21</v>
      </c>
      <c r="D784" t="s">
        <v>35</v>
      </c>
      <c r="E784" s="5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S784" t="str">
        <f t="shared" si="36"/>
        <v>No recomendado</v>
      </c>
      <c r="T784" t="str">
        <f>VLOOKUP(A784,AssuranceTable,2,FALSE)</f>
        <v>Basic</v>
      </c>
      <c r="U784" t="str">
        <f t="shared" si="37"/>
        <v>WM65373 Cali</v>
      </c>
      <c r="X784" s="4">
        <f t="shared" si="38"/>
        <v>800230.83</v>
      </c>
    </row>
    <row r="785" spans="1:24" x14ac:dyDescent="0.35">
      <c r="A785" t="s">
        <v>824</v>
      </c>
      <c r="B785" t="s">
        <v>23</v>
      </c>
      <c r="C785" t="s">
        <v>27</v>
      </c>
      <c r="D785" t="s">
        <v>35</v>
      </c>
      <c r="E785" s="5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  <c r="S785" t="str">
        <f t="shared" si="36"/>
        <v>No recomendado</v>
      </c>
      <c r="T785" t="str">
        <f>VLOOKUP(A785,AssuranceTable,2,FALSE)</f>
        <v>Premium</v>
      </c>
      <c r="U785" t="str">
        <f t="shared" si="37"/>
        <v>NH35059 Nevada</v>
      </c>
      <c r="X785" s="4">
        <f t="shared" si="38"/>
        <v>388545.64</v>
      </c>
    </row>
    <row r="786" spans="1:24" x14ac:dyDescent="0.35">
      <c r="A786" t="s">
        <v>825</v>
      </c>
      <c r="B786" t="s">
        <v>33</v>
      </c>
      <c r="C786" t="s">
        <v>27</v>
      </c>
      <c r="D786" t="s">
        <v>35</v>
      </c>
      <c r="E786" s="5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  <c r="S786" t="str">
        <f t="shared" si="36"/>
        <v>No recomendado</v>
      </c>
      <c r="T786" t="str">
        <f>VLOOKUP(A786,AssuranceTable,2,FALSE)</f>
        <v>Extended</v>
      </c>
      <c r="U786" t="str">
        <f t="shared" si="37"/>
        <v>QD38160 Oregon</v>
      </c>
      <c r="X786" s="4">
        <f t="shared" si="38"/>
        <v>447177.82</v>
      </c>
    </row>
    <row r="787" spans="1:24" x14ac:dyDescent="0.35">
      <c r="A787" t="s">
        <v>826</v>
      </c>
      <c r="B787" t="s">
        <v>48</v>
      </c>
      <c r="C787" t="s">
        <v>21</v>
      </c>
      <c r="D787" t="s">
        <v>31</v>
      </c>
      <c r="E787" s="5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  <c r="S787" t="str">
        <f t="shared" si="36"/>
        <v>Recomendado</v>
      </c>
      <c r="T787" t="str">
        <f>VLOOKUP(A787,AssuranceTable,2,FALSE)</f>
        <v>Basic</v>
      </c>
      <c r="U787" t="str">
        <f t="shared" si="37"/>
        <v>BM15160 Cali</v>
      </c>
      <c r="X787" s="4">
        <f t="shared" si="38"/>
        <v>849635.28</v>
      </c>
    </row>
    <row r="788" spans="1:24" x14ac:dyDescent="0.35">
      <c r="A788" t="s">
        <v>827</v>
      </c>
      <c r="B788" t="s">
        <v>5</v>
      </c>
      <c r="C788" t="s">
        <v>21</v>
      </c>
      <c r="D788" t="s">
        <v>35</v>
      </c>
      <c r="E788" s="5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  <c r="S788" t="str">
        <f t="shared" si="36"/>
        <v>No recomendado</v>
      </c>
      <c r="T788" t="str">
        <f>VLOOKUP(A788,AssuranceTable,2,FALSE)</f>
        <v>Basic</v>
      </c>
      <c r="U788" t="str">
        <f t="shared" si="37"/>
        <v>VY79030 Arizona</v>
      </c>
      <c r="X788" s="4">
        <f t="shared" si="38"/>
        <v>2250088.35</v>
      </c>
    </row>
    <row r="789" spans="1:24" x14ac:dyDescent="0.35">
      <c r="A789" t="s">
        <v>828</v>
      </c>
      <c r="B789" t="s">
        <v>23</v>
      </c>
      <c r="C789" t="s">
        <v>21</v>
      </c>
      <c r="D789" t="s">
        <v>2</v>
      </c>
      <c r="E789" s="5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  <c r="S789" t="str">
        <f t="shared" si="36"/>
        <v>Recomendado</v>
      </c>
      <c r="T789" t="str">
        <f>VLOOKUP(A789,AssuranceTable,2,FALSE)</f>
        <v>Extended</v>
      </c>
      <c r="U789" t="str">
        <f t="shared" si="37"/>
        <v>EV19512 Nevada</v>
      </c>
      <c r="X789" s="4">
        <f t="shared" si="38"/>
        <v>1630196.76</v>
      </c>
    </row>
    <row r="790" spans="1:24" x14ac:dyDescent="0.35">
      <c r="A790" t="s">
        <v>829</v>
      </c>
      <c r="B790" t="s">
        <v>33</v>
      </c>
      <c r="C790" t="s">
        <v>21</v>
      </c>
      <c r="D790" t="s">
        <v>35</v>
      </c>
      <c r="E790" s="5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  <c r="S790" t="str">
        <f t="shared" si="36"/>
        <v>No recomendado</v>
      </c>
      <c r="T790" t="str">
        <f>VLOOKUP(A790,AssuranceTable,2,FALSE)</f>
        <v>Basic</v>
      </c>
      <c r="U790" t="str">
        <f t="shared" si="37"/>
        <v>TE13577 Oregon</v>
      </c>
      <c r="X790" s="4">
        <f t="shared" si="38"/>
        <v>231973.59</v>
      </c>
    </row>
    <row r="791" spans="1:24" x14ac:dyDescent="0.35">
      <c r="A791" t="s">
        <v>830</v>
      </c>
      <c r="B791" t="s">
        <v>5</v>
      </c>
      <c r="C791" t="s">
        <v>27</v>
      </c>
      <c r="D791" t="s">
        <v>35</v>
      </c>
      <c r="E791" s="5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  <c r="S791" t="str">
        <f t="shared" si="36"/>
        <v>Recomendado</v>
      </c>
      <c r="T791" t="str">
        <f>VLOOKUP(A791,AssuranceTable,2,FALSE)</f>
        <v>Basic</v>
      </c>
      <c r="U791" t="str">
        <f t="shared" si="37"/>
        <v>WY97929 Arizona</v>
      </c>
      <c r="X791" s="4">
        <f t="shared" si="38"/>
        <v>871704.98</v>
      </c>
    </row>
    <row r="792" spans="1:24" x14ac:dyDescent="0.35">
      <c r="A792" t="s">
        <v>831</v>
      </c>
      <c r="B792" t="s">
        <v>102</v>
      </c>
      <c r="C792" t="s">
        <v>27</v>
      </c>
      <c r="D792" t="s">
        <v>35</v>
      </c>
      <c r="E792" s="5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  <c r="S792" t="str">
        <f t="shared" si="36"/>
        <v>Recomendado</v>
      </c>
      <c r="T792" t="str">
        <f>VLOOKUP(A792,AssuranceTable,2,FALSE)</f>
        <v>Basic</v>
      </c>
      <c r="U792" t="str">
        <f t="shared" si="37"/>
        <v>YG20683 WA</v>
      </c>
      <c r="X792" s="4">
        <f t="shared" si="38"/>
        <v>286011.17</v>
      </c>
    </row>
    <row r="793" spans="1:24" x14ac:dyDescent="0.35">
      <c r="A793" t="s">
        <v>832</v>
      </c>
      <c r="B793" t="s">
        <v>48</v>
      </c>
      <c r="C793" t="s">
        <v>27</v>
      </c>
      <c r="D793" t="s">
        <v>35</v>
      </c>
      <c r="E793" s="5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  <c r="S793" t="str">
        <f t="shared" si="36"/>
        <v>Recomendado</v>
      </c>
      <c r="T793" t="str">
        <f>VLOOKUP(A793,AssuranceTable,2,FALSE)</f>
        <v>Basic</v>
      </c>
      <c r="U793" t="str">
        <f t="shared" si="37"/>
        <v>FK75497 Cali</v>
      </c>
      <c r="X793" s="4">
        <f t="shared" si="38"/>
        <v>245340.83</v>
      </c>
    </row>
    <row r="794" spans="1:24" x14ac:dyDescent="0.35">
      <c r="A794" t="s">
        <v>833</v>
      </c>
      <c r="B794" t="s">
        <v>5</v>
      </c>
      <c r="C794" t="s">
        <v>27</v>
      </c>
      <c r="D794" t="s">
        <v>35</v>
      </c>
      <c r="E794" s="5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  <c r="S794" t="str">
        <f t="shared" si="36"/>
        <v>Recomendado</v>
      </c>
      <c r="T794" t="str">
        <f>VLOOKUP(A794,AssuranceTable,2,FALSE)</f>
        <v>Premium</v>
      </c>
      <c r="U794" t="str">
        <f t="shared" si="37"/>
        <v>NE60110 Arizona</v>
      </c>
      <c r="X794" s="4">
        <f t="shared" si="38"/>
        <v>598977.39</v>
      </c>
    </row>
    <row r="795" spans="1:24" x14ac:dyDescent="0.35">
      <c r="A795" t="s">
        <v>834</v>
      </c>
      <c r="B795" t="s">
        <v>5</v>
      </c>
      <c r="C795" t="s">
        <v>21</v>
      </c>
      <c r="D795" t="s">
        <v>35</v>
      </c>
      <c r="E795" s="5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  <c r="S795" t="str">
        <f t="shared" si="36"/>
        <v>Recomendado</v>
      </c>
      <c r="T795" t="str">
        <f>VLOOKUP(A795,AssuranceTable,2,FALSE)</f>
        <v>Basic</v>
      </c>
      <c r="U795" t="str">
        <f t="shared" si="37"/>
        <v>TN36521 Arizona</v>
      </c>
      <c r="X795" s="4">
        <f t="shared" si="38"/>
        <v>2498022.5499999998</v>
      </c>
    </row>
    <row r="796" spans="1:24" x14ac:dyDescent="0.35">
      <c r="A796" t="s">
        <v>835</v>
      </c>
      <c r="B796" t="s">
        <v>5</v>
      </c>
      <c r="C796" t="s">
        <v>21</v>
      </c>
      <c r="D796" t="s">
        <v>2</v>
      </c>
      <c r="E796" s="5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  <c r="S796" t="str">
        <f t="shared" si="36"/>
        <v>Recomendado</v>
      </c>
      <c r="T796" t="str">
        <f>VLOOKUP(A796,AssuranceTable,2,FALSE)</f>
        <v>Basic</v>
      </c>
      <c r="U796" t="str">
        <f t="shared" si="37"/>
        <v>HG33568 Arizona</v>
      </c>
      <c r="X796" s="4">
        <f t="shared" si="38"/>
        <v>748263.95</v>
      </c>
    </row>
    <row r="797" spans="1:24" x14ac:dyDescent="0.35">
      <c r="A797" t="s">
        <v>836</v>
      </c>
      <c r="B797" t="s">
        <v>33</v>
      </c>
      <c r="C797" t="s">
        <v>21</v>
      </c>
      <c r="D797" t="s">
        <v>31</v>
      </c>
      <c r="E797" s="5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  <c r="S797" t="str">
        <f t="shared" si="36"/>
        <v>Recomendado</v>
      </c>
      <c r="T797" t="str">
        <f>VLOOKUP(A797,AssuranceTable,2,FALSE)</f>
        <v>Basic</v>
      </c>
      <c r="U797" t="str">
        <f t="shared" si="37"/>
        <v>TW17878 Oregon</v>
      </c>
      <c r="X797" s="4">
        <f t="shared" si="38"/>
        <v>245757.6</v>
      </c>
    </row>
    <row r="798" spans="1:24" x14ac:dyDescent="0.35">
      <c r="A798" t="s">
        <v>837</v>
      </c>
      <c r="B798" t="s">
        <v>23</v>
      </c>
      <c r="C798" t="s">
        <v>21</v>
      </c>
      <c r="D798" t="s">
        <v>4</v>
      </c>
      <c r="E798" s="5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  <c r="S798" t="str">
        <f t="shared" si="36"/>
        <v>No recomendado</v>
      </c>
      <c r="T798" t="str">
        <f>VLOOKUP(A798,AssuranceTable,2,FALSE)</f>
        <v>Basic</v>
      </c>
      <c r="U798" t="str">
        <f t="shared" si="37"/>
        <v>ZO83562 Nevada</v>
      </c>
      <c r="X798" s="4">
        <f t="shared" si="38"/>
        <v>237974.12</v>
      </c>
    </row>
    <row r="799" spans="1:24" x14ac:dyDescent="0.35">
      <c r="A799" t="s">
        <v>838</v>
      </c>
      <c r="B799" t="s">
        <v>102</v>
      </c>
      <c r="C799" t="s">
        <v>21</v>
      </c>
      <c r="D799" t="s">
        <v>4</v>
      </c>
      <c r="E799" s="5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  <c r="S799" t="str">
        <f t="shared" si="36"/>
        <v>Recomendado</v>
      </c>
      <c r="T799" t="str">
        <f>VLOOKUP(A799,AssuranceTable,2,FALSE)</f>
        <v>Basic</v>
      </c>
      <c r="U799" t="str">
        <f t="shared" si="37"/>
        <v>CH97539 WA</v>
      </c>
      <c r="X799" s="4">
        <f t="shared" si="38"/>
        <v>828696.44</v>
      </c>
    </row>
    <row r="800" spans="1:24" x14ac:dyDescent="0.35">
      <c r="A800" t="s">
        <v>839</v>
      </c>
      <c r="B800" t="s">
        <v>48</v>
      </c>
      <c r="C800" t="s">
        <v>27</v>
      </c>
      <c r="D800" t="s">
        <v>35</v>
      </c>
      <c r="E800" s="5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  <c r="S800" t="str">
        <f t="shared" si="36"/>
        <v>No recomendado</v>
      </c>
      <c r="T800" t="str">
        <f>VLOOKUP(A800,AssuranceTable,2,FALSE)</f>
        <v>Basic</v>
      </c>
      <c r="U800" t="str">
        <f t="shared" si="37"/>
        <v>CV29889 Cali</v>
      </c>
      <c r="X800" s="4">
        <f t="shared" si="38"/>
        <v>239391.54</v>
      </c>
    </row>
    <row r="801" spans="1:24" x14ac:dyDescent="0.35">
      <c r="A801" t="s">
        <v>840</v>
      </c>
      <c r="B801" t="s">
        <v>33</v>
      </c>
      <c r="C801" t="s">
        <v>27</v>
      </c>
      <c r="D801" t="s">
        <v>35</v>
      </c>
      <c r="E801" s="5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  <c r="S801" t="str">
        <f t="shared" si="36"/>
        <v>Recomendado</v>
      </c>
      <c r="T801" t="str">
        <f>VLOOKUP(A801,AssuranceTable,2,FALSE)</f>
        <v>Basic</v>
      </c>
      <c r="U801" t="str">
        <f t="shared" si="37"/>
        <v>MO33320 Oregon</v>
      </c>
      <c r="X801" s="4">
        <f t="shared" si="38"/>
        <v>465715.95</v>
      </c>
    </row>
    <row r="802" spans="1:24" x14ac:dyDescent="0.35">
      <c r="A802" t="s">
        <v>841</v>
      </c>
      <c r="B802" t="s">
        <v>33</v>
      </c>
      <c r="C802" t="s">
        <v>21</v>
      </c>
      <c r="D802" t="s">
        <v>35</v>
      </c>
      <c r="E802" s="5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  <c r="S802" t="str">
        <f t="shared" si="36"/>
        <v>No recomendado</v>
      </c>
      <c r="T802" t="str">
        <f>VLOOKUP(A802,AssuranceTable,2,FALSE)</f>
        <v>Basic</v>
      </c>
      <c r="U802" t="str">
        <f t="shared" si="37"/>
        <v>QZ81258 Oregon</v>
      </c>
      <c r="X802" s="4">
        <f t="shared" si="38"/>
        <v>1319792.8899999999</v>
      </c>
    </row>
    <row r="803" spans="1:24" x14ac:dyDescent="0.35">
      <c r="A803" t="s">
        <v>842</v>
      </c>
      <c r="B803" t="s">
        <v>33</v>
      </c>
      <c r="C803" t="s">
        <v>21</v>
      </c>
      <c r="D803" t="s">
        <v>4</v>
      </c>
      <c r="E803" s="5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  <c r="S803" t="str">
        <f t="shared" si="36"/>
        <v>Recomendado</v>
      </c>
      <c r="T803" t="str">
        <f>VLOOKUP(A803,AssuranceTable,2,FALSE)</f>
        <v>Basic</v>
      </c>
      <c r="U803" t="str">
        <f t="shared" si="37"/>
        <v>NY56352 Oregon</v>
      </c>
      <c r="X803" s="4">
        <f t="shared" si="38"/>
        <v>280391.67</v>
      </c>
    </row>
    <row r="804" spans="1:24" x14ac:dyDescent="0.35">
      <c r="A804" t="s">
        <v>843</v>
      </c>
      <c r="B804" t="s">
        <v>48</v>
      </c>
      <c r="C804" t="s">
        <v>21</v>
      </c>
      <c r="D804" t="s">
        <v>31</v>
      </c>
      <c r="E804" s="5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  <c r="S804" t="str">
        <f t="shared" si="36"/>
        <v>Recomendado</v>
      </c>
      <c r="T804" t="str">
        <f>VLOOKUP(A804,AssuranceTable,2,FALSE)</f>
        <v>Basic</v>
      </c>
      <c r="U804" t="str">
        <f t="shared" si="37"/>
        <v>EA27048 Cali</v>
      </c>
      <c r="X804" s="4">
        <f t="shared" si="38"/>
        <v>864650.41</v>
      </c>
    </row>
    <row r="805" spans="1:24" x14ac:dyDescent="0.35">
      <c r="A805" t="s">
        <v>844</v>
      </c>
      <c r="B805" t="s">
        <v>33</v>
      </c>
      <c r="C805" t="s">
        <v>21</v>
      </c>
      <c r="D805" t="s">
        <v>35</v>
      </c>
      <c r="E805" s="5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  <c r="S805" t="str">
        <f t="shared" si="36"/>
        <v>Recomendado</v>
      </c>
      <c r="T805" t="str">
        <f>VLOOKUP(A805,AssuranceTable,2,FALSE)</f>
        <v>Basic</v>
      </c>
      <c r="U805" t="str">
        <f t="shared" si="37"/>
        <v>UT38865 Oregon</v>
      </c>
      <c r="X805" s="4">
        <f t="shared" si="38"/>
        <v>742587.06</v>
      </c>
    </row>
    <row r="806" spans="1:24" x14ac:dyDescent="0.35">
      <c r="A806" t="s">
        <v>845</v>
      </c>
      <c r="B806" t="s">
        <v>33</v>
      </c>
      <c r="C806" t="s">
        <v>21</v>
      </c>
      <c r="D806" t="s">
        <v>31</v>
      </c>
      <c r="E806" s="5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S806" t="str">
        <f t="shared" si="36"/>
        <v>Recomendado</v>
      </c>
      <c r="T806" t="str">
        <f>VLOOKUP(A806,AssuranceTable,2,FALSE)</f>
        <v>Basic</v>
      </c>
      <c r="U806" t="str">
        <f t="shared" si="37"/>
        <v>QC89139 Oregon</v>
      </c>
      <c r="X806" s="4">
        <f t="shared" si="38"/>
        <v>452873.74</v>
      </c>
    </row>
    <row r="807" spans="1:24" x14ac:dyDescent="0.35">
      <c r="A807" t="s">
        <v>846</v>
      </c>
      <c r="B807" t="s">
        <v>23</v>
      </c>
      <c r="C807" t="s">
        <v>27</v>
      </c>
      <c r="D807" t="s">
        <v>31</v>
      </c>
      <c r="E807" s="5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  <c r="S807" t="str">
        <f t="shared" si="36"/>
        <v>Recomendado</v>
      </c>
      <c r="T807" t="str">
        <f>VLOOKUP(A807,AssuranceTable,2,FALSE)</f>
        <v>Basic</v>
      </c>
      <c r="U807" t="str">
        <f t="shared" si="37"/>
        <v>LA14484 Nevada</v>
      </c>
      <c r="X807" s="4">
        <f t="shared" si="38"/>
        <v>222707.28</v>
      </c>
    </row>
    <row r="808" spans="1:24" x14ac:dyDescent="0.35">
      <c r="A808" t="s">
        <v>847</v>
      </c>
      <c r="B808" t="s">
        <v>48</v>
      </c>
      <c r="C808" t="s">
        <v>21</v>
      </c>
      <c r="D808" t="s">
        <v>31</v>
      </c>
      <c r="E808" s="5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  <c r="S808" t="str">
        <f t="shared" si="36"/>
        <v>No recomendado</v>
      </c>
      <c r="T808" t="str">
        <f>VLOOKUP(A808,AssuranceTable,2,FALSE)</f>
        <v>Basic</v>
      </c>
      <c r="U808" t="str">
        <f t="shared" si="37"/>
        <v>HN57556 Cali</v>
      </c>
      <c r="X808" s="4">
        <f t="shared" si="38"/>
        <v>729294.88</v>
      </c>
    </row>
    <row r="809" spans="1:24" x14ac:dyDescent="0.35">
      <c r="A809" t="s">
        <v>848</v>
      </c>
      <c r="B809" t="s">
        <v>5</v>
      </c>
      <c r="C809" t="s">
        <v>27</v>
      </c>
      <c r="D809" t="s">
        <v>4</v>
      </c>
      <c r="E809" s="5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  <c r="S809" t="str">
        <f t="shared" si="36"/>
        <v>Recomendado</v>
      </c>
      <c r="T809" t="str">
        <f>VLOOKUP(A809,AssuranceTable,2,FALSE)</f>
        <v>Extended</v>
      </c>
      <c r="U809" t="str">
        <f t="shared" si="37"/>
        <v>CV31235 Arizona</v>
      </c>
      <c r="X809" s="4">
        <f t="shared" si="38"/>
        <v>318435.52</v>
      </c>
    </row>
    <row r="810" spans="1:24" x14ac:dyDescent="0.35">
      <c r="A810" t="s">
        <v>849</v>
      </c>
      <c r="B810" t="s">
        <v>5</v>
      </c>
      <c r="C810" t="s">
        <v>21</v>
      </c>
      <c r="D810" t="s">
        <v>4</v>
      </c>
      <c r="E810" s="5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  <c r="S810" t="str">
        <f t="shared" si="36"/>
        <v>Recomendado</v>
      </c>
      <c r="T810" t="str">
        <f>VLOOKUP(A810,AssuranceTable,2,FALSE)</f>
        <v>Premium</v>
      </c>
      <c r="U810" t="str">
        <f t="shared" si="37"/>
        <v>WR45726 Arizona</v>
      </c>
      <c r="X810" s="4">
        <f t="shared" si="38"/>
        <v>1131520.3700000001</v>
      </c>
    </row>
    <row r="811" spans="1:24" x14ac:dyDescent="0.35">
      <c r="A811" t="s">
        <v>850</v>
      </c>
      <c r="B811" t="s">
        <v>48</v>
      </c>
      <c r="C811" t="s">
        <v>21</v>
      </c>
      <c r="D811" t="s">
        <v>4</v>
      </c>
      <c r="E811" s="5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  <c r="S811" t="str">
        <f t="shared" si="36"/>
        <v>Recomendado</v>
      </c>
      <c r="T811" t="str">
        <f>VLOOKUP(A811,AssuranceTable,2,FALSE)</f>
        <v>Basic</v>
      </c>
      <c r="U811" t="str">
        <f t="shared" si="37"/>
        <v>LB25094 Cali</v>
      </c>
      <c r="X811" s="4">
        <f t="shared" si="38"/>
        <v>253070.51</v>
      </c>
    </row>
    <row r="812" spans="1:24" x14ac:dyDescent="0.35">
      <c r="A812" t="s">
        <v>851</v>
      </c>
      <c r="B812" t="s">
        <v>33</v>
      </c>
      <c r="C812" t="s">
        <v>27</v>
      </c>
      <c r="D812" t="s">
        <v>4</v>
      </c>
      <c r="E812" s="5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  <c r="S812" t="str">
        <f t="shared" si="36"/>
        <v>No recomendado</v>
      </c>
      <c r="T812" t="str">
        <f>VLOOKUP(A812,AssuranceTable,2,FALSE)</f>
        <v>Basic</v>
      </c>
      <c r="U812" t="str">
        <f t="shared" si="37"/>
        <v>KW56110 Oregon</v>
      </c>
      <c r="X812" s="4">
        <f t="shared" si="38"/>
        <v>1836155.53</v>
      </c>
    </row>
    <row r="813" spans="1:24" x14ac:dyDescent="0.35">
      <c r="A813" t="s">
        <v>852</v>
      </c>
      <c r="B813" t="s">
        <v>102</v>
      </c>
      <c r="C813" t="s">
        <v>27</v>
      </c>
      <c r="D813" t="s">
        <v>4</v>
      </c>
      <c r="E813" s="5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  <c r="S813" t="str">
        <f t="shared" si="36"/>
        <v>Recomendado</v>
      </c>
      <c r="T813" t="str">
        <f>VLOOKUP(A813,AssuranceTable,2,FALSE)</f>
        <v>Basic</v>
      </c>
      <c r="U813" t="str">
        <f t="shared" si="37"/>
        <v>XO36233 WA</v>
      </c>
      <c r="X813" s="4">
        <f t="shared" si="38"/>
        <v>864153</v>
      </c>
    </row>
    <row r="814" spans="1:24" x14ac:dyDescent="0.35">
      <c r="A814" t="s">
        <v>853</v>
      </c>
      <c r="B814" t="s">
        <v>5</v>
      </c>
      <c r="C814" t="s">
        <v>27</v>
      </c>
      <c r="D814" t="s">
        <v>80</v>
      </c>
      <c r="E814" s="5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  <c r="S814" t="str">
        <f t="shared" si="36"/>
        <v>Recomendado</v>
      </c>
      <c r="T814" t="str">
        <f>VLOOKUP(A814,AssuranceTable,2,FALSE)</f>
        <v>Extended</v>
      </c>
      <c r="U814" t="str">
        <f t="shared" si="37"/>
        <v>ZX86243 Arizona</v>
      </c>
      <c r="X814" s="4">
        <f t="shared" si="38"/>
        <v>327853.19</v>
      </c>
    </row>
    <row r="815" spans="1:24" x14ac:dyDescent="0.35">
      <c r="A815" t="s">
        <v>854</v>
      </c>
      <c r="B815" t="s">
        <v>5</v>
      </c>
      <c r="C815" t="s">
        <v>27</v>
      </c>
      <c r="D815" t="s">
        <v>31</v>
      </c>
      <c r="E815" s="5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  <c r="S815" t="str">
        <f t="shared" si="36"/>
        <v>Recomendado</v>
      </c>
      <c r="T815" t="str">
        <f>VLOOKUP(A815,AssuranceTable,2,FALSE)</f>
        <v>Basic</v>
      </c>
      <c r="U815" t="str">
        <f t="shared" si="37"/>
        <v>DW29763 Arizona</v>
      </c>
      <c r="X815" s="4">
        <f t="shared" si="38"/>
        <v>527198.21</v>
      </c>
    </row>
    <row r="816" spans="1:24" x14ac:dyDescent="0.35">
      <c r="A816" t="s">
        <v>855</v>
      </c>
      <c r="B816" t="s">
        <v>102</v>
      </c>
      <c r="C816" t="s">
        <v>27</v>
      </c>
      <c r="D816" t="s">
        <v>31</v>
      </c>
      <c r="E816" s="5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  <c r="S816" t="str">
        <f t="shared" si="36"/>
        <v>Recomendado</v>
      </c>
      <c r="T816" t="str">
        <f>VLOOKUP(A816,AssuranceTable,2,FALSE)</f>
        <v>Extended</v>
      </c>
      <c r="U816" t="str">
        <f t="shared" si="37"/>
        <v>CT83377 WA</v>
      </c>
      <c r="X816" s="4">
        <f t="shared" si="38"/>
        <v>376363.77</v>
      </c>
    </row>
    <row r="817" spans="1:24" x14ac:dyDescent="0.35">
      <c r="A817" t="s">
        <v>856</v>
      </c>
      <c r="B817" t="s">
        <v>48</v>
      </c>
      <c r="C817" t="s">
        <v>27</v>
      </c>
      <c r="D817" t="s">
        <v>2</v>
      </c>
      <c r="E817" s="5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  <c r="S817" t="str">
        <f t="shared" si="36"/>
        <v>Recomendado</v>
      </c>
      <c r="T817" t="str">
        <f>VLOOKUP(A817,AssuranceTable,2,FALSE)</f>
        <v>Basic</v>
      </c>
      <c r="U817" t="str">
        <f t="shared" si="37"/>
        <v>OQ90898 Cali</v>
      </c>
      <c r="X817" s="4">
        <f t="shared" si="38"/>
        <v>1395556.96</v>
      </c>
    </row>
    <row r="818" spans="1:24" x14ac:dyDescent="0.35">
      <c r="A818" t="s">
        <v>857</v>
      </c>
      <c r="B818" t="s">
        <v>33</v>
      </c>
      <c r="C818" t="s">
        <v>21</v>
      </c>
      <c r="D818" t="s">
        <v>35</v>
      </c>
      <c r="E818" s="5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  <c r="S818" t="str">
        <f t="shared" si="36"/>
        <v>No recomendado</v>
      </c>
      <c r="T818" t="str">
        <f>VLOOKUP(A818,AssuranceTable,2,FALSE)</f>
        <v>Basic</v>
      </c>
      <c r="U818" t="str">
        <f t="shared" si="37"/>
        <v>GO77248 Oregon</v>
      </c>
      <c r="X818" s="4">
        <f t="shared" si="38"/>
        <v>500152.75</v>
      </c>
    </row>
    <row r="819" spans="1:24" x14ac:dyDescent="0.35">
      <c r="A819" t="s">
        <v>858</v>
      </c>
      <c r="B819" t="s">
        <v>48</v>
      </c>
      <c r="C819" t="s">
        <v>27</v>
      </c>
      <c r="D819" t="s">
        <v>4</v>
      </c>
      <c r="E819" s="5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  <c r="S819" t="str">
        <f t="shared" si="36"/>
        <v>Recomendado</v>
      </c>
      <c r="T819" t="str">
        <f>VLOOKUP(A819,AssuranceTable,2,FALSE)</f>
        <v>Basic</v>
      </c>
      <c r="U819" t="str">
        <f t="shared" si="37"/>
        <v>QW33258 Cali</v>
      </c>
      <c r="X819" s="4">
        <f t="shared" si="38"/>
        <v>708283.04</v>
      </c>
    </row>
    <row r="820" spans="1:24" x14ac:dyDescent="0.35">
      <c r="A820" t="s">
        <v>859</v>
      </c>
      <c r="B820" t="s">
        <v>48</v>
      </c>
      <c r="C820" t="s">
        <v>27</v>
      </c>
      <c r="D820" t="s">
        <v>35</v>
      </c>
      <c r="E820" s="5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  <c r="S820" t="str">
        <f t="shared" si="36"/>
        <v>No recomendado</v>
      </c>
      <c r="T820" t="str">
        <f>VLOOKUP(A820,AssuranceTable,2,FALSE)</f>
        <v>Premium</v>
      </c>
      <c r="U820" t="str">
        <f t="shared" si="37"/>
        <v>OU79745 Cali</v>
      </c>
      <c r="X820" s="4">
        <f t="shared" si="38"/>
        <v>761948.28</v>
      </c>
    </row>
    <row r="821" spans="1:24" x14ac:dyDescent="0.35">
      <c r="A821" t="s">
        <v>860</v>
      </c>
      <c r="B821" t="s">
        <v>33</v>
      </c>
      <c r="C821" t="s">
        <v>21</v>
      </c>
      <c r="D821" t="s">
        <v>4</v>
      </c>
      <c r="E821" s="5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  <c r="S821" t="str">
        <f t="shared" si="36"/>
        <v>Recomendado</v>
      </c>
      <c r="T821" t="str">
        <f>VLOOKUP(A821,AssuranceTable,2,FALSE)</f>
        <v>Premium</v>
      </c>
      <c r="U821" t="str">
        <f t="shared" si="37"/>
        <v>VZ79886 Oregon</v>
      </c>
      <c r="X821" s="4">
        <f t="shared" si="38"/>
        <v>1255088.2</v>
      </c>
    </row>
    <row r="822" spans="1:24" x14ac:dyDescent="0.35">
      <c r="A822" t="s">
        <v>861</v>
      </c>
      <c r="B822" t="s">
        <v>102</v>
      </c>
      <c r="C822" t="s">
        <v>21</v>
      </c>
      <c r="D822" t="s">
        <v>31</v>
      </c>
      <c r="E822" s="5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  <c r="S822" t="str">
        <f t="shared" si="36"/>
        <v>Recomendado</v>
      </c>
      <c r="T822" t="str">
        <f>VLOOKUP(A822,AssuranceTable,2,FALSE)</f>
        <v>Extended</v>
      </c>
      <c r="U822" t="str">
        <f t="shared" si="37"/>
        <v>FI92440 WA</v>
      </c>
      <c r="X822" s="4">
        <f t="shared" si="38"/>
        <v>3219660.04</v>
      </c>
    </row>
    <row r="823" spans="1:24" x14ac:dyDescent="0.35">
      <c r="A823" t="s">
        <v>862</v>
      </c>
      <c r="B823" t="s">
        <v>23</v>
      </c>
      <c r="C823" t="s">
        <v>21</v>
      </c>
      <c r="D823" t="s">
        <v>31</v>
      </c>
      <c r="E823" s="5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  <c r="S823" t="str">
        <f t="shared" si="36"/>
        <v>Recomendado</v>
      </c>
      <c r="T823" t="str">
        <f>VLOOKUP(A823,AssuranceTable,2,FALSE)</f>
        <v>Extended</v>
      </c>
      <c r="U823" t="str">
        <f t="shared" si="37"/>
        <v>YG85980 Nevada</v>
      </c>
      <c r="X823" s="4">
        <f t="shared" si="38"/>
        <v>679377.41</v>
      </c>
    </row>
    <row r="824" spans="1:24" x14ac:dyDescent="0.35">
      <c r="A824" t="s">
        <v>863</v>
      </c>
      <c r="B824" t="s">
        <v>33</v>
      </c>
      <c r="C824" t="s">
        <v>27</v>
      </c>
      <c r="D824" t="s">
        <v>4</v>
      </c>
      <c r="E824" s="5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  <c r="S824" t="str">
        <f t="shared" si="36"/>
        <v>No recomendado</v>
      </c>
      <c r="T824" t="str">
        <f>VLOOKUP(A824,AssuranceTable,2,FALSE)</f>
        <v>Extended</v>
      </c>
      <c r="U824" t="str">
        <f t="shared" si="37"/>
        <v>QM74621 Oregon</v>
      </c>
      <c r="X824" s="4">
        <f t="shared" si="38"/>
        <v>527231.97</v>
      </c>
    </row>
    <row r="825" spans="1:24" x14ac:dyDescent="0.35">
      <c r="A825" t="s">
        <v>864</v>
      </c>
      <c r="B825" t="s">
        <v>33</v>
      </c>
      <c r="C825" t="s">
        <v>21</v>
      </c>
      <c r="D825" t="s">
        <v>80</v>
      </c>
      <c r="E825" s="5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  <c r="S825" t="str">
        <f t="shared" si="36"/>
        <v>No recomendado</v>
      </c>
      <c r="T825" t="str">
        <f>VLOOKUP(A825,AssuranceTable,2,FALSE)</f>
        <v>Extended</v>
      </c>
      <c r="U825" t="str">
        <f t="shared" si="37"/>
        <v>EI71732 Oregon</v>
      </c>
      <c r="X825" s="4">
        <f t="shared" si="38"/>
        <v>626534.32999999996</v>
      </c>
    </row>
    <row r="826" spans="1:24" x14ac:dyDescent="0.35">
      <c r="A826" t="s">
        <v>865</v>
      </c>
      <c r="B826" t="s">
        <v>48</v>
      </c>
      <c r="C826" t="s">
        <v>21</v>
      </c>
      <c r="D826" t="s">
        <v>31</v>
      </c>
      <c r="E826" s="5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  <c r="S826" t="str">
        <f t="shared" si="36"/>
        <v>Recomendado</v>
      </c>
      <c r="T826" t="str">
        <f>VLOOKUP(A826,AssuranceTable,2,FALSE)</f>
        <v>Basic</v>
      </c>
      <c r="U826" t="str">
        <f t="shared" si="37"/>
        <v>VN79010 Cali</v>
      </c>
      <c r="X826" s="4">
        <f t="shared" si="38"/>
        <v>854758.61</v>
      </c>
    </row>
    <row r="827" spans="1:24" x14ac:dyDescent="0.35">
      <c r="A827" t="s">
        <v>866</v>
      </c>
      <c r="B827" t="s">
        <v>48</v>
      </c>
      <c r="C827" t="s">
        <v>27</v>
      </c>
      <c r="D827" t="s">
        <v>4</v>
      </c>
      <c r="E827" s="5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  <c r="S827" t="str">
        <f t="shared" si="36"/>
        <v>Recomendado</v>
      </c>
      <c r="T827" t="str">
        <f>VLOOKUP(A827,AssuranceTable,2,FALSE)</f>
        <v>Basic</v>
      </c>
      <c r="U827" t="str">
        <f t="shared" si="37"/>
        <v>FI61723 Cali</v>
      </c>
      <c r="X827" s="4">
        <f t="shared" si="38"/>
        <v>278742.37</v>
      </c>
    </row>
    <row r="828" spans="1:24" x14ac:dyDescent="0.35">
      <c r="A828" t="s">
        <v>867</v>
      </c>
      <c r="B828" t="s">
        <v>48</v>
      </c>
      <c r="C828" t="s">
        <v>21</v>
      </c>
      <c r="D828" t="s">
        <v>2</v>
      </c>
      <c r="E828" s="5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S828" t="str">
        <f t="shared" si="36"/>
        <v>Recomendado</v>
      </c>
      <c r="T828" t="str">
        <f>VLOOKUP(A828,AssuranceTable,2,FALSE)</f>
        <v>Basic</v>
      </c>
      <c r="U828" t="str">
        <f t="shared" si="37"/>
        <v>OH55411 Cali</v>
      </c>
      <c r="X828" s="4">
        <f t="shared" si="38"/>
        <v>462680.11</v>
      </c>
    </row>
    <row r="829" spans="1:24" x14ac:dyDescent="0.35">
      <c r="A829" t="s">
        <v>868</v>
      </c>
      <c r="B829" t="s">
        <v>23</v>
      </c>
      <c r="C829" t="s">
        <v>21</v>
      </c>
      <c r="D829" t="s">
        <v>80</v>
      </c>
      <c r="E829" s="5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  <c r="S829" t="str">
        <f t="shared" si="36"/>
        <v>Recomendado</v>
      </c>
      <c r="T829" t="str">
        <f>VLOOKUP(A829,AssuranceTable,2,FALSE)</f>
        <v>Premium</v>
      </c>
      <c r="U829" t="str">
        <f t="shared" si="37"/>
        <v>TF10720 Nevada</v>
      </c>
      <c r="X829" s="4">
        <f t="shared" si="38"/>
        <v>866336.4</v>
      </c>
    </row>
    <row r="830" spans="1:24" x14ac:dyDescent="0.35">
      <c r="A830" t="s">
        <v>869</v>
      </c>
      <c r="B830" t="s">
        <v>23</v>
      </c>
      <c r="C830" t="s">
        <v>27</v>
      </c>
      <c r="D830" t="s">
        <v>31</v>
      </c>
      <c r="E830" s="5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  <c r="S830" t="str">
        <f t="shared" si="36"/>
        <v>No recomendado</v>
      </c>
      <c r="T830" t="str">
        <f>VLOOKUP(A830,AssuranceTable,2,FALSE)</f>
        <v>Basic</v>
      </c>
      <c r="U830" t="str">
        <f t="shared" si="37"/>
        <v>NW30838 Nevada</v>
      </c>
      <c r="X830" s="4">
        <f t="shared" si="38"/>
        <v>387222.22</v>
      </c>
    </row>
    <row r="831" spans="1:24" x14ac:dyDescent="0.35">
      <c r="A831" t="s">
        <v>870</v>
      </c>
      <c r="B831" t="s">
        <v>33</v>
      </c>
      <c r="C831" t="s">
        <v>21</v>
      </c>
      <c r="D831" t="s">
        <v>35</v>
      </c>
      <c r="E831" s="5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  <c r="S831" t="str">
        <f t="shared" si="36"/>
        <v>No recomendado</v>
      </c>
      <c r="T831" t="str">
        <f>VLOOKUP(A831,AssuranceTable,2,FALSE)</f>
        <v>Basic</v>
      </c>
      <c r="U831" t="str">
        <f t="shared" si="37"/>
        <v>CB58476 Oregon</v>
      </c>
      <c r="X831" s="4">
        <f t="shared" si="38"/>
        <v>517081.15</v>
      </c>
    </row>
    <row r="832" spans="1:24" x14ac:dyDescent="0.35">
      <c r="A832" t="s">
        <v>871</v>
      </c>
      <c r="B832" t="s">
        <v>48</v>
      </c>
      <c r="C832" t="s">
        <v>21</v>
      </c>
      <c r="D832" t="s">
        <v>2</v>
      </c>
      <c r="E832" s="5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S832" t="str">
        <f t="shared" si="36"/>
        <v>Recomendado</v>
      </c>
      <c r="T832" t="str">
        <f>VLOOKUP(A832,AssuranceTable,2,FALSE)</f>
        <v>Basic</v>
      </c>
      <c r="U832" t="str">
        <f t="shared" si="37"/>
        <v>WI69346 Cali</v>
      </c>
      <c r="X832" s="4">
        <f t="shared" si="38"/>
        <v>896028.02</v>
      </c>
    </row>
    <row r="833" spans="1:24" x14ac:dyDescent="0.35">
      <c r="A833" t="s">
        <v>872</v>
      </c>
      <c r="B833" t="s">
        <v>33</v>
      </c>
      <c r="C833" t="s">
        <v>21</v>
      </c>
      <c r="D833" t="s">
        <v>35</v>
      </c>
      <c r="E833" s="5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  <c r="S833" t="str">
        <f t="shared" si="36"/>
        <v>Recomendado</v>
      </c>
      <c r="T833" t="str">
        <f>VLOOKUP(A833,AssuranceTable,2,FALSE)</f>
        <v>Basic</v>
      </c>
      <c r="U833" t="str">
        <f t="shared" si="37"/>
        <v>FS76657 Oregon</v>
      </c>
      <c r="X833" s="4">
        <f t="shared" si="38"/>
        <v>547183.43000000005</v>
      </c>
    </row>
    <row r="834" spans="1:24" x14ac:dyDescent="0.35">
      <c r="A834" t="s">
        <v>873</v>
      </c>
      <c r="B834" t="s">
        <v>33</v>
      </c>
      <c r="C834" t="s">
        <v>27</v>
      </c>
      <c r="D834" t="s">
        <v>35</v>
      </c>
      <c r="E834" s="5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  <c r="S834" t="str">
        <f t="shared" si="36"/>
        <v>Recomendado</v>
      </c>
      <c r="T834" t="str">
        <f>VLOOKUP(A834,AssuranceTable,2,FALSE)</f>
        <v>Premium</v>
      </c>
      <c r="U834" t="str">
        <f t="shared" si="37"/>
        <v>YX89016 Oregon</v>
      </c>
      <c r="X834" s="4">
        <f t="shared" si="38"/>
        <v>3493100.17</v>
      </c>
    </row>
    <row r="835" spans="1:24" x14ac:dyDescent="0.35">
      <c r="A835" t="s">
        <v>874</v>
      </c>
      <c r="B835" t="s">
        <v>48</v>
      </c>
      <c r="C835" t="s">
        <v>27</v>
      </c>
      <c r="D835" t="s">
        <v>35</v>
      </c>
      <c r="E835" s="5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  <c r="S835" t="str">
        <f t="shared" ref="S835:S898" si="39">IF(F835&gt;3000,"Recomendado","No recomendado")</f>
        <v>Recomendado</v>
      </c>
      <c r="T835" t="str">
        <f>VLOOKUP(A835,AssuranceTable,2,FALSE)</f>
        <v>Basic</v>
      </c>
      <c r="U835" t="str">
        <f t="shared" ref="U835:U898" si="40">_xlfn.CONCAT(A835, " ",B835)</f>
        <v>PK28821 Cali</v>
      </c>
      <c r="X835" s="4">
        <f t="shared" ref="X835:X898" si="41">ROUND(E835,3)</f>
        <v>262039.23</v>
      </c>
    </row>
    <row r="836" spans="1:24" x14ac:dyDescent="0.35">
      <c r="A836" t="s">
        <v>875</v>
      </c>
      <c r="B836" t="s">
        <v>102</v>
      </c>
      <c r="C836" t="s">
        <v>27</v>
      </c>
      <c r="D836" t="s">
        <v>35</v>
      </c>
      <c r="E836" s="5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  <c r="S836" t="str">
        <f t="shared" si="39"/>
        <v>No recomendado</v>
      </c>
      <c r="T836" t="str">
        <f>VLOOKUP(A836,AssuranceTable,2,FALSE)</f>
        <v>Premium</v>
      </c>
      <c r="U836" t="str">
        <f t="shared" si="40"/>
        <v>MB51200 WA</v>
      </c>
      <c r="X836" s="4">
        <f t="shared" si="41"/>
        <v>1906949.95</v>
      </c>
    </row>
    <row r="837" spans="1:24" x14ac:dyDescent="0.35">
      <c r="A837" t="s">
        <v>876</v>
      </c>
      <c r="B837" t="s">
        <v>5</v>
      </c>
      <c r="C837" t="s">
        <v>27</v>
      </c>
      <c r="D837" t="s">
        <v>2</v>
      </c>
      <c r="E837" s="5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  <c r="S837" t="str">
        <f t="shared" si="39"/>
        <v>Recomendado</v>
      </c>
      <c r="T837" t="str">
        <f>VLOOKUP(A837,AssuranceTable,2,FALSE)</f>
        <v>Basic</v>
      </c>
      <c r="U837" t="str">
        <f t="shared" si="40"/>
        <v>XG44587 Arizona</v>
      </c>
      <c r="X837" s="4">
        <f t="shared" si="41"/>
        <v>575744.23</v>
      </c>
    </row>
    <row r="838" spans="1:24" x14ac:dyDescent="0.35">
      <c r="A838" t="s">
        <v>877</v>
      </c>
      <c r="B838" t="s">
        <v>5</v>
      </c>
      <c r="C838" t="s">
        <v>27</v>
      </c>
      <c r="D838" t="s">
        <v>2</v>
      </c>
      <c r="E838" s="5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  <c r="S838" t="str">
        <f t="shared" si="39"/>
        <v>Recomendado</v>
      </c>
      <c r="T838" t="str">
        <f>VLOOKUP(A838,AssuranceTable,2,FALSE)</f>
        <v>Basic</v>
      </c>
      <c r="U838" t="str">
        <f t="shared" si="40"/>
        <v>FG91922 Arizona</v>
      </c>
      <c r="X838" s="4">
        <f t="shared" si="41"/>
        <v>4022401.36</v>
      </c>
    </row>
    <row r="839" spans="1:24" x14ac:dyDescent="0.35">
      <c r="A839" t="s">
        <v>878</v>
      </c>
      <c r="B839" t="s">
        <v>5</v>
      </c>
      <c r="C839" t="s">
        <v>21</v>
      </c>
      <c r="D839" t="s">
        <v>31</v>
      </c>
      <c r="E839" s="5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  <c r="S839" t="str">
        <f t="shared" si="39"/>
        <v>Recomendado</v>
      </c>
      <c r="T839" t="str">
        <f>VLOOKUP(A839,AssuranceTable,2,FALSE)</f>
        <v>Basic</v>
      </c>
      <c r="U839" t="str">
        <f t="shared" si="40"/>
        <v>OM99303 Arizona</v>
      </c>
      <c r="X839" s="4">
        <f t="shared" si="41"/>
        <v>270148.83</v>
      </c>
    </row>
    <row r="840" spans="1:24" x14ac:dyDescent="0.35">
      <c r="A840" t="s">
        <v>879</v>
      </c>
      <c r="B840" t="s">
        <v>48</v>
      </c>
      <c r="C840" t="s">
        <v>27</v>
      </c>
      <c r="D840" t="s">
        <v>4</v>
      </c>
      <c r="E840" s="5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  <c r="S840" t="str">
        <f t="shared" si="39"/>
        <v>Recomendado</v>
      </c>
      <c r="T840" t="str">
        <f>VLOOKUP(A840,AssuranceTable,2,FALSE)</f>
        <v>Extended</v>
      </c>
      <c r="U840" t="str">
        <f t="shared" si="40"/>
        <v>RV67546 Cali</v>
      </c>
      <c r="X840" s="4">
        <f t="shared" si="41"/>
        <v>371243.05</v>
      </c>
    </row>
    <row r="841" spans="1:24" x14ac:dyDescent="0.35">
      <c r="A841" t="s">
        <v>880</v>
      </c>
      <c r="B841" t="s">
        <v>33</v>
      </c>
      <c r="C841" t="s">
        <v>21</v>
      </c>
      <c r="D841" t="s">
        <v>35</v>
      </c>
      <c r="E841" s="5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  <c r="S841" t="str">
        <f t="shared" si="39"/>
        <v>Recomendado</v>
      </c>
      <c r="T841" t="str">
        <f>VLOOKUP(A841,AssuranceTable,2,FALSE)</f>
        <v>Extended</v>
      </c>
      <c r="U841" t="str">
        <f t="shared" si="40"/>
        <v>UJ79253 Oregon</v>
      </c>
      <c r="X841" s="4">
        <f t="shared" si="41"/>
        <v>2185084</v>
      </c>
    </row>
    <row r="842" spans="1:24" x14ac:dyDescent="0.35">
      <c r="A842" t="s">
        <v>881</v>
      </c>
      <c r="B842" t="s">
        <v>48</v>
      </c>
      <c r="C842" t="s">
        <v>27</v>
      </c>
      <c r="D842" t="s">
        <v>35</v>
      </c>
      <c r="E842" s="5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  <c r="S842" t="str">
        <f t="shared" si="39"/>
        <v>Recomendado</v>
      </c>
      <c r="T842" t="str">
        <f>VLOOKUP(A842,AssuranceTable,2,FALSE)</f>
        <v>Extended</v>
      </c>
      <c r="U842" t="str">
        <f t="shared" si="40"/>
        <v>PN98247 Cali</v>
      </c>
      <c r="X842" s="4">
        <f t="shared" si="41"/>
        <v>784016.58</v>
      </c>
    </row>
    <row r="843" spans="1:24" x14ac:dyDescent="0.35">
      <c r="A843" t="s">
        <v>882</v>
      </c>
      <c r="B843" t="s">
        <v>48</v>
      </c>
      <c r="C843" t="s">
        <v>21</v>
      </c>
      <c r="D843" t="s">
        <v>4</v>
      </c>
      <c r="E843" s="5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  <c r="S843" t="str">
        <f t="shared" si="39"/>
        <v>Recomendado</v>
      </c>
      <c r="T843" t="str">
        <f>VLOOKUP(A843,AssuranceTable,2,FALSE)</f>
        <v>Basic</v>
      </c>
      <c r="U843" t="str">
        <f t="shared" si="40"/>
        <v>IB67546 Cali</v>
      </c>
      <c r="X843" s="4">
        <f t="shared" si="41"/>
        <v>823703.79</v>
      </c>
    </row>
    <row r="844" spans="1:24" x14ac:dyDescent="0.35">
      <c r="A844" t="s">
        <v>883</v>
      </c>
      <c r="B844" t="s">
        <v>48</v>
      </c>
      <c r="C844" t="s">
        <v>21</v>
      </c>
      <c r="D844" t="s">
        <v>31</v>
      </c>
      <c r="E844" s="5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  <c r="S844" t="str">
        <f t="shared" si="39"/>
        <v>No recomendado</v>
      </c>
      <c r="T844" t="str">
        <f>VLOOKUP(A844,AssuranceTable,2,FALSE)</f>
        <v>Basic</v>
      </c>
      <c r="U844" t="str">
        <f t="shared" si="40"/>
        <v>OE19087 Cali</v>
      </c>
      <c r="X844" s="4">
        <f t="shared" si="41"/>
        <v>224347.39</v>
      </c>
    </row>
    <row r="845" spans="1:24" x14ac:dyDescent="0.35">
      <c r="A845" t="s">
        <v>884</v>
      </c>
      <c r="B845" t="s">
        <v>48</v>
      </c>
      <c r="C845" t="s">
        <v>27</v>
      </c>
      <c r="D845" t="s">
        <v>4</v>
      </c>
      <c r="E845" s="5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  <c r="S845" t="str">
        <f t="shared" si="39"/>
        <v>Recomendado</v>
      </c>
      <c r="T845" t="str">
        <f>VLOOKUP(A845,AssuranceTable,2,FALSE)</f>
        <v>Basic</v>
      </c>
      <c r="U845" t="str">
        <f t="shared" si="40"/>
        <v>CM95716 Cali</v>
      </c>
      <c r="X845" s="4">
        <f t="shared" si="41"/>
        <v>843446.41</v>
      </c>
    </row>
    <row r="846" spans="1:24" x14ac:dyDescent="0.35">
      <c r="A846" t="s">
        <v>885</v>
      </c>
      <c r="B846" t="s">
        <v>48</v>
      </c>
      <c r="C846" t="s">
        <v>27</v>
      </c>
      <c r="D846" t="s">
        <v>31</v>
      </c>
      <c r="E846" s="5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  <c r="S846" t="str">
        <f t="shared" si="39"/>
        <v>Recomendado</v>
      </c>
      <c r="T846" t="str">
        <f>VLOOKUP(A846,AssuranceTable,2,FALSE)</f>
        <v>Basic</v>
      </c>
      <c r="U846" t="str">
        <f t="shared" si="40"/>
        <v>MW62634 Cali</v>
      </c>
      <c r="X846" s="4">
        <f t="shared" si="41"/>
        <v>222707.28</v>
      </c>
    </row>
    <row r="847" spans="1:24" x14ac:dyDescent="0.35">
      <c r="A847" t="s">
        <v>886</v>
      </c>
      <c r="B847" t="s">
        <v>5</v>
      </c>
      <c r="C847" t="s">
        <v>21</v>
      </c>
      <c r="D847" t="s">
        <v>31</v>
      </c>
      <c r="E847" s="5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  <c r="S847" t="str">
        <f t="shared" si="39"/>
        <v>No recomendado</v>
      </c>
      <c r="T847" t="str">
        <f>VLOOKUP(A847,AssuranceTable,2,FALSE)</f>
        <v>Basic</v>
      </c>
      <c r="U847" t="str">
        <f t="shared" si="40"/>
        <v>QW67581 Arizona</v>
      </c>
      <c r="X847" s="4">
        <f t="shared" si="41"/>
        <v>517002.6</v>
      </c>
    </row>
    <row r="848" spans="1:24" x14ac:dyDescent="0.35">
      <c r="A848" t="s">
        <v>887</v>
      </c>
      <c r="B848" t="s">
        <v>48</v>
      </c>
      <c r="C848" t="s">
        <v>21</v>
      </c>
      <c r="D848" t="s">
        <v>2</v>
      </c>
      <c r="E848" s="5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  <c r="S848" t="str">
        <f t="shared" si="39"/>
        <v>Recomendado</v>
      </c>
      <c r="T848" t="str">
        <f>VLOOKUP(A848,AssuranceTable,2,FALSE)</f>
        <v>Basic</v>
      </c>
      <c r="U848" t="str">
        <f t="shared" si="40"/>
        <v>SN16059 Cali</v>
      </c>
      <c r="X848" s="4">
        <f t="shared" si="41"/>
        <v>264144.61</v>
      </c>
    </row>
    <row r="849" spans="1:24" x14ac:dyDescent="0.35">
      <c r="A849" t="s">
        <v>888</v>
      </c>
      <c r="B849" t="s">
        <v>48</v>
      </c>
      <c r="C849" t="s">
        <v>21</v>
      </c>
      <c r="D849" t="s">
        <v>35</v>
      </c>
      <c r="E849" s="5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  <c r="S849" t="str">
        <f t="shared" si="39"/>
        <v>Recomendado</v>
      </c>
      <c r="T849" t="str">
        <f>VLOOKUP(A849,AssuranceTable,2,FALSE)</f>
        <v>Basic</v>
      </c>
      <c r="U849" t="str">
        <f t="shared" si="40"/>
        <v>OE51254 Cali</v>
      </c>
      <c r="X849" s="4">
        <f t="shared" si="41"/>
        <v>279068.3</v>
      </c>
    </row>
    <row r="850" spans="1:24" x14ac:dyDescent="0.35">
      <c r="A850" t="s">
        <v>889</v>
      </c>
      <c r="B850" t="s">
        <v>33</v>
      </c>
      <c r="C850" t="s">
        <v>27</v>
      </c>
      <c r="D850" t="s">
        <v>35</v>
      </c>
      <c r="E850" s="5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  <c r="S850" t="str">
        <f t="shared" si="39"/>
        <v>Recomendado</v>
      </c>
      <c r="T850" t="str">
        <f>VLOOKUP(A850,AssuranceTable,2,FALSE)</f>
        <v>Basic</v>
      </c>
      <c r="U850" t="str">
        <f t="shared" si="40"/>
        <v>RM42344 Oregon</v>
      </c>
      <c r="X850" s="4">
        <f t="shared" si="41"/>
        <v>274512.98</v>
      </c>
    </row>
    <row r="851" spans="1:24" x14ac:dyDescent="0.35">
      <c r="A851" t="s">
        <v>890</v>
      </c>
      <c r="B851" t="s">
        <v>48</v>
      </c>
      <c r="C851" t="s">
        <v>21</v>
      </c>
      <c r="D851" t="s">
        <v>4</v>
      </c>
      <c r="E851" s="5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  <c r="S851" t="str">
        <f t="shared" si="39"/>
        <v>Recomendado</v>
      </c>
      <c r="T851" t="str">
        <f>VLOOKUP(A851,AssuranceTable,2,FALSE)</f>
        <v>Basic</v>
      </c>
      <c r="U851" t="str">
        <f t="shared" si="40"/>
        <v>GB35238 Cali</v>
      </c>
      <c r="X851" s="4">
        <f t="shared" si="41"/>
        <v>757953.27</v>
      </c>
    </row>
    <row r="852" spans="1:24" x14ac:dyDescent="0.35">
      <c r="A852" t="s">
        <v>891</v>
      </c>
      <c r="B852" t="s">
        <v>33</v>
      </c>
      <c r="C852" t="s">
        <v>27</v>
      </c>
      <c r="D852" t="s">
        <v>4</v>
      </c>
      <c r="E852" s="5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  <c r="S852" t="str">
        <f t="shared" si="39"/>
        <v>Recomendado</v>
      </c>
      <c r="T852" t="str">
        <f>VLOOKUP(A852,AssuranceTable,2,FALSE)</f>
        <v>Extended</v>
      </c>
      <c r="U852" t="str">
        <f t="shared" si="40"/>
        <v>ML82674 Oregon</v>
      </c>
      <c r="X852" s="4">
        <f t="shared" si="41"/>
        <v>1097878.03</v>
      </c>
    </row>
    <row r="853" spans="1:24" x14ac:dyDescent="0.35">
      <c r="A853" t="s">
        <v>892</v>
      </c>
      <c r="B853" t="s">
        <v>48</v>
      </c>
      <c r="C853" t="s">
        <v>27</v>
      </c>
      <c r="D853" t="s">
        <v>35</v>
      </c>
      <c r="E853" s="5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  <c r="S853" t="str">
        <f t="shared" si="39"/>
        <v>No recomendado</v>
      </c>
      <c r="T853" t="str">
        <f>VLOOKUP(A853,AssuranceTable,2,FALSE)</f>
        <v>Extended</v>
      </c>
      <c r="U853" t="str">
        <f t="shared" si="40"/>
        <v>EI85244 Cali</v>
      </c>
      <c r="X853" s="4">
        <f t="shared" si="41"/>
        <v>825506.01</v>
      </c>
    </row>
    <row r="854" spans="1:24" x14ac:dyDescent="0.35">
      <c r="A854" t="s">
        <v>893</v>
      </c>
      <c r="B854" t="s">
        <v>33</v>
      </c>
      <c r="C854" t="s">
        <v>27</v>
      </c>
      <c r="D854" t="s">
        <v>35</v>
      </c>
      <c r="E854" s="5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S854" t="str">
        <f t="shared" si="39"/>
        <v>Recomendado</v>
      </c>
      <c r="T854" t="str">
        <f>VLOOKUP(A854,AssuranceTable,2,FALSE)</f>
        <v>Extended</v>
      </c>
      <c r="U854" t="str">
        <f t="shared" si="40"/>
        <v>DE28132 Oregon</v>
      </c>
      <c r="X854" s="4">
        <f t="shared" si="41"/>
        <v>474773.46</v>
      </c>
    </row>
    <row r="855" spans="1:24" x14ac:dyDescent="0.35">
      <c r="A855" t="s">
        <v>894</v>
      </c>
      <c r="B855" t="s">
        <v>102</v>
      </c>
      <c r="C855" t="s">
        <v>27</v>
      </c>
      <c r="D855" t="s">
        <v>35</v>
      </c>
      <c r="E855" s="5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  <c r="S855" t="str">
        <f t="shared" si="39"/>
        <v>No recomendado</v>
      </c>
      <c r="T855" t="str">
        <f>VLOOKUP(A855,AssuranceTable,2,FALSE)</f>
        <v>Basic</v>
      </c>
      <c r="U855" t="str">
        <f t="shared" si="40"/>
        <v>TV25678 WA</v>
      </c>
      <c r="X855" s="4">
        <f t="shared" si="41"/>
        <v>354090.43</v>
      </c>
    </row>
    <row r="856" spans="1:24" x14ac:dyDescent="0.35">
      <c r="A856" t="s">
        <v>895</v>
      </c>
      <c r="B856" t="s">
        <v>48</v>
      </c>
      <c r="C856" t="s">
        <v>27</v>
      </c>
      <c r="D856" t="s">
        <v>80</v>
      </c>
      <c r="E856" s="5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  <c r="S856" t="str">
        <f t="shared" si="39"/>
        <v>Recomendado</v>
      </c>
      <c r="T856" t="str">
        <f>VLOOKUP(A856,AssuranceTable,2,FALSE)</f>
        <v>Extended</v>
      </c>
      <c r="U856" t="str">
        <f t="shared" si="40"/>
        <v>TY26512 Cali</v>
      </c>
      <c r="X856" s="4">
        <f t="shared" si="41"/>
        <v>343613.43</v>
      </c>
    </row>
    <row r="857" spans="1:24" x14ac:dyDescent="0.35">
      <c r="A857" t="s">
        <v>896</v>
      </c>
      <c r="B857" t="s">
        <v>48</v>
      </c>
      <c r="C857" t="s">
        <v>27</v>
      </c>
      <c r="D857" t="s">
        <v>4</v>
      </c>
      <c r="E857" s="5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  <c r="S857" t="str">
        <f t="shared" si="39"/>
        <v>Recomendado</v>
      </c>
      <c r="T857" t="str">
        <f>VLOOKUP(A857,AssuranceTable,2,FALSE)</f>
        <v>Basic</v>
      </c>
      <c r="U857" t="str">
        <f t="shared" si="40"/>
        <v>OB69153 Cali</v>
      </c>
      <c r="X857" s="4">
        <f t="shared" si="41"/>
        <v>258218.53</v>
      </c>
    </row>
    <row r="858" spans="1:24" x14ac:dyDescent="0.35">
      <c r="A858" t="s">
        <v>897</v>
      </c>
      <c r="B858" t="s">
        <v>3</v>
      </c>
      <c r="C858" t="s">
        <v>21</v>
      </c>
      <c r="D858" t="s">
        <v>35</v>
      </c>
      <c r="E858" s="5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  <c r="S858" t="str">
        <f t="shared" si="39"/>
        <v>Recomendado</v>
      </c>
      <c r="T858" t="str">
        <f>VLOOKUP(A858,AssuranceTable,2,FALSE)</f>
        <v>Basic</v>
      </c>
      <c r="U858" t="str">
        <f t="shared" si="40"/>
        <v>QZ77637 Washington</v>
      </c>
      <c r="X858" s="4">
        <f t="shared" si="41"/>
        <v>1166509.78</v>
      </c>
    </row>
    <row r="859" spans="1:24" x14ac:dyDescent="0.35">
      <c r="A859" t="s">
        <v>898</v>
      </c>
      <c r="B859" t="s">
        <v>48</v>
      </c>
      <c r="C859" t="s">
        <v>21</v>
      </c>
      <c r="D859" t="s">
        <v>2</v>
      </c>
      <c r="E859" s="5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  <c r="S859" t="str">
        <f t="shared" si="39"/>
        <v>Recomendado</v>
      </c>
      <c r="T859" t="str">
        <f>VLOOKUP(A859,AssuranceTable,2,FALSE)</f>
        <v>Extended</v>
      </c>
      <c r="U859" t="str">
        <f t="shared" si="40"/>
        <v>XN41715 Cali</v>
      </c>
      <c r="X859" s="4">
        <f t="shared" si="41"/>
        <v>739628.37</v>
      </c>
    </row>
    <row r="860" spans="1:24" x14ac:dyDescent="0.35">
      <c r="A860" t="s">
        <v>899</v>
      </c>
      <c r="B860" t="s">
        <v>48</v>
      </c>
      <c r="C860" t="s">
        <v>21</v>
      </c>
      <c r="D860" t="s">
        <v>35</v>
      </c>
      <c r="E860" s="5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  <c r="S860" t="str">
        <f t="shared" si="39"/>
        <v>No recomendado</v>
      </c>
      <c r="T860" t="str">
        <f>VLOOKUP(A860,AssuranceTable,2,FALSE)</f>
        <v>Basic</v>
      </c>
      <c r="U860" t="str">
        <f t="shared" si="40"/>
        <v>QR15857 Cali</v>
      </c>
      <c r="X860" s="4">
        <f t="shared" si="41"/>
        <v>433079.98</v>
      </c>
    </row>
    <row r="861" spans="1:24" x14ac:dyDescent="0.35">
      <c r="A861" t="s">
        <v>900</v>
      </c>
      <c r="B861" t="s">
        <v>33</v>
      </c>
      <c r="C861" t="s">
        <v>27</v>
      </c>
      <c r="D861" t="s">
        <v>2</v>
      </c>
      <c r="E861" s="5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  <c r="S861" t="str">
        <f t="shared" si="39"/>
        <v>Recomendado</v>
      </c>
      <c r="T861" t="str">
        <f>VLOOKUP(A861,AssuranceTable,2,FALSE)</f>
        <v>Basic</v>
      </c>
      <c r="U861" t="str">
        <f t="shared" si="40"/>
        <v>FL69363 Oregon</v>
      </c>
      <c r="X861" s="4">
        <f t="shared" si="41"/>
        <v>907576.82</v>
      </c>
    </row>
    <row r="862" spans="1:24" x14ac:dyDescent="0.35">
      <c r="A862" t="s">
        <v>901</v>
      </c>
      <c r="B862" t="s">
        <v>5</v>
      </c>
      <c r="C862" t="s">
        <v>21</v>
      </c>
      <c r="D862" t="s">
        <v>4</v>
      </c>
      <c r="E862" s="5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  <c r="S862" t="str">
        <f t="shared" si="39"/>
        <v>No recomendado</v>
      </c>
      <c r="T862" t="str">
        <f>VLOOKUP(A862,AssuranceTable,2,FALSE)</f>
        <v>Extended</v>
      </c>
      <c r="U862" t="str">
        <f t="shared" si="40"/>
        <v>IS30295 Arizona</v>
      </c>
      <c r="X862" s="4">
        <f t="shared" si="41"/>
        <v>1463545.16</v>
      </c>
    </row>
    <row r="863" spans="1:24" x14ac:dyDescent="0.35">
      <c r="A863" t="s">
        <v>902</v>
      </c>
      <c r="B863" t="s">
        <v>3</v>
      </c>
      <c r="C863" t="s">
        <v>271</v>
      </c>
      <c r="D863" t="s">
        <v>31</v>
      </c>
      <c r="E863" s="5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  <c r="S863" t="str">
        <f t="shared" si="39"/>
        <v>Recomendado</v>
      </c>
      <c r="T863" t="str">
        <f>VLOOKUP(A863,AssuranceTable,2,FALSE)</f>
        <v>Basic</v>
      </c>
      <c r="U863" t="str">
        <f t="shared" si="40"/>
        <v>WA25797 Washington</v>
      </c>
      <c r="X863" s="4">
        <f t="shared" si="41"/>
        <v>856476.82</v>
      </c>
    </row>
    <row r="864" spans="1:24" x14ac:dyDescent="0.35">
      <c r="A864" t="s">
        <v>903</v>
      </c>
      <c r="B864" t="s">
        <v>48</v>
      </c>
      <c r="C864" t="s">
        <v>21</v>
      </c>
      <c r="D864" t="s">
        <v>35</v>
      </c>
      <c r="E864" s="5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  <c r="S864" t="str">
        <f t="shared" si="39"/>
        <v>Recomendado</v>
      </c>
      <c r="T864" t="str">
        <f>VLOOKUP(A864,AssuranceTable,2,FALSE)</f>
        <v>Extended</v>
      </c>
      <c r="U864" t="str">
        <f t="shared" si="40"/>
        <v>NL59519 Cali</v>
      </c>
      <c r="X864" s="4">
        <f t="shared" si="41"/>
        <v>1156568.75</v>
      </c>
    </row>
    <row r="865" spans="1:24" x14ac:dyDescent="0.35">
      <c r="A865" t="s">
        <v>904</v>
      </c>
      <c r="B865" t="s">
        <v>33</v>
      </c>
      <c r="C865" t="s">
        <v>21</v>
      </c>
      <c r="D865" t="s">
        <v>35</v>
      </c>
      <c r="E865" s="5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  <c r="S865" t="str">
        <f t="shared" si="39"/>
        <v>Recomendado</v>
      </c>
      <c r="T865" t="str">
        <f>VLOOKUP(A865,AssuranceTable,2,FALSE)</f>
        <v>Basic</v>
      </c>
      <c r="U865" t="str">
        <f t="shared" si="40"/>
        <v>ZU93025 Oregon</v>
      </c>
      <c r="X865" s="4">
        <f t="shared" si="41"/>
        <v>277104.5</v>
      </c>
    </row>
    <row r="866" spans="1:24" x14ac:dyDescent="0.35">
      <c r="A866" t="s">
        <v>905</v>
      </c>
      <c r="B866" t="s">
        <v>33</v>
      </c>
      <c r="C866" t="s">
        <v>27</v>
      </c>
      <c r="D866" t="s">
        <v>31</v>
      </c>
      <c r="E866" s="5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  <c r="S866" t="str">
        <f t="shared" si="39"/>
        <v>Recomendado</v>
      </c>
      <c r="T866" t="str">
        <f>VLOOKUP(A866,AssuranceTable,2,FALSE)</f>
        <v>Basic</v>
      </c>
      <c r="U866" t="str">
        <f t="shared" si="40"/>
        <v>DK94262 Oregon</v>
      </c>
      <c r="X866" s="4">
        <f t="shared" si="41"/>
        <v>850712.88</v>
      </c>
    </row>
    <row r="867" spans="1:24" x14ac:dyDescent="0.35">
      <c r="A867" t="s">
        <v>906</v>
      </c>
      <c r="B867" t="s">
        <v>48</v>
      </c>
      <c r="C867" t="s">
        <v>27</v>
      </c>
      <c r="D867" t="s">
        <v>35</v>
      </c>
      <c r="E867" s="5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  <c r="S867" t="str">
        <f t="shared" si="39"/>
        <v>Recomendado</v>
      </c>
      <c r="T867" t="str">
        <f>VLOOKUP(A867,AssuranceTable,2,FALSE)</f>
        <v>Basic</v>
      </c>
      <c r="U867" t="str">
        <f t="shared" si="40"/>
        <v>UQ30615 Cali</v>
      </c>
      <c r="X867" s="4">
        <f t="shared" si="41"/>
        <v>758211.38</v>
      </c>
    </row>
    <row r="868" spans="1:24" x14ac:dyDescent="0.35">
      <c r="A868" t="s">
        <v>907</v>
      </c>
      <c r="B868" t="s">
        <v>5</v>
      </c>
      <c r="C868" t="s">
        <v>27</v>
      </c>
      <c r="D868" t="s">
        <v>4</v>
      </c>
      <c r="E868" s="5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  <c r="S868" t="str">
        <f t="shared" si="39"/>
        <v>Recomendado</v>
      </c>
      <c r="T868" t="str">
        <f>VLOOKUP(A868,AssuranceTable,2,FALSE)</f>
        <v>Extended</v>
      </c>
      <c r="U868" t="str">
        <f t="shared" si="40"/>
        <v>OR40060 Arizona</v>
      </c>
      <c r="X868" s="4">
        <f t="shared" si="41"/>
        <v>332309.25</v>
      </c>
    </row>
    <row r="869" spans="1:24" x14ac:dyDescent="0.35">
      <c r="A869" t="s">
        <v>908</v>
      </c>
      <c r="B869" t="s">
        <v>23</v>
      </c>
      <c r="C869" t="s">
        <v>21</v>
      </c>
      <c r="D869" t="s">
        <v>31</v>
      </c>
      <c r="E869" s="5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  <c r="S869" t="str">
        <f t="shared" si="39"/>
        <v>Recomendado</v>
      </c>
      <c r="T869" t="str">
        <f>VLOOKUP(A869,AssuranceTable,2,FALSE)</f>
        <v>Extended</v>
      </c>
      <c r="U869" t="str">
        <f t="shared" si="40"/>
        <v>DK32872 Nevada</v>
      </c>
      <c r="X869" s="4">
        <f t="shared" si="41"/>
        <v>523433.17</v>
      </c>
    </row>
    <row r="870" spans="1:24" x14ac:dyDescent="0.35">
      <c r="A870" t="s">
        <v>909</v>
      </c>
      <c r="B870" t="s">
        <v>23</v>
      </c>
      <c r="C870" t="s">
        <v>21</v>
      </c>
      <c r="D870" t="s">
        <v>31</v>
      </c>
      <c r="E870" s="5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  <c r="S870" t="str">
        <f t="shared" si="39"/>
        <v>Recomendado</v>
      </c>
      <c r="T870" t="str">
        <f>VLOOKUP(A870,AssuranceTable,2,FALSE)</f>
        <v>Extended</v>
      </c>
      <c r="U870" t="str">
        <f t="shared" si="40"/>
        <v>FA46418 Nevada</v>
      </c>
      <c r="X870" s="4">
        <f t="shared" si="41"/>
        <v>2470959.96</v>
      </c>
    </row>
    <row r="871" spans="1:24" x14ac:dyDescent="0.35">
      <c r="A871" t="s">
        <v>910</v>
      </c>
      <c r="B871" t="s">
        <v>3</v>
      </c>
      <c r="C871" t="s">
        <v>21</v>
      </c>
      <c r="D871" t="s">
        <v>35</v>
      </c>
      <c r="E871" s="5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  <c r="S871" t="str">
        <f t="shared" si="39"/>
        <v>Recomendado</v>
      </c>
      <c r="T871" t="str">
        <f>VLOOKUP(A871,AssuranceTable,2,FALSE)</f>
        <v>Basic</v>
      </c>
      <c r="U871" t="str">
        <f t="shared" si="40"/>
        <v>ER19995 Washington</v>
      </c>
      <c r="X871" s="4">
        <f t="shared" si="41"/>
        <v>1778627.78</v>
      </c>
    </row>
    <row r="872" spans="1:24" x14ac:dyDescent="0.35">
      <c r="A872" t="s">
        <v>911</v>
      </c>
      <c r="B872" t="s">
        <v>33</v>
      </c>
      <c r="C872" t="s">
        <v>27</v>
      </c>
      <c r="D872" t="s">
        <v>2</v>
      </c>
      <c r="E872" s="5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  <c r="S872" t="str">
        <f t="shared" si="39"/>
        <v>Recomendado</v>
      </c>
      <c r="T872" t="str">
        <f>VLOOKUP(A872,AssuranceTable,2,FALSE)</f>
        <v>Basic</v>
      </c>
      <c r="U872" t="str">
        <f t="shared" si="40"/>
        <v>KI75855 Oregon</v>
      </c>
      <c r="X872" s="4">
        <f t="shared" si="41"/>
        <v>255122.67</v>
      </c>
    </row>
    <row r="873" spans="1:24" x14ac:dyDescent="0.35">
      <c r="A873" t="s">
        <v>912</v>
      </c>
      <c r="B873" t="s">
        <v>5</v>
      </c>
      <c r="C873" t="s">
        <v>27</v>
      </c>
      <c r="D873" t="s">
        <v>31</v>
      </c>
      <c r="E873" s="5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  <c r="S873" t="str">
        <f t="shared" si="39"/>
        <v>Recomendado</v>
      </c>
      <c r="T873" t="str">
        <f>VLOOKUP(A873,AssuranceTable,2,FALSE)</f>
        <v>Basic</v>
      </c>
      <c r="U873" t="str">
        <f t="shared" si="40"/>
        <v>ND41876 Arizona</v>
      </c>
      <c r="X873" s="4">
        <f t="shared" si="41"/>
        <v>724771.37</v>
      </c>
    </row>
    <row r="874" spans="1:24" x14ac:dyDescent="0.35">
      <c r="A874" t="s">
        <v>913</v>
      </c>
      <c r="B874" t="s">
        <v>5</v>
      </c>
      <c r="C874" t="s">
        <v>27</v>
      </c>
      <c r="D874" t="s">
        <v>4</v>
      </c>
      <c r="E874" s="5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  <c r="S874" t="str">
        <f t="shared" si="39"/>
        <v>Recomendado</v>
      </c>
      <c r="T874" t="str">
        <f>VLOOKUP(A874,AssuranceTable,2,FALSE)</f>
        <v>Basic</v>
      </c>
      <c r="U874" t="str">
        <f t="shared" si="40"/>
        <v>PN21042 Arizona</v>
      </c>
      <c r="X874" s="4">
        <f t="shared" si="41"/>
        <v>453884.78</v>
      </c>
    </row>
    <row r="875" spans="1:24" x14ac:dyDescent="0.35">
      <c r="A875" t="s">
        <v>914</v>
      </c>
      <c r="B875" t="s">
        <v>3</v>
      </c>
      <c r="C875" t="s">
        <v>27</v>
      </c>
      <c r="D875" t="s">
        <v>35</v>
      </c>
      <c r="E875" s="5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S875" t="str">
        <f t="shared" si="39"/>
        <v>Recomendado</v>
      </c>
      <c r="T875" t="str">
        <f>VLOOKUP(A875,AssuranceTable,2,FALSE)</f>
        <v>Extended</v>
      </c>
      <c r="U875" t="str">
        <f t="shared" si="40"/>
        <v>GJ43254 Washington</v>
      </c>
      <c r="X875" s="4">
        <f t="shared" si="41"/>
        <v>3164210.46</v>
      </c>
    </row>
    <row r="876" spans="1:24" x14ac:dyDescent="0.35">
      <c r="A876" t="s">
        <v>915</v>
      </c>
      <c r="B876" t="s">
        <v>48</v>
      </c>
      <c r="C876" t="s">
        <v>27</v>
      </c>
      <c r="D876" t="s">
        <v>31</v>
      </c>
      <c r="E876" s="5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  <c r="S876" t="str">
        <f t="shared" si="39"/>
        <v>Recomendado</v>
      </c>
      <c r="T876" t="str">
        <f>VLOOKUP(A876,AssuranceTable,2,FALSE)</f>
        <v>Basic</v>
      </c>
      <c r="U876" t="str">
        <f t="shared" si="40"/>
        <v>AL46984 Cali</v>
      </c>
      <c r="X876" s="4">
        <f t="shared" si="41"/>
        <v>873042.2</v>
      </c>
    </row>
    <row r="877" spans="1:24" x14ac:dyDescent="0.35">
      <c r="A877" t="s">
        <v>916</v>
      </c>
      <c r="B877" t="s">
        <v>33</v>
      </c>
      <c r="C877" t="s">
        <v>27</v>
      </c>
      <c r="D877" t="s">
        <v>35</v>
      </c>
      <c r="E877" s="5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  <c r="S877" t="str">
        <f t="shared" si="39"/>
        <v>No recomendado</v>
      </c>
      <c r="T877" t="str">
        <f>VLOOKUP(A877,AssuranceTable,2,FALSE)</f>
        <v>Extended</v>
      </c>
      <c r="U877" t="str">
        <f t="shared" si="40"/>
        <v>JP58047 Oregon</v>
      </c>
      <c r="X877" s="4">
        <f t="shared" si="41"/>
        <v>833273.06</v>
      </c>
    </row>
    <row r="878" spans="1:24" x14ac:dyDescent="0.35">
      <c r="A878" t="s">
        <v>917</v>
      </c>
      <c r="B878" t="s">
        <v>48</v>
      </c>
      <c r="C878" t="s">
        <v>27</v>
      </c>
      <c r="D878" t="s">
        <v>35</v>
      </c>
      <c r="E878" s="5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  <c r="S878" t="str">
        <f t="shared" si="39"/>
        <v>Recomendado</v>
      </c>
      <c r="T878" t="str">
        <f>VLOOKUP(A878,AssuranceTable,2,FALSE)</f>
        <v>Basic</v>
      </c>
      <c r="U878" t="str">
        <f t="shared" si="40"/>
        <v>ZE85014 Cali</v>
      </c>
      <c r="X878" s="4">
        <f t="shared" si="41"/>
        <v>235774.7</v>
      </c>
    </row>
    <row r="879" spans="1:24" x14ac:dyDescent="0.35">
      <c r="A879" t="s">
        <v>918</v>
      </c>
      <c r="B879" t="s">
        <v>5</v>
      </c>
      <c r="C879" t="s">
        <v>27</v>
      </c>
      <c r="D879" t="s">
        <v>2</v>
      </c>
      <c r="E879" s="5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  <c r="S879" t="str">
        <f t="shared" si="39"/>
        <v>Recomendado</v>
      </c>
      <c r="T879" t="str">
        <f>VLOOKUP(A879,AssuranceTable,2,FALSE)</f>
        <v>Basic</v>
      </c>
      <c r="U879" t="str">
        <f t="shared" si="40"/>
        <v>KU88219 Arizona</v>
      </c>
      <c r="X879" s="4">
        <f t="shared" si="41"/>
        <v>463716.4</v>
      </c>
    </row>
    <row r="880" spans="1:24" x14ac:dyDescent="0.35">
      <c r="A880" t="s">
        <v>919</v>
      </c>
      <c r="B880" t="s">
        <v>48</v>
      </c>
      <c r="C880" t="s">
        <v>27</v>
      </c>
      <c r="D880" t="s">
        <v>4</v>
      </c>
      <c r="E880" s="5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  <c r="S880" t="str">
        <f t="shared" si="39"/>
        <v>No recomendado</v>
      </c>
      <c r="T880" t="str">
        <f>VLOOKUP(A880,AssuranceTable,2,FALSE)</f>
        <v>Basic</v>
      </c>
      <c r="U880" t="str">
        <f t="shared" si="40"/>
        <v>UU98729 Cali</v>
      </c>
      <c r="X880" s="4">
        <f t="shared" si="41"/>
        <v>535719.27</v>
      </c>
    </row>
    <row r="881" spans="1:24" x14ac:dyDescent="0.35">
      <c r="A881" t="s">
        <v>920</v>
      </c>
      <c r="B881" t="s">
        <v>33</v>
      </c>
      <c r="C881" t="s">
        <v>21</v>
      </c>
      <c r="D881" t="s">
        <v>35</v>
      </c>
      <c r="E881" s="5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  <c r="S881" t="str">
        <f t="shared" si="39"/>
        <v>Recomendado</v>
      </c>
      <c r="T881" t="str">
        <f>VLOOKUP(A881,AssuranceTable,2,FALSE)</f>
        <v>Basic</v>
      </c>
      <c r="U881" t="str">
        <f t="shared" si="40"/>
        <v>WS82822 Oregon</v>
      </c>
      <c r="X881" s="4">
        <f t="shared" si="41"/>
        <v>539197.1</v>
      </c>
    </row>
    <row r="882" spans="1:24" x14ac:dyDescent="0.35">
      <c r="A882" t="s">
        <v>921</v>
      </c>
      <c r="B882" t="s">
        <v>5</v>
      </c>
      <c r="C882" t="s">
        <v>27</v>
      </c>
      <c r="D882" t="s">
        <v>4</v>
      </c>
      <c r="E882" s="5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  <c r="S882" t="str">
        <f t="shared" si="39"/>
        <v>Recomendado</v>
      </c>
      <c r="T882" t="str">
        <f>VLOOKUP(A882,AssuranceTable,2,FALSE)</f>
        <v>Extended</v>
      </c>
      <c r="U882" t="str">
        <f t="shared" si="40"/>
        <v>YB49933 Arizona</v>
      </c>
      <c r="X882" s="4">
        <f t="shared" si="41"/>
        <v>369414.05</v>
      </c>
    </row>
    <row r="883" spans="1:24" x14ac:dyDescent="0.35">
      <c r="A883" t="s">
        <v>922</v>
      </c>
      <c r="B883" t="s">
        <v>5</v>
      </c>
      <c r="C883" t="s">
        <v>21</v>
      </c>
      <c r="D883" t="s">
        <v>31</v>
      </c>
      <c r="E883" s="5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  <c r="S883" t="str">
        <f t="shared" si="39"/>
        <v>Recomendado</v>
      </c>
      <c r="T883" t="str">
        <f>VLOOKUP(A883,AssuranceTable,2,FALSE)</f>
        <v>Basic</v>
      </c>
      <c r="U883" t="str">
        <f t="shared" si="40"/>
        <v>XC16387 Arizona</v>
      </c>
      <c r="X883" s="4">
        <f t="shared" si="41"/>
        <v>504041.24</v>
      </c>
    </row>
    <row r="884" spans="1:24" x14ac:dyDescent="0.35">
      <c r="A884" t="s">
        <v>923</v>
      </c>
      <c r="B884" t="s">
        <v>5</v>
      </c>
      <c r="C884" t="s">
        <v>21</v>
      </c>
      <c r="D884" t="s">
        <v>31</v>
      </c>
      <c r="E884" s="5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  <c r="S884" t="str">
        <f t="shared" si="39"/>
        <v>Recomendado</v>
      </c>
      <c r="T884" t="str">
        <f>VLOOKUP(A884,AssuranceTable,2,FALSE)</f>
        <v>Extended</v>
      </c>
      <c r="U884" t="str">
        <f t="shared" si="40"/>
        <v>XJ96748 Arizona</v>
      </c>
      <c r="X884" s="4">
        <f t="shared" si="41"/>
        <v>2749542.19</v>
      </c>
    </row>
    <row r="885" spans="1:24" x14ac:dyDescent="0.35">
      <c r="A885" t="s">
        <v>924</v>
      </c>
      <c r="B885" t="s">
        <v>33</v>
      </c>
      <c r="C885" t="s">
        <v>27</v>
      </c>
      <c r="D885" t="s">
        <v>31</v>
      </c>
      <c r="E885" s="5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  <c r="S885" t="str">
        <f t="shared" si="39"/>
        <v>Recomendado</v>
      </c>
      <c r="T885" t="str">
        <f>VLOOKUP(A885,AssuranceTable,2,FALSE)</f>
        <v>Basic</v>
      </c>
      <c r="U885" t="str">
        <f t="shared" si="40"/>
        <v>TM98684 Oregon</v>
      </c>
      <c r="X885" s="4">
        <f t="shared" si="41"/>
        <v>484228.5</v>
      </c>
    </row>
    <row r="886" spans="1:24" x14ac:dyDescent="0.35">
      <c r="A886" t="s">
        <v>925</v>
      </c>
      <c r="B886" t="s">
        <v>3</v>
      </c>
      <c r="C886" t="s">
        <v>21</v>
      </c>
      <c r="D886" t="s">
        <v>31</v>
      </c>
      <c r="E886" s="5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S886" t="str">
        <f t="shared" si="39"/>
        <v>Recomendado</v>
      </c>
      <c r="T886" t="str">
        <f>VLOOKUP(A886,AssuranceTable,2,FALSE)</f>
        <v>Extended</v>
      </c>
      <c r="U886" t="str">
        <f t="shared" si="40"/>
        <v>AY18433 Washington</v>
      </c>
      <c r="X886" s="4">
        <f t="shared" si="41"/>
        <v>2738281.89</v>
      </c>
    </row>
    <row r="887" spans="1:24" x14ac:dyDescent="0.35">
      <c r="A887" t="s">
        <v>926</v>
      </c>
      <c r="B887" t="s">
        <v>23</v>
      </c>
      <c r="C887" t="s">
        <v>21</v>
      </c>
      <c r="D887" t="s">
        <v>35</v>
      </c>
      <c r="E887" s="5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S887" t="str">
        <f t="shared" si="39"/>
        <v>Recomendado</v>
      </c>
      <c r="T887" t="str">
        <f>VLOOKUP(A887,AssuranceTable,2,FALSE)</f>
        <v>Extended</v>
      </c>
      <c r="U887" t="str">
        <f t="shared" si="40"/>
        <v>DM74502 Nevada</v>
      </c>
      <c r="X887" s="4">
        <f t="shared" si="41"/>
        <v>522710.19</v>
      </c>
    </row>
    <row r="888" spans="1:24" x14ac:dyDescent="0.35">
      <c r="A888" t="s">
        <v>927</v>
      </c>
      <c r="B888" t="s">
        <v>5</v>
      </c>
      <c r="C888" t="s">
        <v>27</v>
      </c>
      <c r="D888" t="s">
        <v>31</v>
      </c>
      <c r="E888" s="5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  <c r="S888" t="str">
        <f t="shared" si="39"/>
        <v>Recomendado</v>
      </c>
      <c r="T888" t="str">
        <f>VLOOKUP(A888,AssuranceTable,2,FALSE)</f>
        <v>Basic</v>
      </c>
      <c r="U888" t="str">
        <f t="shared" si="40"/>
        <v>FT56968 Arizona</v>
      </c>
      <c r="X888" s="4">
        <f t="shared" si="41"/>
        <v>259009.6</v>
      </c>
    </row>
    <row r="889" spans="1:24" x14ac:dyDescent="0.35">
      <c r="A889" t="s">
        <v>928</v>
      </c>
      <c r="B889" t="s">
        <v>48</v>
      </c>
      <c r="C889" t="s">
        <v>27</v>
      </c>
      <c r="D889" t="s">
        <v>31</v>
      </c>
      <c r="E889" s="5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  <c r="S889" t="str">
        <f t="shared" si="39"/>
        <v>Recomendado</v>
      </c>
      <c r="T889" t="str">
        <f>VLOOKUP(A889,AssuranceTable,2,FALSE)</f>
        <v>Extended</v>
      </c>
      <c r="U889" t="str">
        <f t="shared" si="40"/>
        <v>OX36896 Cali</v>
      </c>
      <c r="X889" s="4">
        <f t="shared" si="41"/>
        <v>1053607.8</v>
      </c>
    </row>
    <row r="890" spans="1:24" x14ac:dyDescent="0.35">
      <c r="A890" t="s">
        <v>929</v>
      </c>
      <c r="B890" t="s">
        <v>5</v>
      </c>
      <c r="C890" t="s">
        <v>27</v>
      </c>
      <c r="D890" t="s">
        <v>4</v>
      </c>
      <c r="E890" s="5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  <c r="S890" t="str">
        <f t="shared" si="39"/>
        <v>Recomendado</v>
      </c>
      <c r="T890" t="str">
        <f>VLOOKUP(A890,AssuranceTable,2,FALSE)</f>
        <v>Extended</v>
      </c>
      <c r="U890" t="str">
        <f t="shared" si="40"/>
        <v>BZ65376 Arizona</v>
      </c>
      <c r="X890" s="4">
        <f t="shared" si="41"/>
        <v>858127.87</v>
      </c>
    </row>
    <row r="891" spans="1:24" x14ac:dyDescent="0.35">
      <c r="A891" t="s">
        <v>930</v>
      </c>
      <c r="B891" t="s">
        <v>48</v>
      </c>
      <c r="C891" t="s">
        <v>21</v>
      </c>
      <c r="D891" t="s">
        <v>35</v>
      </c>
      <c r="E891" s="5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S891" t="str">
        <f t="shared" si="39"/>
        <v>Recomendado</v>
      </c>
      <c r="T891" t="str">
        <f>VLOOKUP(A891,AssuranceTable,2,FALSE)</f>
        <v>Basic</v>
      </c>
      <c r="U891" t="str">
        <f t="shared" si="40"/>
        <v>LN34660 Cali</v>
      </c>
      <c r="X891" s="4">
        <f t="shared" si="41"/>
        <v>946311.33</v>
      </c>
    </row>
    <row r="892" spans="1:24" x14ac:dyDescent="0.35">
      <c r="A892" t="s">
        <v>931</v>
      </c>
      <c r="B892" t="s">
        <v>48</v>
      </c>
      <c r="C892" t="s">
        <v>21</v>
      </c>
      <c r="D892" t="s">
        <v>4</v>
      </c>
      <c r="E892" s="5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  <c r="S892" t="str">
        <f t="shared" si="39"/>
        <v>Recomendado</v>
      </c>
      <c r="T892" t="str">
        <f>VLOOKUP(A892,AssuranceTable,2,FALSE)</f>
        <v>Basic</v>
      </c>
      <c r="U892" t="str">
        <f t="shared" si="40"/>
        <v>JC29295 Cali</v>
      </c>
      <c r="X892" s="4">
        <f t="shared" si="41"/>
        <v>1344100.64</v>
      </c>
    </row>
    <row r="893" spans="1:24" x14ac:dyDescent="0.35">
      <c r="A893" t="s">
        <v>932</v>
      </c>
      <c r="B893" t="s">
        <v>48</v>
      </c>
      <c r="C893" t="s">
        <v>21</v>
      </c>
      <c r="D893" t="s">
        <v>4</v>
      </c>
      <c r="E893" s="5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S893" t="str">
        <f t="shared" si="39"/>
        <v>No recomendado</v>
      </c>
      <c r="T893" t="str">
        <f>VLOOKUP(A893,AssuranceTable,2,FALSE)</f>
        <v>Basic</v>
      </c>
      <c r="U893" t="str">
        <f t="shared" si="40"/>
        <v>KJ87930 Cali</v>
      </c>
      <c r="X893" s="4">
        <f t="shared" si="41"/>
        <v>388650.48</v>
      </c>
    </row>
    <row r="894" spans="1:24" x14ac:dyDescent="0.35">
      <c r="A894" t="s">
        <v>933</v>
      </c>
      <c r="B894" t="s">
        <v>5</v>
      </c>
      <c r="C894" t="s">
        <v>21</v>
      </c>
      <c r="D894" t="s">
        <v>31</v>
      </c>
      <c r="E894" s="5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  <c r="S894" t="str">
        <f t="shared" si="39"/>
        <v>No recomendado</v>
      </c>
      <c r="T894" t="str">
        <f>VLOOKUP(A894,AssuranceTable,2,FALSE)</f>
        <v>Basic</v>
      </c>
      <c r="U894" t="str">
        <f t="shared" si="40"/>
        <v>XT36360 Arizona</v>
      </c>
      <c r="X894" s="4">
        <f t="shared" si="41"/>
        <v>678489.37</v>
      </c>
    </row>
    <row r="895" spans="1:24" x14ac:dyDescent="0.35">
      <c r="A895" t="s">
        <v>934</v>
      </c>
      <c r="B895" t="s">
        <v>5</v>
      </c>
      <c r="C895" t="s">
        <v>27</v>
      </c>
      <c r="D895" t="s">
        <v>4</v>
      </c>
      <c r="E895" s="5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  <c r="S895" t="str">
        <f t="shared" si="39"/>
        <v>Recomendado</v>
      </c>
      <c r="T895" t="str">
        <f>VLOOKUP(A895,AssuranceTable,2,FALSE)</f>
        <v>Basic</v>
      </c>
      <c r="U895" t="str">
        <f t="shared" si="40"/>
        <v>IX35050 Arizona</v>
      </c>
      <c r="X895" s="4">
        <f t="shared" si="41"/>
        <v>2359468.02</v>
      </c>
    </row>
    <row r="896" spans="1:24" x14ac:dyDescent="0.35">
      <c r="A896" t="s">
        <v>935</v>
      </c>
      <c r="B896" t="s">
        <v>33</v>
      </c>
      <c r="C896" t="s">
        <v>27</v>
      </c>
      <c r="D896" t="s">
        <v>4</v>
      </c>
      <c r="E896" s="5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  <c r="S896" t="str">
        <f t="shared" si="39"/>
        <v>Recomendado</v>
      </c>
      <c r="T896" t="str">
        <f>VLOOKUP(A896,AssuranceTable,2,FALSE)</f>
        <v>Basic</v>
      </c>
      <c r="U896" t="str">
        <f t="shared" si="40"/>
        <v>UN97379 Oregon</v>
      </c>
      <c r="X896" s="4">
        <f t="shared" si="41"/>
        <v>253862.63</v>
      </c>
    </row>
    <row r="897" spans="1:24" x14ac:dyDescent="0.35">
      <c r="A897" t="s">
        <v>936</v>
      </c>
      <c r="B897" t="s">
        <v>48</v>
      </c>
      <c r="C897" t="s">
        <v>27</v>
      </c>
      <c r="D897" t="s">
        <v>31</v>
      </c>
      <c r="E897" s="5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  <c r="S897" t="str">
        <f t="shared" si="39"/>
        <v>Recomendado</v>
      </c>
      <c r="T897" t="str">
        <f>VLOOKUP(A897,AssuranceTable,2,FALSE)</f>
        <v>Basic</v>
      </c>
      <c r="U897" t="str">
        <f t="shared" si="40"/>
        <v>MR57294 Cali</v>
      </c>
      <c r="X897" s="4">
        <f t="shared" si="41"/>
        <v>563994.19999999995</v>
      </c>
    </row>
    <row r="898" spans="1:24" x14ac:dyDescent="0.35">
      <c r="A898" t="s">
        <v>937</v>
      </c>
      <c r="B898" t="s">
        <v>3</v>
      </c>
      <c r="C898" t="s">
        <v>27</v>
      </c>
      <c r="D898" t="s">
        <v>4</v>
      </c>
      <c r="E898" s="5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  <c r="S898" t="str">
        <f t="shared" si="39"/>
        <v>Recomendado</v>
      </c>
      <c r="T898" t="str">
        <f>VLOOKUP(A898,AssuranceTable,2,FALSE)</f>
        <v>Extended</v>
      </c>
      <c r="U898" t="str">
        <f t="shared" si="40"/>
        <v>UG79499 Washington</v>
      </c>
      <c r="X898" s="4">
        <f t="shared" si="41"/>
        <v>1168137.43</v>
      </c>
    </row>
    <row r="899" spans="1:24" x14ac:dyDescent="0.35">
      <c r="A899" t="s">
        <v>938</v>
      </c>
      <c r="B899" t="s">
        <v>3</v>
      </c>
      <c r="C899" t="s">
        <v>21</v>
      </c>
      <c r="D899" t="s">
        <v>31</v>
      </c>
      <c r="E899" s="5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  <c r="S899" t="str">
        <f t="shared" ref="S899:S962" si="42">IF(F899&gt;3000,"Recomendado","No recomendado")</f>
        <v>Recomendado</v>
      </c>
      <c r="T899" t="str">
        <f>VLOOKUP(A899,AssuranceTable,2,FALSE)</f>
        <v>Basic</v>
      </c>
      <c r="U899" t="str">
        <f t="shared" ref="U899:U962" si="43">_xlfn.CONCAT(A899, " ",B899)</f>
        <v>UA50747 Washington</v>
      </c>
      <c r="X899" s="4">
        <f t="shared" ref="X899:X962" si="44">ROUND(E899,3)</f>
        <v>2599775</v>
      </c>
    </row>
    <row r="900" spans="1:24" x14ac:dyDescent="0.35">
      <c r="A900" t="s">
        <v>939</v>
      </c>
      <c r="B900" t="s">
        <v>23</v>
      </c>
      <c r="C900" t="s">
        <v>21</v>
      </c>
      <c r="D900" t="s">
        <v>2</v>
      </c>
      <c r="E900" s="5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S900" t="str">
        <f t="shared" si="42"/>
        <v>Recomendado</v>
      </c>
      <c r="T900" t="str">
        <f>VLOOKUP(A900,AssuranceTable,2,FALSE)</f>
        <v>Premium</v>
      </c>
      <c r="U900" t="str">
        <f t="shared" si="43"/>
        <v>GL20444 Nevada</v>
      </c>
      <c r="X900" s="4">
        <f t="shared" si="44"/>
        <v>1377836.93</v>
      </c>
    </row>
    <row r="901" spans="1:24" x14ac:dyDescent="0.35">
      <c r="A901" t="s">
        <v>940</v>
      </c>
      <c r="B901" t="s">
        <v>48</v>
      </c>
      <c r="C901" t="s">
        <v>21</v>
      </c>
      <c r="D901" t="s">
        <v>4</v>
      </c>
      <c r="E901" s="5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  <c r="S901" t="str">
        <f t="shared" si="42"/>
        <v>Recomendado</v>
      </c>
      <c r="T901" t="str">
        <f>VLOOKUP(A901,AssuranceTable,2,FALSE)</f>
        <v>Basic</v>
      </c>
      <c r="U901" t="str">
        <f t="shared" si="43"/>
        <v>SP58110 Cali</v>
      </c>
      <c r="X901" s="4">
        <f t="shared" si="44"/>
        <v>492318.17</v>
      </c>
    </row>
    <row r="902" spans="1:24" x14ac:dyDescent="0.35">
      <c r="A902" t="s">
        <v>941</v>
      </c>
      <c r="B902" t="s">
        <v>5</v>
      </c>
      <c r="C902" t="s">
        <v>21</v>
      </c>
      <c r="D902" t="s">
        <v>31</v>
      </c>
      <c r="E902" s="5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  <c r="S902" t="str">
        <f t="shared" si="42"/>
        <v>Recomendado</v>
      </c>
      <c r="T902" t="str">
        <f>VLOOKUP(A902,AssuranceTable,2,FALSE)</f>
        <v>Basic</v>
      </c>
      <c r="U902" t="str">
        <f t="shared" si="43"/>
        <v>XM91635 Arizona</v>
      </c>
      <c r="X902" s="4">
        <f t="shared" si="44"/>
        <v>227233.54</v>
      </c>
    </row>
    <row r="903" spans="1:24" x14ac:dyDescent="0.35">
      <c r="A903" t="s">
        <v>942</v>
      </c>
      <c r="B903" t="s">
        <v>48</v>
      </c>
      <c r="C903" t="s">
        <v>21</v>
      </c>
      <c r="D903" t="s">
        <v>4</v>
      </c>
      <c r="E903" s="5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  <c r="S903" t="str">
        <f t="shared" si="42"/>
        <v>Recomendado</v>
      </c>
      <c r="T903" t="str">
        <f>VLOOKUP(A903,AssuranceTable,2,FALSE)</f>
        <v>Basic</v>
      </c>
      <c r="U903" t="str">
        <f t="shared" si="43"/>
        <v>TV82603 Cali</v>
      </c>
      <c r="X903" s="4">
        <f t="shared" si="44"/>
        <v>1489539.8</v>
      </c>
    </row>
    <row r="904" spans="1:24" x14ac:dyDescent="0.35">
      <c r="A904" t="s">
        <v>943</v>
      </c>
      <c r="B904" t="s">
        <v>33</v>
      </c>
      <c r="C904" t="s">
        <v>27</v>
      </c>
      <c r="D904" t="s">
        <v>80</v>
      </c>
      <c r="E904" s="5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  <c r="S904" t="str">
        <f t="shared" si="42"/>
        <v>Recomendado</v>
      </c>
      <c r="T904" t="str">
        <f>VLOOKUP(A904,AssuranceTable,2,FALSE)</f>
        <v>Extended</v>
      </c>
      <c r="U904" t="str">
        <f t="shared" si="43"/>
        <v>BB82067 Oregon</v>
      </c>
      <c r="X904" s="4">
        <f t="shared" si="44"/>
        <v>975604.5</v>
      </c>
    </row>
    <row r="905" spans="1:24" x14ac:dyDescent="0.35">
      <c r="A905" t="s">
        <v>944</v>
      </c>
      <c r="B905" t="s">
        <v>33</v>
      </c>
      <c r="C905" t="s">
        <v>21</v>
      </c>
      <c r="D905" t="s">
        <v>4</v>
      </c>
      <c r="E905" s="5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  <c r="S905" t="str">
        <f t="shared" si="42"/>
        <v>Recomendado</v>
      </c>
      <c r="T905" t="str">
        <f>VLOOKUP(A905,AssuranceTable,2,FALSE)</f>
        <v>Basic</v>
      </c>
      <c r="U905" t="str">
        <f t="shared" si="43"/>
        <v>JP94676 Oregon</v>
      </c>
      <c r="X905" s="4">
        <f t="shared" si="44"/>
        <v>942297.41</v>
      </c>
    </row>
    <row r="906" spans="1:24" x14ac:dyDescent="0.35">
      <c r="A906" t="s">
        <v>945</v>
      </c>
      <c r="B906" t="s">
        <v>5</v>
      </c>
      <c r="C906" t="s">
        <v>27</v>
      </c>
      <c r="D906" t="s">
        <v>31</v>
      </c>
      <c r="E906" s="5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  <c r="S906" t="str">
        <f t="shared" si="42"/>
        <v>Recomendado</v>
      </c>
      <c r="T906" t="str">
        <f>VLOOKUP(A906,AssuranceTable,2,FALSE)</f>
        <v>Extended</v>
      </c>
      <c r="U906" t="str">
        <f t="shared" si="43"/>
        <v>VU53417 Arizona</v>
      </c>
      <c r="X906" s="4">
        <f t="shared" si="44"/>
        <v>383735.76</v>
      </c>
    </row>
    <row r="907" spans="1:24" x14ac:dyDescent="0.35">
      <c r="A907" t="s">
        <v>946</v>
      </c>
      <c r="B907" t="s">
        <v>48</v>
      </c>
      <c r="C907" t="s">
        <v>27</v>
      </c>
      <c r="D907" t="s">
        <v>35</v>
      </c>
      <c r="E907" s="5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  <c r="S907" t="str">
        <f t="shared" si="42"/>
        <v>Recomendado</v>
      </c>
      <c r="T907" t="str">
        <f>VLOOKUP(A907,AssuranceTable,2,FALSE)</f>
        <v>Extended</v>
      </c>
      <c r="U907" t="str">
        <f t="shared" si="43"/>
        <v>IW54795 Cali</v>
      </c>
      <c r="X907" s="4">
        <f t="shared" si="44"/>
        <v>1095213.19</v>
      </c>
    </row>
    <row r="908" spans="1:24" x14ac:dyDescent="0.35">
      <c r="A908" t="s">
        <v>947</v>
      </c>
      <c r="B908" t="s">
        <v>5</v>
      </c>
      <c r="C908" t="s">
        <v>21</v>
      </c>
      <c r="D908" t="s">
        <v>35</v>
      </c>
      <c r="E908" s="5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  <c r="S908" t="str">
        <f t="shared" si="42"/>
        <v>Recomendado</v>
      </c>
      <c r="T908" t="str">
        <f>VLOOKUP(A908,AssuranceTable,2,FALSE)</f>
        <v>Basic</v>
      </c>
      <c r="U908" t="str">
        <f t="shared" si="43"/>
        <v>RN78170 Arizona</v>
      </c>
      <c r="X908" s="4">
        <f t="shared" si="44"/>
        <v>815913.66</v>
      </c>
    </row>
    <row r="909" spans="1:24" x14ac:dyDescent="0.35">
      <c r="A909" t="s">
        <v>948</v>
      </c>
      <c r="B909" t="s">
        <v>48</v>
      </c>
      <c r="C909" t="s">
        <v>21</v>
      </c>
      <c r="D909" t="s">
        <v>35</v>
      </c>
      <c r="E909" s="5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  <c r="S909" t="str">
        <f t="shared" si="42"/>
        <v>Recomendado</v>
      </c>
      <c r="T909" t="str">
        <f>VLOOKUP(A909,AssuranceTable,2,FALSE)</f>
        <v>Extended</v>
      </c>
      <c r="U909" t="str">
        <f t="shared" si="43"/>
        <v>IX55883 Cali</v>
      </c>
      <c r="X909" s="4">
        <f t="shared" si="44"/>
        <v>1948049.98</v>
      </c>
    </row>
    <row r="910" spans="1:24" x14ac:dyDescent="0.35">
      <c r="A910" t="s">
        <v>949</v>
      </c>
      <c r="B910" t="s">
        <v>5</v>
      </c>
      <c r="C910" t="s">
        <v>21</v>
      </c>
      <c r="D910" t="s">
        <v>31</v>
      </c>
      <c r="E910" s="5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  <c r="S910" t="str">
        <f t="shared" si="42"/>
        <v>Recomendado</v>
      </c>
      <c r="T910" t="str">
        <f>VLOOKUP(A910,AssuranceTable,2,FALSE)</f>
        <v>Extended</v>
      </c>
      <c r="U910" t="str">
        <f t="shared" si="43"/>
        <v>XM72420 Arizona</v>
      </c>
      <c r="X910" s="4">
        <f t="shared" si="44"/>
        <v>391936.67</v>
      </c>
    </row>
    <row r="911" spans="1:24" x14ac:dyDescent="0.35">
      <c r="A911" t="s">
        <v>950</v>
      </c>
      <c r="B911" t="s">
        <v>23</v>
      </c>
      <c r="C911" t="s">
        <v>21</v>
      </c>
      <c r="D911" t="s">
        <v>4</v>
      </c>
      <c r="E911" s="5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  <c r="S911" t="str">
        <f t="shared" si="42"/>
        <v>Recomendado</v>
      </c>
      <c r="T911" t="str">
        <f>VLOOKUP(A911,AssuranceTable,2,FALSE)</f>
        <v>Basic</v>
      </c>
      <c r="U911" t="str">
        <f t="shared" si="43"/>
        <v>GC15104 Nevada</v>
      </c>
      <c r="X911" s="4">
        <f t="shared" si="44"/>
        <v>798514.21</v>
      </c>
    </row>
    <row r="912" spans="1:24" x14ac:dyDescent="0.35">
      <c r="A912" t="s">
        <v>951</v>
      </c>
      <c r="B912" t="s">
        <v>33</v>
      </c>
      <c r="C912" t="s">
        <v>27</v>
      </c>
      <c r="D912" t="s">
        <v>4</v>
      </c>
      <c r="E912" s="5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  <c r="S912" t="str">
        <f t="shared" si="42"/>
        <v>Recomendado</v>
      </c>
      <c r="T912" t="str">
        <f>VLOOKUP(A912,AssuranceTable,2,FALSE)</f>
        <v>Basic</v>
      </c>
      <c r="U912" t="str">
        <f t="shared" si="43"/>
        <v>RX13282 Oregon</v>
      </c>
      <c r="X912" s="4">
        <f t="shared" si="44"/>
        <v>1216874.49</v>
      </c>
    </row>
    <row r="913" spans="1:24" x14ac:dyDescent="0.35">
      <c r="A913" t="s">
        <v>952</v>
      </c>
      <c r="B913" t="s">
        <v>5</v>
      </c>
      <c r="C913" t="s">
        <v>21</v>
      </c>
      <c r="D913" t="s">
        <v>31</v>
      </c>
      <c r="E913" s="5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  <c r="S913" t="str">
        <f t="shared" si="42"/>
        <v>No recomendado</v>
      </c>
      <c r="T913" t="str">
        <f>VLOOKUP(A913,AssuranceTable,2,FALSE)</f>
        <v>Extended</v>
      </c>
      <c r="U913" t="str">
        <f t="shared" si="43"/>
        <v>QA85890 Arizona</v>
      </c>
      <c r="X913" s="4">
        <f t="shared" si="44"/>
        <v>584932.15</v>
      </c>
    </row>
    <row r="914" spans="1:24" x14ac:dyDescent="0.35">
      <c r="A914" t="s">
        <v>953</v>
      </c>
      <c r="B914" t="s">
        <v>5</v>
      </c>
      <c r="C914" t="s">
        <v>21</v>
      </c>
      <c r="D914" t="s">
        <v>4</v>
      </c>
      <c r="E914" s="5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  <c r="S914" t="str">
        <f t="shared" si="42"/>
        <v>Recomendado</v>
      </c>
      <c r="T914" t="str">
        <f>VLOOKUP(A914,AssuranceTable,2,FALSE)</f>
        <v>Basic</v>
      </c>
      <c r="U914" t="str">
        <f t="shared" si="43"/>
        <v>IR62668 Arizona</v>
      </c>
      <c r="X914" s="4">
        <f t="shared" si="44"/>
        <v>508583.66</v>
      </c>
    </row>
    <row r="915" spans="1:24" x14ac:dyDescent="0.35">
      <c r="A915" t="s">
        <v>954</v>
      </c>
      <c r="B915" t="s">
        <v>48</v>
      </c>
      <c r="C915" t="s">
        <v>21</v>
      </c>
      <c r="D915" t="s">
        <v>35</v>
      </c>
      <c r="E915" s="5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  <c r="S915" t="str">
        <f t="shared" si="42"/>
        <v>Recomendado</v>
      </c>
      <c r="T915" t="str">
        <f>VLOOKUP(A915,AssuranceTable,2,FALSE)</f>
        <v>Basic</v>
      </c>
      <c r="U915" t="str">
        <f t="shared" si="43"/>
        <v>AL96740 Cali</v>
      </c>
      <c r="X915" s="4">
        <f t="shared" si="44"/>
        <v>290393.98</v>
      </c>
    </row>
    <row r="916" spans="1:24" x14ac:dyDescent="0.35">
      <c r="A916" t="s">
        <v>955</v>
      </c>
      <c r="B916" t="s">
        <v>3</v>
      </c>
      <c r="C916" t="s">
        <v>21</v>
      </c>
      <c r="D916" t="s">
        <v>35</v>
      </c>
      <c r="E916" s="5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  <c r="S916" t="str">
        <f t="shared" si="42"/>
        <v>Recomendado</v>
      </c>
      <c r="T916" t="str">
        <f>VLOOKUP(A916,AssuranceTable,2,FALSE)</f>
        <v>Extended</v>
      </c>
      <c r="U916" t="str">
        <f t="shared" si="43"/>
        <v>SS48498 Washington</v>
      </c>
      <c r="X916" s="4">
        <f t="shared" si="44"/>
        <v>627317.34</v>
      </c>
    </row>
    <row r="917" spans="1:24" x14ac:dyDescent="0.35">
      <c r="A917" t="s">
        <v>956</v>
      </c>
      <c r="B917" t="s">
        <v>3</v>
      </c>
      <c r="C917" t="s">
        <v>27</v>
      </c>
      <c r="D917" t="s">
        <v>35</v>
      </c>
      <c r="E917" s="5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  <c r="S917" t="str">
        <f t="shared" si="42"/>
        <v>Recomendado</v>
      </c>
      <c r="T917" t="str">
        <f>VLOOKUP(A917,AssuranceTable,2,FALSE)</f>
        <v>Extended</v>
      </c>
      <c r="U917" t="str">
        <f t="shared" si="43"/>
        <v>PE39479 Washington</v>
      </c>
      <c r="X917" s="4">
        <f t="shared" si="44"/>
        <v>1832141.9</v>
      </c>
    </row>
    <row r="918" spans="1:24" x14ac:dyDescent="0.35">
      <c r="A918" t="s">
        <v>957</v>
      </c>
      <c r="B918" t="s">
        <v>33</v>
      </c>
      <c r="C918" t="s">
        <v>21</v>
      </c>
      <c r="D918" t="s">
        <v>35</v>
      </c>
      <c r="E918" s="5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  <c r="S918" t="str">
        <f t="shared" si="42"/>
        <v>Recomendado</v>
      </c>
      <c r="T918" t="str">
        <f>VLOOKUP(A918,AssuranceTable,2,FALSE)</f>
        <v>Basic</v>
      </c>
      <c r="U918" t="str">
        <f t="shared" si="43"/>
        <v>JH62891 Oregon</v>
      </c>
      <c r="X918" s="4">
        <f t="shared" si="44"/>
        <v>517870.42</v>
      </c>
    </row>
    <row r="919" spans="1:24" x14ac:dyDescent="0.35">
      <c r="A919" t="s">
        <v>958</v>
      </c>
      <c r="B919" t="s">
        <v>5</v>
      </c>
      <c r="C919" t="s">
        <v>21</v>
      </c>
      <c r="D919" t="s">
        <v>31</v>
      </c>
      <c r="E919" s="5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  <c r="S919" t="str">
        <f t="shared" si="42"/>
        <v>Recomendado</v>
      </c>
      <c r="T919" t="str">
        <f>VLOOKUP(A919,AssuranceTable,2,FALSE)</f>
        <v>Premium</v>
      </c>
      <c r="U919" t="str">
        <f t="shared" si="43"/>
        <v>FI20423 Arizona</v>
      </c>
      <c r="X919" s="4">
        <f t="shared" si="44"/>
        <v>1402435.84</v>
      </c>
    </row>
    <row r="920" spans="1:24" x14ac:dyDescent="0.35">
      <c r="A920" t="s">
        <v>959</v>
      </c>
      <c r="B920" t="s">
        <v>3</v>
      </c>
      <c r="C920" t="s">
        <v>21</v>
      </c>
      <c r="D920" t="s">
        <v>35</v>
      </c>
      <c r="E920" s="5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  <c r="S920" t="str">
        <f t="shared" si="42"/>
        <v>Recomendado</v>
      </c>
      <c r="T920" t="str">
        <f>VLOOKUP(A920,AssuranceTable,2,FALSE)</f>
        <v>Basic</v>
      </c>
      <c r="U920" t="str">
        <f t="shared" si="43"/>
        <v>PM13394 Washington</v>
      </c>
      <c r="X920" s="4">
        <f t="shared" si="44"/>
        <v>530943.59</v>
      </c>
    </row>
    <row r="921" spans="1:24" x14ac:dyDescent="0.35">
      <c r="A921" t="s">
        <v>960</v>
      </c>
      <c r="B921" t="s">
        <v>48</v>
      </c>
      <c r="C921" t="s">
        <v>21</v>
      </c>
      <c r="D921" t="s">
        <v>31</v>
      </c>
      <c r="E921" s="5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  <c r="S921" t="str">
        <f t="shared" si="42"/>
        <v>Recomendado</v>
      </c>
      <c r="T921" t="str">
        <f>VLOOKUP(A921,AssuranceTable,2,FALSE)</f>
        <v>Basic</v>
      </c>
      <c r="U921" t="str">
        <f t="shared" si="43"/>
        <v>YV67971 Cali</v>
      </c>
      <c r="X921" s="4">
        <f t="shared" si="44"/>
        <v>494980.38</v>
      </c>
    </row>
    <row r="922" spans="1:24" x14ac:dyDescent="0.35">
      <c r="A922" t="s">
        <v>961</v>
      </c>
      <c r="B922" t="s">
        <v>48</v>
      </c>
      <c r="C922" t="s">
        <v>27</v>
      </c>
      <c r="D922" t="s">
        <v>4</v>
      </c>
      <c r="E922" s="5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S922" t="str">
        <f t="shared" si="42"/>
        <v>Recomendado</v>
      </c>
      <c r="T922" t="str">
        <f>VLOOKUP(A922,AssuranceTable,2,FALSE)</f>
        <v>Basic</v>
      </c>
      <c r="U922" t="str">
        <f t="shared" si="43"/>
        <v>QD31377 Cali</v>
      </c>
      <c r="X922" s="4">
        <f t="shared" si="44"/>
        <v>859566.53</v>
      </c>
    </row>
    <row r="923" spans="1:24" x14ac:dyDescent="0.35">
      <c r="A923" t="s">
        <v>962</v>
      </c>
      <c r="B923" t="s">
        <v>33</v>
      </c>
      <c r="C923" t="s">
        <v>27</v>
      </c>
      <c r="D923" t="s">
        <v>35</v>
      </c>
      <c r="E923" s="5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  <c r="S923" t="str">
        <f t="shared" si="42"/>
        <v>Recomendado</v>
      </c>
      <c r="T923" t="str">
        <f>VLOOKUP(A923,AssuranceTable,2,FALSE)</f>
        <v>Basic</v>
      </c>
      <c r="U923" t="str">
        <f t="shared" si="43"/>
        <v>YG10247 Oregon</v>
      </c>
      <c r="X923" s="4">
        <f t="shared" si="44"/>
        <v>2295189.2000000002</v>
      </c>
    </row>
    <row r="924" spans="1:24" x14ac:dyDescent="0.35">
      <c r="A924" t="s">
        <v>963</v>
      </c>
      <c r="B924" t="s">
        <v>33</v>
      </c>
      <c r="C924" t="s">
        <v>27</v>
      </c>
      <c r="D924" t="s">
        <v>31</v>
      </c>
      <c r="E924" s="5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  <c r="S924" t="str">
        <f t="shared" si="42"/>
        <v>Recomendado</v>
      </c>
      <c r="T924" t="str">
        <f>VLOOKUP(A924,AssuranceTable,2,FALSE)</f>
        <v>Extended</v>
      </c>
      <c r="U924" t="str">
        <f t="shared" si="43"/>
        <v>FE73696 Oregon</v>
      </c>
      <c r="X924" s="4">
        <f t="shared" si="44"/>
        <v>379213.03</v>
      </c>
    </row>
    <row r="925" spans="1:24" x14ac:dyDescent="0.35">
      <c r="A925" t="s">
        <v>964</v>
      </c>
      <c r="B925" t="s">
        <v>5</v>
      </c>
      <c r="C925" t="s">
        <v>21</v>
      </c>
      <c r="D925" t="s">
        <v>4</v>
      </c>
      <c r="E925" s="5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  <c r="S925" t="str">
        <f t="shared" si="42"/>
        <v>Recomendado</v>
      </c>
      <c r="T925" t="str">
        <f>VLOOKUP(A925,AssuranceTable,2,FALSE)</f>
        <v>Basic</v>
      </c>
      <c r="U925" t="str">
        <f t="shared" si="43"/>
        <v>SW19699 Arizona</v>
      </c>
      <c r="X925" s="4">
        <f t="shared" si="44"/>
        <v>275574.8</v>
      </c>
    </row>
    <row r="926" spans="1:24" x14ac:dyDescent="0.35">
      <c r="A926" t="s">
        <v>965</v>
      </c>
      <c r="B926" t="s">
        <v>5</v>
      </c>
      <c r="C926" t="s">
        <v>27</v>
      </c>
      <c r="D926" t="s">
        <v>35</v>
      </c>
      <c r="E926" s="5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  <c r="S926" t="str">
        <f t="shared" si="42"/>
        <v>Recomendado</v>
      </c>
      <c r="T926" t="str">
        <f>VLOOKUP(A926,AssuranceTable,2,FALSE)</f>
        <v>Basic</v>
      </c>
      <c r="U926" t="str">
        <f t="shared" si="43"/>
        <v>QJ40732 Arizona</v>
      </c>
      <c r="X926" s="4">
        <f t="shared" si="44"/>
        <v>488033.96</v>
      </c>
    </row>
    <row r="927" spans="1:24" x14ac:dyDescent="0.35">
      <c r="A927" t="s">
        <v>966</v>
      </c>
      <c r="B927" t="s">
        <v>48</v>
      </c>
      <c r="C927" t="s">
        <v>21</v>
      </c>
      <c r="D927" t="s">
        <v>35</v>
      </c>
      <c r="E927" s="5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S927" t="str">
        <f t="shared" si="42"/>
        <v>Recomendado</v>
      </c>
      <c r="T927" t="str">
        <f>VLOOKUP(A927,AssuranceTable,2,FALSE)</f>
        <v>Basic</v>
      </c>
      <c r="U927" t="str">
        <f t="shared" si="43"/>
        <v>HM76207 Cali</v>
      </c>
      <c r="X927" s="4">
        <f t="shared" si="44"/>
        <v>905190.53</v>
      </c>
    </row>
    <row r="928" spans="1:24" x14ac:dyDescent="0.35">
      <c r="A928" t="s">
        <v>967</v>
      </c>
      <c r="B928" t="s">
        <v>33</v>
      </c>
      <c r="C928" t="s">
        <v>21</v>
      </c>
      <c r="D928" t="s">
        <v>35</v>
      </c>
      <c r="E928" s="5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  <c r="S928" t="str">
        <f t="shared" si="42"/>
        <v>Recomendado</v>
      </c>
      <c r="T928" t="str">
        <f>VLOOKUP(A928,AssuranceTable,2,FALSE)</f>
        <v>Premium</v>
      </c>
      <c r="U928" t="str">
        <f t="shared" si="43"/>
        <v>NT59303 Oregon</v>
      </c>
      <c r="X928" s="4">
        <f t="shared" si="44"/>
        <v>1011544.62</v>
      </c>
    </row>
    <row r="929" spans="1:24" x14ac:dyDescent="0.35">
      <c r="A929" t="s">
        <v>968</v>
      </c>
      <c r="B929" t="s">
        <v>23</v>
      </c>
      <c r="C929" t="s">
        <v>27</v>
      </c>
      <c r="D929" t="s">
        <v>35</v>
      </c>
      <c r="E929" s="5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S929" t="str">
        <f t="shared" si="42"/>
        <v>Recomendado</v>
      </c>
      <c r="T929" t="str">
        <f>VLOOKUP(A929,AssuranceTable,2,FALSE)</f>
        <v>Basic</v>
      </c>
      <c r="U929" t="str">
        <f t="shared" si="43"/>
        <v>PU41393 Nevada</v>
      </c>
      <c r="X929" s="4">
        <f t="shared" si="44"/>
        <v>826907.54</v>
      </c>
    </row>
    <row r="930" spans="1:24" x14ac:dyDescent="0.35">
      <c r="A930" t="s">
        <v>969</v>
      </c>
      <c r="B930" t="s">
        <v>23</v>
      </c>
      <c r="C930" t="s">
        <v>27</v>
      </c>
      <c r="D930" t="s">
        <v>31</v>
      </c>
      <c r="E930" s="5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  <c r="S930" t="str">
        <f t="shared" si="42"/>
        <v>No recomendado</v>
      </c>
      <c r="T930" t="str">
        <f>VLOOKUP(A930,AssuranceTable,2,FALSE)</f>
        <v>Basic</v>
      </c>
      <c r="U930" t="str">
        <f t="shared" si="43"/>
        <v>QO86948 Nevada</v>
      </c>
      <c r="X930" s="4">
        <f t="shared" si="44"/>
        <v>807165.3</v>
      </c>
    </row>
    <row r="931" spans="1:24" x14ac:dyDescent="0.35">
      <c r="A931" t="s">
        <v>970</v>
      </c>
      <c r="B931" t="s">
        <v>33</v>
      </c>
      <c r="C931" t="s">
        <v>21</v>
      </c>
      <c r="D931" t="s">
        <v>31</v>
      </c>
      <c r="E931" s="5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  <c r="S931" t="str">
        <f t="shared" si="42"/>
        <v>Recomendado</v>
      </c>
      <c r="T931" t="str">
        <f>VLOOKUP(A931,AssuranceTable,2,FALSE)</f>
        <v>Basic</v>
      </c>
      <c r="U931" t="str">
        <f t="shared" si="43"/>
        <v>QN10888 Oregon</v>
      </c>
      <c r="X931" s="4">
        <f t="shared" si="44"/>
        <v>772699.36</v>
      </c>
    </row>
    <row r="932" spans="1:24" x14ac:dyDescent="0.35">
      <c r="A932" t="s">
        <v>971</v>
      </c>
      <c r="B932" t="s">
        <v>48</v>
      </c>
      <c r="C932" t="s">
        <v>21</v>
      </c>
      <c r="D932" t="s">
        <v>4</v>
      </c>
      <c r="E932" s="5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  <c r="S932" t="str">
        <f t="shared" si="42"/>
        <v>No recomendado</v>
      </c>
      <c r="T932" t="str">
        <f>VLOOKUP(A932,AssuranceTable,2,FALSE)</f>
        <v>Basic</v>
      </c>
      <c r="U932" t="str">
        <f t="shared" si="43"/>
        <v>VY19543 Cali</v>
      </c>
      <c r="X932" s="4">
        <f t="shared" si="44"/>
        <v>831113.59</v>
      </c>
    </row>
    <row r="933" spans="1:24" x14ac:dyDescent="0.35">
      <c r="A933" t="s">
        <v>972</v>
      </c>
      <c r="B933" t="s">
        <v>23</v>
      </c>
      <c r="C933" t="s">
        <v>21</v>
      </c>
      <c r="D933" t="s">
        <v>2</v>
      </c>
      <c r="E933" s="5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  <c r="S933" t="str">
        <f t="shared" si="42"/>
        <v>Recomendado</v>
      </c>
      <c r="T933" t="str">
        <f>VLOOKUP(A933,AssuranceTable,2,FALSE)</f>
        <v>Basic</v>
      </c>
      <c r="U933" t="str">
        <f t="shared" si="43"/>
        <v>XC15133 Nevada</v>
      </c>
      <c r="X933" s="4">
        <f t="shared" si="44"/>
        <v>257402.04</v>
      </c>
    </row>
    <row r="934" spans="1:24" x14ac:dyDescent="0.35">
      <c r="A934" t="s">
        <v>973</v>
      </c>
      <c r="B934" t="s">
        <v>33</v>
      </c>
      <c r="C934" t="s">
        <v>27</v>
      </c>
      <c r="D934" t="s">
        <v>4</v>
      </c>
      <c r="E934" s="5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  <c r="S934" t="str">
        <f t="shared" si="42"/>
        <v>Recomendado</v>
      </c>
      <c r="T934" t="str">
        <f>VLOOKUP(A934,AssuranceTable,2,FALSE)</f>
        <v>Basic</v>
      </c>
      <c r="U934" t="str">
        <f t="shared" si="43"/>
        <v>ST43550 Oregon</v>
      </c>
      <c r="X934" s="4">
        <f t="shared" si="44"/>
        <v>572732.71</v>
      </c>
    </row>
    <row r="935" spans="1:24" x14ac:dyDescent="0.35">
      <c r="A935" t="s">
        <v>974</v>
      </c>
      <c r="B935" t="s">
        <v>3</v>
      </c>
      <c r="C935" t="s">
        <v>27</v>
      </c>
      <c r="D935" t="s">
        <v>2</v>
      </c>
      <c r="E935" s="5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  <c r="S935" t="str">
        <f t="shared" si="42"/>
        <v>Recomendado</v>
      </c>
      <c r="T935" t="str">
        <f>VLOOKUP(A935,AssuranceTable,2,FALSE)</f>
        <v>Extended</v>
      </c>
      <c r="U935" t="str">
        <f t="shared" si="43"/>
        <v>FX36546 Washington</v>
      </c>
      <c r="X935" s="4">
        <f t="shared" si="44"/>
        <v>367914.21</v>
      </c>
    </row>
    <row r="936" spans="1:24" x14ac:dyDescent="0.35">
      <c r="A936" t="s">
        <v>975</v>
      </c>
      <c r="B936" t="s">
        <v>33</v>
      </c>
      <c r="C936" t="s">
        <v>27</v>
      </c>
      <c r="D936" t="s">
        <v>4</v>
      </c>
      <c r="E936" s="5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  <c r="S936" t="str">
        <f t="shared" si="42"/>
        <v>Recomendado</v>
      </c>
      <c r="T936" t="str">
        <f>VLOOKUP(A936,AssuranceTable,2,FALSE)</f>
        <v>Basic</v>
      </c>
      <c r="U936" t="str">
        <f t="shared" si="43"/>
        <v>JX68983 Oregon</v>
      </c>
      <c r="X936" s="4">
        <f t="shared" si="44"/>
        <v>274451.96000000002</v>
      </c>
    </row>
    <row r="937" spans="1:24" x14ac:dyDescent="0.35">
      <c r="A937" t="s">
        <v>976</v>
      </c>
      <c r="B937" t="s">
        <v>48</v>
      </c>
      <c r="C937" t="s">
        <v>21</v>
      </c>
      <c r="D937" t="s">
        <v>31</v>
      </c>
      <c r="E937" s="5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  <c r="S937" t="str">
        <f t="shared" si="42"/>
        <v>Recomendado</v>
      </c>
      <c r="T937" t="str">
        <f>VLOOKUP(A937,AssuranceTable,2,FALSE)</f>
        <v>Basic</v>
      </c>
      <c r="U937" t="str">
        <f t="shared" si="43"/>
        <v>HX78576 Cali</v>
      </c>
      <c r="X937" s="4">
        <f t="shared" si="44"/>
        <v>563674.03</v>
      </c>
    </row>
    <row r="938" spans="1:24" x14ac:dyDescent="0.35">
      <c r="A938" t="s">
        <v>977</v>
      </c>
      <c r="B938" t="s">
        <v>5</v>
      </c>
      <c r="C938" t="s">
        <v>27</v>
      </c>
      <c r="D938" t="s">
        <v>4</v>
      </c>
      <c r="E938" s="5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  <c r="S938" t="str">
        <f t="shared" si="42"/>
        <v>Recomendado</v>
      </c>
      <c r="T938" t="str">
        <f>VLOOKUP(A938,AssuranceTable,2,FALSE)</f>
        <v>Extended</v>
      </c>
      <c r="U938" t="str">
        <f t="shared" si="43"/>
        <v>ZQ11381 Arizona</v>
      </c>
      <c r="X938" s="4">
        <f t="shared" si="44"/>
        <v>1687038.82</v>
      </c>
    </row>
    <row r="939" spans="1:24" x14ac:dyDescent="0.35">
      <c r="A939" t="s">
        <v>978</v>
      </c>
      <c r="B939" t="s">
        <v>48</v>
      </c>
      <c r="C939" t="s">
        <v>27</v>
      </c>
      <c r="D939" t="s">
        <v>2</v>
      </c>
      <c r="E939" s="5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  <c r="S939" t="str">
        <f t="shared" si="42"/>
        <v>No recomendado</v>
      </c>
      <c r="T939" t="str">
        <f>VLOOKUP(A939,AssuranceTable,2,FALSE)</f>
        <v>Basic</v>
      </c>
      <c r="U939" t="str">
        <f t="shared" si="43"/>
        <v>ON39271 Cali</v>
      </c>
      <c r="X939" s="4">
        <f t="shared" si="44"/>
        <v>273800.2</v>
      </c>
    </row>
    <row r="940" spans="1:24" x14ac:dyDescent="0.35">
      <c r="A940" t="s">
        <v>979</v>
      </c>
      <c r="B940" t="s">
        <v>33</v>
      </c>
      <c r="C940" t="s">
        <v>27</v>
      </c>
      <c r="D940" t="s">
        <v>4</v>
      </c>
      <c r="E940" s="5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  <c r="S940" t="str">
        <f t="shared" si="42"/>
        <v>No recomendado</v>
      </c>
      <c r="T940" t="str">
        <f>VLOOKUP(A940,AssuranceTable,2,FALSE)</f>
        <v>Basic</v>
      </c>
      <c r="U940" t="str">
        <f t="shared" si="43"/>
        <v>SB18278 Oregon</v>
      </c>
      <c r="X940" s="4">
        <f t="shared" si="44"/>
        <v>464470.05</v>
      </c>
    </row>
    <row r="941" spans="1:24" x14ac:dyDescent="0.35">
      <c r="A941" t="s">
        <v>980</v>
      </c>
      <c r="B941" t="s">
        <v>48</v>
      </c>
      <c r="C941" t="s">
        <v>21</v>
      </c>
      <c r="D941" t="s">
        <v>31</v>
      </c>
      <c r="E941" s="5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  <c r="S941" t="str">
        <f t="shared" si="42"/>
        <v>Recomendado</v>
      </c>
      <c r="T941" t="str">
        <f>VLOOKUP(A941,AssuranceTable,2,FALSE)</f>
        <v>Basic</v>
      </c>
      <c r="U941" t="str">
        <f t="shared" si="43"/>
        <v>ZT30559 Cali</v>
      </c>
      <c r="X941" s="4">
        <f t="shared" si="44"/>
        <v>474668.65</v>
      </c>
    </row>
    <row r="942" spans="1:24" x14ac:dyDescent="0.35">
      <c r="A942" t="s">
        <v>981</v>
      </c>
      <c r="B942" t="s">
        <v>5</v>
      </c>
      <c r="C942" t="s">
        <v>27</v>
      </c>
      <c r="D942" t="s">
        <v>35</v>
      </c>
      <c r="E942" s="5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S942" t="str">
        <f t="shared" si="42"/>
        <v>Recomendado</v>
      </c>
      <c r="T942" t="str">
        <f>VLOOKUP(A942,AssuranceTable,2,FALSE)</f>
        <v>Basic</v>
      </c>
      <c r="U942" t="str">
        <f t="shared" si="43"/>
        <v>XI41106 Arizona</v>
      </c>
      <c r="X942" s="4">
        <f t="shared" si="44"/>
        <v>1687432.82</v>
      </c>
    </row>
    <row r="943" spans="1:24" x14ac:dyDescent="0.35">
      <c r="A943" t="s">
        <v>982</v>
      </c>
      <c r="B943" t="s">
        <v>33</v>
      </c>
      <c r="C943" t="s">
        <v>21</v>
      </c>
      <c r="D943" t="s">
        <v>4</v>
      </c>
      <c r="E943" s="5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  <c r="S943" t="str">
        <f t="shared" si="42"/>
        <v>Recomendado</v>
      </c>
      <c r="T943" t="str">
        <f>VLOOKUP(A943,AssuranceTable,2,FALSE)</f>
        <v>Basic</v>
      </c>
      <c r="U943" t="str">
        <f t="shared" si="43"/>
        <v>ZS88847 Oregon</v>
      </c>
      <c r="X943" s="4">
        <f t="shared" si="44"/>
        <v>238760.61</v>
      </c>
    </row>
    <row r="944" spans="1:24" x14ac:dyDescent="0.35">
      <c r="A944" t="s">
        <v>983</v>
      </c>
      <c r="B944" t="s">
        <v>3</v>
      </c>
      <c r="C944" t="s">
        <v>21</v>
      </c>
      <c r="D944" t="s">
        <v>35</v>
      </c>
      <c r="E944" s="5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  <c r="S944" t="str">
        <f t="shared" si="42"/>
        <v>Recomendado</v>
      </c>
      <c r="T944" t="str">
        <f>VLOOKUP(A944,AssuranceTable,2,FALSE)</f>
        <v>Basic</v>
      </c>
      <c r="U944" t="str">
        <f t="shared" si="43"/>
        <v>RU49126 Washington</v>
      </c>
      <c r="X944" s="4">
        <f t="shared" si="44"/>
        <v>446533.57</v>
      </c>
    </row>
    <row r="945" spans="1:24" x14ac:dyDescent="0.35">
      <c r="A945" t="s">
        <v>984</v>
      </c>
      <c r="B945" t="s">
        <v>5</v>
      </c>
      <c r="C945" t="s">
        <v>21</v>
      </c>
      <c r="D945" t="s">
        <v>31</v>
      </c>
      <c r="E945" s="5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  <c r="S945" t="str">
        <f t="shared" si="42"/>
        <v>Recomendado</v>
      </c>
      <c r="T945" t="str">
        <f>VLOOKUP(A945,AssuranceTable,2,FALSE)</f>
        <v>Basic</v>
      </c>
      <c r="U945" t="str">
        <f t="shared" si="43"/>
        <v>KR62797 Arizona</v>
      </c>
      <c r="X945" s="4">
        <f t="shared" si="44"/>
        <v>459162.59</v>
      </c>
    </row>
    <row r="946" spans="1:24" x14ac:dyDescent="0.35">
      <c r="A946" t="s">
        <v>985</v>
      </c>
      <c r="B946" t="s">
        <v>5</v>
      </c>
      <c r="C946" t="s">
        <v>21</v>
      </c>
      <c r="D946" t="s">
        <v>35</v>
      </c>
      <c r="E946" s="5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S946" t="str">
        <f t="shared" si="42"/>
        <v>No recomendado</v>
      </c>
      <c r="T946" t="str">
        <f>VLOOKUP(A946,AssuranceTable,2,FALSE)</f>
        <v>Basic</v>
      </c>
      <c r="U946" t="str">
        <f t="shared" si="43"/>
        <v>ZJ73220 Arizona</v>
      </c>
      <c r="X946" s="4">
        <f t="shared" si="44"/>
        <v>1309258.58</v>
      </c>
    </row>
    <row r="947" spans="1:24" x14ac:dyDescent="0.35">
      <c r="A947" t="s">
        <v>986</v>
      </c>
      <c r="B947" t="s">
        <v>33</v>
      </c>
      <c r="C947" t="s">
        <v>27</v>
      </c>
      <c r="D947" t="s">
        <v>4</v>
      </c>
      <c r="E947" s="5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  <c r="S947" t="str">
        <f t="shared" si="42"/>
        <v>No recomendado</v>
      </c>
      <c r="T947" t="str">
        <f>VLOOKUP(A947,AssuranceTable,2,FALSE)</f>
        <v>Extended</v>
      </c>
      <c r="U947" t="str">
        <f t="shared" si="43"/>
        <v>FY62633 Oregon</v>
      </c>
      <c r="X947" s="4">
        <f t="shared" si="44"/>
        <v>911226.66</v>
      </c>
    </row>
    <row r="948" spans="1:24" x14ac:dyDescent="0.35">
      <c r="A948" t="s">
        <v>987</v>
      </c>
      <c r="B948" t="s">
        <v>48</v>
      </c>
      <c r="C948" t="s">
        <v>21</v>
      </c>
      <c r="D948" t="s">
        <v>31</v>
      </c>
      <c r="E948" s="5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  <c r="S948" t="str">
        <f t="shared" si="42"/>
        <v>Recomendado</v>
      </c>
      <c r="T948" t="str">
        <f>VLOOKUP(A948,AssuranceTable,2,FALSE)</f>
        <v>Premium</v>
      </c>
      <c r="U948" t="str">
        <f t="shared" si="43"/>
        <v>CU36986 Cali</v>
      </c>
      <c r="X948" s="4">
        <f t="shared" si="44"/>
        <v>416516.66</v>
      </c>
    </row>
    <row r="949" spans="1:24" x14ac:dyDescent="0.35">
      <c r="A949" t="s">
        <v>988</v>
      </c>
      <c r="B949" t="s">
        <v>5</v>
      </c>
      <c r="C949" t="s">
        <v>27</v>
      </c>
      <c r="D949" t="s">
        <v>4</v>
      </c>
      <c r="E949" s="5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  <c r="S949" t="str">
        <f t="shared" si="42"/>
        <v>Recomendado</v>
      </c>
      <c r="T949" t="str">
        <f>VLOOKUP(A949,AssuranceTable,2,FALSE)</f>
        <v>Basic</v>
      </c>
      <c r="U949" t="str">
        <f t="shared" si="43"/>
        <v>WZ53904 Arizona</v>
      </c>
      <c r="X949" s="4">
        <f t="shared" si="44"/>
        <v>265998.06</v>
      </c>
    </row>
    <row r="950" spans="1:24" x14ac:dyDescent="0.35">
      <c r="A950" t="s">
        <v>989</v>
      </c>
      <c r="B950" t="s">
        <v>5</v>
      </c>
      <c r="C950" t="s">
        <v>21</v>
      </c>
      <c r="D950" t="s">
        <v>2</v>
      </c>
      <c r="E950" s="5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  <c r="S950" t="str">
        <f t="shared" si="42"/>
        <v>Recomendado</v>
      </c>
      <c r="T950" t="str">
        <f>VLOOKUP(A950,AssuranceTable,2,FALSE)</f>
        <v>Extended</v>
      </c>
      <c r="U950" t="str">
        <f t="shared" si="43"/>
        <v>AA71604 Arizona</v>
      </c>
      <c r="X950" s="4">
        <f t="shared" si="44"/>
        <v>1198659.21</v>
      </c>
    </row>
    <row r="951" spans="1:24" x14ac:dyDescent="0.35">
      <c r="A951" t="s">
        <v>990</v>
      </c>
      <c r="B951" t="s">
        <v>33</v>
      </c>
      <c r="C951" t="s">
        <v>21</v>
      </c>
      <c r="D951" t="s">
        <v>31</v>
      </c>
      <c r="E951" s="5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  <c r="S951" t="str">
        <f t="shared" si="42"/>
        <v>No recomendado</v>
      </c>
      <c r="T951" t="str">
        <f>VLOOKUP(A951,AssuranceTable,2,FALSE)</f>
        <v>Extended</v>
      </c>
      <c r="U951" t="str">
        <f t="shared" si="43"/>
        <v>TD10493 Oregon</v>
      </c>
      <c r="X951" s="4">
        <f t="shared" si="44"/>
        <v>289873.27</v>
      </c>
    </row>
    <row r="952" spans="1:24" x14ac:dyDescent="0.35">
      <c r="A952" t="s">
        <v>991</v>
      </c>
      <c r="B952" t="s">
        <v>33</v>
      </c>
      <c r="C952" t="s">
        <v>21</v>
      </c>
      <c r="D952" t="s">
        <v>4</v>
      </c>
      <c r="E952" s="5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  <c r="S952" t="str">
        <f t="shared" si="42"/>
        <v>No recomendado</v>
      </c>
      <c r="T952" t="str">
        <f>VLOOKUP(A952,AssuranceTable,2,FALSE)</f>
        <v>Extended</v>
      </c>
      <c r="U952" t="str">
        <f t="shared" si="43"/>
        <v>LY97989 Oregon</v>
      </c>
      <c r="X952" s="4">
        <f t="shared" si="44"/>
        <v>289424.39</v>
      </c>
    </row>
    <row r="953" spans="1:24" x14ac:dyDescent="0.35">
      <c r="A953" t="s">
        <v>992</v>
      </c>
      <c r="B953" t="s">
        <v>5</v>
      </c>
      <c r="C953" t="s">
        <v>21</v>
      </c>
      <c r="D953" t="s">
        <v>80</v>
      </c>
      <c r="E953" s="5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  <c r="S953" t="str">
        <f t="shared" si="42"/>
        <v>Recomendado</v>
      </c>
      <c r="T953" t="str">
        <f>VLOOKUP(A953,AssuranceTable,2,FALSE)</f>
        <v>Extended</v>
      </c>
      <c r="U953" t="str">
        <f t="shared" si="43"/>
        <v>VX39856 Arizona</v>
      </c>
      <c r="X953" s="4">
        <f t="shared" si="44"/>
        <v>350045.44</v>
      </c>
    </row>
    <row r="954" spans="1:24" x14ac:dyDescent="0.35">
      <c r="A954" t="s">
        <v>993</v>
      </c>
      <c r="B954" t="s">
        <v>48</v>
      </c>
      <c r="C954" t="s">
        <v>21</v>
      </c>
      <c r="D954" t="s">
        <v>35</v>
      </c>
      <c r="E954" s="5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  <c r="S954" t="str">
        <f t="shared" si="42"/>
        <v>Recomendado</v>
      </c>
      <c r="T954" t="str">
        <f>VLOOKUP(A954,AssuranceTable,2,FALSE)</f>
        <v>Basic</v>
      </c>
      <c r="U954" t="str">
        <f t="shared" si="43"/>
        <v>TP51897 Cali</v>
      </c>
      <c r="X954" s="4">
        <f t="shared" si="44"/>
        <v>262180.86</v>
      </c>
    </row>
    <row r="955" spans="1:24" x14ac:dyDescent="0.35">
      <c r="A955" t="s">
        <v>994</v>
      </c>
      <c r="B955" t="s">
        <v>33</v>
      </c>
      <c r="C955" t="s">
        <v>21</v>
      </c>
      <c r="D955" t="s">
        <v>35</v>
      </c>
      <c r="E955" s="5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  <c r="S955" t="str">
        <f t="shared" si="42"/>
        <v>No recomendado</v>
      </c>
      <c r="T955" t="str">
        <f>VLOOKUP(A955,AssuranceTable,2,FALSE)</f>
        <v>Extended</v>
      </c>
      <c r="U955" t="str">
        <f t="shared" si="43"/>
        <v>QQ89253 Oregon</v>
      </c>
      <c r="X955" s="4">
        <f t="shared" si="44"/>
        <v>1022180.5</v>
      </c>
    </row>
    <row r="956" spans="1:24" x14ac:dyDescent="0.35">
      <c r="A956" t="s">
        <v>995</v>
      </c>
      <c r="B956" t="s">
        <v>48</v>
      </c>
      <c r="C956" t="s">
        <v>27</v>
      </c>
      <c r="D956" t="s">
        <v>31</v>
      </c>
      <c r="E956" s="5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  <c r="S956" t="str">
        <f t="shared" si="42"/>
        <v>Recomendado</v>
      </c>
      <c r="T956" t="str">
        <f>VLOOKUP(A956,AssuranceTable,2,FALSE)</f>
        <v>Basic</v>
      </c>
      <c r="U956" t="str">
        <f t="shared" si="43"/>
        <v>EI91403 Cali</v>
      </c>
      <c r="X956" s="4">
        <f t="shared" si="44"/>
        <v>257827.1</v>
      </c>
    </row>
    <row r="957" spans="1:24" x14ac:dyDescent="0.35">
      <c r="A957" t="s">
        <v>996</v>
      </c>
      <c r="B957" t="s">
        <v>5</v>
      </c>
      <c r="C957" t="s">
        <v>21</v>
      </c>
      <c r="D957" t="s">
        <v>35</v>
      </c>
      <c r="E957" s="5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  <c r="S957" t="str">
        <f t="shared" si="42"/>
        <v>Recomendado</v>
      </c>
      <c r="T957" t="str">
        <f>VLOOKUP(A957,AssuranceTable,2,FALSE)</f>
        <v>Extended</v>
      </c>
      <c r="U957" t="str">
        <f t="shared" si="43"/>
        <v>QG15435 Arizona</v>
      </c>
      <c r="X957" s="4">
        <f t="shared" si="44"/>
        <v>624259.56999999995</v>
      </c>
    </row>
    <row r="958" spans="1:24" x14ac:dyDescent="0.35">
      <c r="A958" t="s">
        <v>997</v>
      </c>
      <c r="B958" t="s">
        <v>23</v>
      </c>
      <c r="C958" t="s">
        <v>21</v>
      </c>
      <c r="D958" t="s">
        <v>80</v>
      </c>
      <c r="E958" s="5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  <c r="S958" t="str">
        <f t="shared" si="42"/>
        <v>No recomendado</v>
      </c>
      <c r="T958" t="str">
        <f>VLOOKUP(A958,AssuranceTable,2,FALSE)</f>
        <v>Basic</v>
      </c>
      <c r="U958" t="str">
        <f t="shared" si="43"/>
        <v>FZ55002 Nevada</v>
      </c>
      <c r="X958" s="4">
        <f t="shared" si="44"/>
        <v>522028.1</v>
      </c>
    </row>
    <row r="959" spans="1:24" x14ac:dyDescent="0.35">
      <c r="A959" t="s">
        <v>998</v>
      </c>
      <c r="B959" t="s">
        <v>3</v>
      </c>
      <c r="C959" t="s">
        <v>21</v>
      </c>
      <c r="D959" t="s">
        <v>35</v>
      </c>
      <c r="E959" s="5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  <c r="S959" t="str">
        <f t="shared" si="42"/>
        <v>Recomendado</v>
      </c>
      <c r="T959" t="str">
        <f>VLOOKUP(A959,AssuranceTable,2,FALSE)</f>
        <v>Extended</v>
      </c>
      <c r="U959" t="str">
        <f t="shared" si="43"/>
        <v>HX77930 Washington</v>
      </c>
      <c r="X959" s="4">
        <f t="shared" si="44"/>
        <v>313643.21000000002</v>
      </c>
    </row>
    <row r="960" spans="1:24" x14ac:dyDescent="0.35">
      <c r="A960" t="s">
        <v>999</v>
      </c>
      <c r="B960" t="s">
        <v>5</v>
      </c>
      <c r="C960" t="s">
        <v>27</v>
      </c>
      <c r="D960" t="s">
        <v>4</v>
      </c>
      <c r="E960" s="5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  <c r="S960" t="str">
        <f t="shared" si="42"/>
        <v>Recomendado</v>
      </c>
      <c r="T960" t="str">
        <f>VLOOKUP(A960,AssuranceTable,2,FALSE)</f>
        <v>Basic</v>
      </c>
      <c r="U960" t="str">
        <f t="shared" si="43"/>
        <v>UN37063 Arizona</v>
      </c>
      <c r="X960" s="4">
        <f t="shared" si="44"/>
        <v>452536.58</v>
      </c>
    </row>
    <row r="961" spans="1:24" x14ac:dyDescent="0.35">
      <c r="A961" t="s">
        <v>1000</v>
      </c>
      <c r="B961" t="s">
        <v>48</v>
      </c>
      <c r="C961" t="s">
        <v>27</v>
      </c>
      <c r="D961" t="s">
        <v>35</v>
      </c>
      <c r="E961" s="5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  <c r="S961" t="str">
        <f t="shared" si="42"/>
        <v>Recomendado</v>
      </c>
      <c r="T961" t="str">
        <f>VLOOKUP(A961,AssuranceTable,2,FALSE)</f>
        <v>Basic</v>
      </c>
      <c r="U961" t="str">
        <f t="shared" si="43"/>
        <v>VB87946 Cali</v>
      </c>
      <c r="X961" s="4">
        <f t="shared" si="44"/>
        <v>497035.73</v>
      </c>
    </row>
    <row r="962" spans="1:24" x14ac:dyDescent="0.35">
      <c r="A962" t="s">
        <v>1001</v>
      </c>
      <c r="B962" t="s">
        <v>48</v>
      </c>
      <c r="C962" t="s">
        <v>27</v>
      </c>
      <c r="D962" t="s">
        <v>31</v>
      </c>
      <c r="E962" s="5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S962" t="str">
        <f t="shared" si="42"/>
        <v>Recomendado</v>
      </c>
      <c r="T962" t="str">
        <f>VLOOKUP(A962,AssuranceTable,2,FALSE)</f>
        <v>Extended</v>
      </c>
      <c r="U962" t="str">
        <f t="shared" si="43"/>
        <v>AB60627 Cali</v>
      </c>
      <c r="X962" s="4">
        <f t="shared" si="44"/>
        <v>1546778.9</v>
      </c>
    </row>
    <row r="963" spans="1:24" x14ac:dyDescent="0.35">
      <c r="A963" t="s">
        <v>1002</v>
      </c>
      <c r="B963" t="s">
        <v>33</v>
      </c>
      <c r="C963" t="s">
        <v>27</v>
      </c>
      <c r="D963" t="s">
        <v>31</v>
      </c>
      <c r="E963" s="5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  <c r="S963" t="str">
        <f t="shared" ref="S963:S1026" si="45">IF(F963&gt;3000,"Recomendado","No recomendado")</f>
        <v>Recomendado</v>
      </c>
      <c r="T963" t="str">
        <f>VLOOKUP(A963,AssuranceTable,2,FALSE)</f>
        <v>Basic</v>
      </c>
      <c r="U963" t="str">
        <f t="shared" ref="U963:U1026" si="46">_xlfn.CONCAT(A963, " ",B963)</f>
        <v>TA34903 Oregon</v>
      </c>
      <c r="X963" s="4">
        <f t="shared" ref="X963:X1026" si="47">ROUND(E963,3)</f>
        <v>583889.92000000004</v>
      </c>
    </row>
    <row r="964" spans="1:24" x14ac:dyDescent="0.35">
      <c r="A964" t="s">
        <v>1003</v>
      </c>
      <c r="B964" t="s">
        <v>33</v>
      </c>
      <c r="C964" t="s">
        <v>21</v>
      </c>
      <c r="D964" t="s">
        <v>4</v>
      </c>
      <c r="E964" s="5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S964" t="str">
        <f t="shared" si="45"/>
        <v>Recomendado</v>
      </c>
      <c r="T964" t="str">
        <f>VLOOKUP(A964,AssuranceTable,2,FALSE)</f>
        <v>Extended</v>
      </c>
      <c r="U964" t="str">
        <f t="shared" si="46"/>
        <v>AQ51368 Oregon</v>
      </c>
      <c r="X964" s="4">
        <f t="shared" si="47"/>
        <v>1065688.2</v>
      </c>
    </row>
    <row r="965" spans="1:24" x14ac:dyDescent="0.35">
      <c r="A965" t="s">
        <v>1004</v>
      </c>
      <c r="B965" t="s">
        <v>33</v>
      </c>
      <c r="C965" t="s">
        <v>21</v>
      </c>
      <c r="D965" t="s">
        <v>31</v>
      </c>
      <c r="E965" s="5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  <c r="S965" t="str">
        <f t="shared" si="45"/>
        <v>No recomendado</v>
      </c>
      <c r="T965" t="str">
        <f>VLOOKUP(A965,AssuranceTable,2,FALSE)</f>
        <v>Basic</v>
      </c>
      <c r="U965" t="str">
        <f t="shared" si="46"/>
        <v>NZ26102 Oregon</v>
      </c>
      <c r="X965" s="4">
        <f t="shared" si="47"/>
        <v>228961.87</v>
      </c>
    </row>
    <row r="966" spans="1:24" x14ac:dyDescent="0.35">
      <c r="A966" t="s">
        <v>1005</v>
      </c>
      <c r="B966" t="s">
        <v>48</v>
      </c>
      <c r="C966" t="s">
        <v>27</v>
      </c>
      <c r="D966" t="s">
        <v>31</v>
      </c>
      <c r="E966" s="5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S966" t="str">
        <f t="shared" si="45"/>
        <v>Recomendado</v>
      </c>
      <c r="T966" t="str">
        <f>VLOOKUP(A966,AssuranceTable,2,FALSE)</f>
        <v>Basic</v>
      </c>
      <c r="U966" t="str">
        <f t="shared" si="46"/>
        <v>GB45753 Cali</v>
      </c>
      <c r="X966" s="4">
        <f t="shared" si="47"/>
        <v>543980.42000000004</v>
      </c>
    </row>
    <row r="967" spans="1:24" x14ac:dyDescent="0.35">
      <c r="A967" t="s">
        <v>1006</v>
      </c>
      <c r="B967" t="s">
        <v>48</v>
      </c>
      <c r="C967" t="s">
        <v>21</v>
      </c>
      <c r="D967" t="s">
        <v>2</v>
      </c>
      <c r="E967" s="5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  <c r="S967" t="str">
        <f t="shared" si="45"/>
        <v>Recomendado</v>
      </c>
      <c r="T967" t="str">
        <f>VLOOKUP(A967,AssuranceTable,2,FALSE)</f>
        <v>Basic</v>
      </c>
      <c r="U967" t="str">
        <f t="shared" si="46"/>
        <v>BV79904 Cali</v>
      </c>
      <c r="X967" s="4">
        <f t="shared" si="47"/>
        <v>795615.01</v>
      </c>
    </row>
    <row r="968" spans="1:24" x14ac:dyDescent="0.35">
      <c r="A968" t="s">
        <v>1007</v>
      </c>
      <c r="B968" t="s">
        <v>5</v>
      </c>
      <c r="C968" t="s">
        <v>27</v>
      </c>
      <c r="D968" t="s">
        <v>4</v>
      </c>
      <c r="E968" s="5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  <c r="S968" t="str">
        <f t="shared" si="45"/>
        <v>Recomendado</v>
      </c>
      <c r="T968" t="str">
        <f>VLOOKUP(A968,AssuranceTable,2,FALSE)</f>
        <v>Basic</v>
      </c>
      <c r="U968" t="str">
        <f t="shared" si="46"/>
        <v>OB49075 Arizona</v>
      </c>
      <c r="X968" s="4">
        <f t="shared" si="47"/>
        <v>445811.34</v>
      </c>
    </row>
    <row r="969" spans="1:24" x14ac:dyDescent="0.35">
      <c r="A969" t="s">
        <v>1008</v>
      </c>
      <c r="B969" t="s">
        <v>33</v>
      </c>
      <c r="C969" t="s">
        <v>21</v>
      </c>
      <c r="D969" t="s">
        <v>35</v>
      </c>
      <c r="E969" s="5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  <c r="S969" t="str">
        <f t="shared" si="45"/>
        <v>No recomendado</v>
      </c>
      <c r="T969" t="str">
        <f>VLOOKUP(A969,AssuranceTable,2,FALSE)</f>
        <v>Basic</v>
      </c>
      <c r="U969" t="str">
        <f t="shared" si="46"/>
        <v>DS97676 Oregon</v>
      </c>
      <c r="X969" s="4">
        <f t="shared" si="47"/>
        <v>255505.15</v>
      </c>
    </row>
    <row r="970" spans="1:24" x14ac:dyDescent="0.35">
      <c r="A970" t="s">
        <v>1009</v>
      </c>
      <c r="B970" t="s">
        <v>48</v>
      </c>
      <c r="C970" t="s">
        <v>27</v>
      </c>
      <c r="D970" t="s">
        <v>4</v>
      </c>
      <c r="E970" s="5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S970" t="str">
        <f t="shared" si="45"/>
        <v>Recomendado</v>
      </c>
      <c r="T970" t="str">
        <f>VLOOKUP(A970,AssuranceTable,2,FALSE)</f>
        <v>Extended</v>
      </c>
      <c r="U970" t="str">
        <f t="shared" si="46"/>
        <v>JO63462 Cali</v>
      </c>
      <c r="X970" s="4">
        <f t="shared" si="47"/>
        <v>330799.90000000002</v>
      </c>
    </row>
    <row r="971" spans="1:24" x14ac:dyDescent="0.35">
      <c r="A971" t="s">
        <v>1010</v>
      </c>
      <c r="B971" t="s">
        <v>3</v>
      </c>
      <c r="C971" t="s">
        <v>21</v>
      </c>
      <c r="D971" t="s">
        <v>35</v>
      </c>
      <c r="E971" s="5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  <c r="S971" t="str">
        <f t="shared" si="45"/>
        <v>Recomendado</v>
      </c>
      <c r="T971" t="str">
        <f>VLOOKUP(A971,AssuranceTable,2,FALSE)</f>
        <v>Basic</v>
      </c>
      <c r="U971" t="str">
        <f t="shared" si="46"/>
        <v>NJ10602 Washington</v>
      </c>
      <c r="X971" s="4">
        <f t="shared" si="47"/>
        <v>845905.32</v>
      </c>
    </row>
    <row r="972" spans="1:24" x14ac:dyDescent="0.35">
      <c r="A972" t="s">
        <v>1011</v>
      </c>
      <c r="B972" t="s">
        <v>33</v>
      </c>
      <c r="C972" t="s">
        <v>21</v>
      </c>
      <c r="D972" t="s">
        <v>35</v>
      </c>
      <c r="E972" s="5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  <c r="S972" t="str">
        <f t="shared" si="45"/>
        <v>Recomendado</v>
      </c>
      <c r="T972" t="str">
        <f>VLOOKUP(A972,AssuranceTable,2,FALSE)</f>
        <v>Premium</v>
      </c>
      <c r="U972" t="str">
        <f t="shared" si="46"/>
        <v>RS24501 Oregon</v>
      </c>
      <c r="X972" s="4">
        <f t="shared" si="47"/>
        <v>1335012.0900000001</v>
      </c>
    </row>
    <row r="973" spans="1:24" x14ac:dyDescent="0.35">
      <c r="A973" t="s">
        <v>1012</v>
      </c>
      <c r="B973" t="s">
        <v>5</v>
      </c>
      <c r="C973" t="s">
        <v>27</v>
      </c>
      <c r="D973" t="s">
        <v>35</v>
      </c>
      <c r="E973" s="5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  <c r="S973" t="str">
        <f t="shared" si="45"/>
        <v>No recomendado</v>
      </c>
      <c r="T973" t="str">
        <f>VLOOKUP(A973,AssuranceTable,2,FALSE)</f>
        <v>Basic</v>
      </c>
      <c r="U973" t="str">
        <f t="shared" si="46"/>
        <v>VT78274 Arizona</v>
      </c>
      <c r="X973" s="4">
        <f t="shared" si="47"/>
        <v>493122.13</v>
      </c>
    </row>
    <row r="974" spans="1:24" x14ac:dyDescent="0.35">
      <c r="A974" t="s">
        <v>1013</v>
      </c>
      <c r="B974" t="s">
        <v>23</v>
      </c>
      <c r="C974" t="s">
        <v>27</v>
      </c>
      <c r="D974" t="s">
        <v>4</v>
      </c>
      <c r="E974" s="5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S974" t="str">
        <f t="shared" si="45"/>
        <v>Recomendado</v>
      </c>
      <c r="T974" t="str">
        <f>VLOOKUP(A974,AssuranceTable,2,FALSE)</f>
        <v>Basic</v>
      </c>
      <c r="U974" t="str">
        <f t="shared" si="46"/>
        <v>SU56153 Nevada</v>
      </c>
      <c r="X974" s="4">
        <f t="shared" si="47"/>
        <v>777683.52</v>
      </c>
    </row>
    <row r="975" spans="1:24" x14ac:dyDescent="0.35">
      <c r="A975" t="s">
        <v>1014</v>
      </c>
      <c r="B975" t="s">
        <v>23</v>
      </c>
      <c r="C975" t="s">
        <v>21</v>
      </c>
      <c r="D975" t="s">
        <v>35</v>
      </c>
      <c r="E975" s="5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  <c r="S975" t="str">
        <f t="shared" si="45"/>
        <v>Recomendado</v>
      </c>
      <c r="T975" t="str">
        <f>VLOOKUP(A975,AssuranceTable,2,FALSE)</f>
        <v>Basic</v>
      </c>
      <c r="U975" t="str">
        <f t="shared" si="46"/>
        <v>MN20737 Nevada</v>
      </c>
      <c r="X975" s="4">
        <f t="shared" si="47"/>
        <v>255367.22</v>
      </c>
    </row>
    <row r="976" spans="1:24" x14ac:dyDescent="0.35">
      <c r="A976" t="s">
        <v>1015</v>
      </c>
      <c r="B976" t="s">
        <v>5</v>
      </c>
      <c r="C976" t="s">
        <v>21</v>
      </c>
      <c r="D976" t="s">
        <v>31</v>
      </c>
      <c r="E976" s="5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S976" t="str">
        <f t="shared" si="45"/>
        <v>No recomendado</v>
      </c>
      <c r="T976" t="str">
        <f>VLOOKUP(A976,AssuranceTable,2,FALSE)</f>
        <v>Basic</v>
      </c>
      <c r="U976" t="str">
        <f t="shared" si="46"/>
        <v>KL43114 Arizona</v>
      </c>
      <c r="X976" s="4">
        <f t="shared" si="47"/>
        <v>487646.97</v>
      </c>
    </row>
    <row r="977" spans="1:24" x14ac:dyDescent="0.35">
      <c r="A977" t="s">
        <v>1016</v>
      </c>
      <c r="B977" t="s">
        <v>33</v>
      </c>
      <c r="C977" t="s">
        <v>21</v>
      </c>
      <c r="D977" t="s">
        <v>4</v>
      </c>
      <c r="E977" s="5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  <c r="S977" t="str">
        <f t="shared" si="45"/>
        <v>Recomendado</v>
      </c>
      <c r="T977" t="str">
        <f>VLOOKUP(A977,AssuranceTable,2,FALSE)</f>
        <v>Basic</v>
      </c>
      <c r="U977" t="str">
        <f t="shared" si="46"/>
        <v>YQ15567 Oregon</v>
      </c>
      <c r="X977" s="4">
        <f t="shared" si="47"/>
        <v>903430.58</v>
      </c>
    </row>
    <row r="978" spans="1:24" x14ac:dyDescent="0.35">
      <c r="A978" t="s">
        <v>1017</v>
      </c>
      <c r="B978" t="s">
        <v>5</v>
      </c>
      <c r="C978" t="s">
        <v>21</v>
      </c>
      <c r="D978" t="s">
        <v>31</v>
      </c>
      <c r="E978" s="5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  <c r="S978" t="str">
        <f t="shared" si="45"/>
        <v>Recomendado</v>
      </c>
      <c r="T978" t="str">
        <f>VLOOKUP(A978,AssuranceTable,2,FALSE)</f>
        <v>Basic</v>
      </c>
      <c r="U978" t="str">
        <f t="shared" si="46"/>
        <v>TR88637 Arizona</v>
      </c>
      <c r="X978" s="4">
        <f t="shared" si="47"/>
        <v>810591.08</v>
      </c>
    </row>
    <row r="979" spans="1:24" x14ac:dyDescent="0.35">
      <c r="A979" t="s">
        <v>1018</v>
      </c>
      <c r="B979" t="s">
        <v>33</v>
      </c>
      <c r="C979" t="s">
        <v>27</v>
      </c>
      <c r="D979" t="s">
        <v>31</v>
      </c>
      <c r="E979" s="5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S979" t="str">
        <f t="shared" si="45"/>
        <v>No recomendado</v>
      </c>
      <c r="T979" t="str">
        <f>VLOOKUP(A979,AssuranceTable,2,FALSE)</f>
        <v>Premium</v>
      </c>
      <c r="U979" t="str">
        <f t="shared" si="46"/>
        <v>TC88986 Oregon</v>
      </c>
      <c r="X979" s="4">
        <f t="shared" si="47"/>
        <v>561968.91</v>
      </c>
    </row>
    <row r="980" spans="1:24" x14ac:dyDescent="0.35">
      <c r="A980" t="s">
        <v>1019</v>
      </c>
      <c r="B980" t="s">
        <v>48</v>
      </c>
      <c r="C980" t="s">
        <v>27</v>
      </c>
      <c r="D980" t="s">
        <v>4</v>
      </c>
      <c r="E980" s="5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S980" t="str">
        <f t="shared" si="45"/>
        <v>Recomendado</v>
      </c>
      <c r="T980" t="str">
        <f>VLOOKUP(A980,AssuranceTable,2,FALSE)</f>
        <v>Premium</v>
      </c>
      <c r="U980" t="str">
        <f t="shared" si="46"/>
        <v>XX88577 Cali</v>
      </c>
      <c r="X980" s="4">
        <f t="shared" si="47"/>
        <v>1572713.06</v>
      </c>
    </row>
    <row r="981" spans="1:24" x14ac:dyDescent="0.35">
      <c r="A981" t="s">
        <v>1020</v>
      </c>
      <c r="B981" t="s">
        <v>48</v>
      </c>
      <c r="C981" t="s">
        <v>21</v>
      </c>
      <c r="D981" t="s">
        <v>31</v>
      </c>
      <c r="E981" s="5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  <c r="S981" t="str">
        <f t="shared" si="45"/>
        <v>Recomendado</v>
      </c>
      <c r="T981" t="str">
        <f>VLOOKUP(A981,AssuranceTable,2,FALSE)</f>
        <v>Extended</v>
      </c>
      <c r="U981" t="str">
        <f t="shared" si="46"/>
        <v>NE49052 Cali</v>
      </c>
      <c r="X981" s="4">
        <f t="shared" si="47"/>
        <v>661801.64</v>
      </c>
    </row>
    <row r="982" spans="1:24" x14ac:dyDescent="0.35">
      <c r="A982" t="s">
        <v>1021</v>
      </c>
      <c r="B982" t="s">
        <v>33</v>
      </c>
      <c r="C982" t="s">
        <v>27</v>
      </c>
      <c r="D982" t="s">
        <v>80</v>
      </c>
      <c r="E982" s="5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S982" t="str">
        <f t="shared" si="45"/>
        <v>No recomendado</v>
      </c>
      <c r="T982" t="str">
        <f>VLOOKUP(A982,AssuranceTable,2,FALSE)</f>
        <v>Extended</v>
      </c>
      <c r="U982" t="str">
        <f t="shared" si="46"/>
        <v>KX17826 Oregon</v>
      </c>
      <c r="X982" s="4">
        <f t="shared" si="47"/>
        <v>467004.8</v>
      </c>
    </row>
    <row r="983" spans="1:24" x14ac:dyDescent="0.35">
      <c r="A983" t="s">
        <v>1022</v>
      </c>
      <c r="B983" t="s">
        <v>5</v>
      </c>
      <c r="C983" t="s">
        <v>21</v>
      </c>
      <c r="D983" t="s">
        <v>31</v>
      </c>
      <c r="E983" s="5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  <c r="S983" t="str">
        <f t="shared" si="45"/>
        <v>No recomendado</v>
      </c>
      <c r="T983" t="str">
        <f>VLOOKUP(A983,AssuranceTable,2,FALSE)</f>
        <v>Extended</v>
      </c>
      <c r="U983" t="str">
        <f t="shared" si="46"/>
        <v>CC91503 Arizona</v>
      </c>
      <c r="X983" s="4">
        <f t="shared" si="47"/>
        <v>1016936.98</v>
      </c>
    </row>
    <row r="984" spans="1:24" x14ac:dyDescent="0.35">
      <c r="A984" t="s">
        <v>1023</v>
      </c>
      <c r="B984" t="s">
        <v>48</v>
      </c>
      <c r="C984" t="s">
        <v>27</v>
      </c>
      <c r="D984" t="s">
        <v>4</v>
      </c>
      <c r="E984" s="5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  <c r="S984" t="str">
        <f t="shared" si="45"/>
        <v>Recomendado</v>
      </c>
      <c r="T984" t="str">
        <f>VLOOKUP(A984,AssuranceTable,2,FALSE)</f>
        <v>Basic</v>
      </c>
      <c r="U984" t="str">
        <f t="shared" si="46"/>
        <v>WH32183 Cali</v>
      </c>
      <c r="X984" s="4">
        <f t="shared" si="47"/>
        <v>832307.4</v>
      </c>
    </row>
    <row r="985" spans="1:24" x14ac:dyDescent="0.35">
      <c r="A985" t="s">
        <v>1024</v>
      </c>
      <c r="B985" t="s">
        <v>48</v>
      </c>
      <c r="C985" t="s">
        <v>21</v>
      </c>
      <c r="D985" t="s">
        <v>35</v>
      </c>
      <c r="E985" s="5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  <c r="S985" t="str">
        <f t="shared" si="45"/>
        <v>Recomendado</v>
      </c>
      <c r="T985" t="str">
        <f>VLOOKUP(A985,AssuranceTable,2,FALSE)</f>
        <v>Basic</v>
      </c>
      <c r="U985" t="str">
        <f t="shared" si="46"/>
        <v>ES90681 Cali</v>
      </c>
      <c r="X985" s="4">
        <f t="shared" si="47"/>
        <v>241776</v>
      </c>
    </row>
    <row r="986" spans="1:24" x14ac:dyDescent="0.35">
      <c r="A986" t="s">
        <v>1025</v>
      </c>
      <c r="B986" t="s">
        <v>48</v>
      </c>
      <c r="C986" t="s">
        <v>27</v>
      </c>
      <c r="D986" t="s">
        <v>4</v>
      </c>
      <c r="E986" s="5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  <c r="S986" t="str">
        <f t="shared" si="45"/>
        <v>Recomendado</v>
      </c>
      <c r="T986" t="str">
        <f>VLOOKUP(A986,AssuranceTable,2,FALSE)</f>
        <v>Basic</v>
      </c>
      <c r="U986" t="str">
        <f t="shared" si="46"/>
        <v>DW96592 Cali</v>
      </c>
      <c r="X986" s="4">
        <f t="shared" si="47"/>
        <v>804487.24</v>
      </c>
    </row>
    <row r="987" spans="1:24" x14ac:dyDescent="0.35">
      <c r="A987" t="s">
        <v>1026</v>
      </c>
      <c r="B987" t="s">
        <v>33</v>
      </c>
      <c r="C987" t="s">
        <v>27</v>
      </c>
      <c r="D987" t="s">
        <v>31</v>
      </c>
      <c r="E987" s="5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  <c r="S987" t="str">
        <f t="shared" si="45"/>
        <v>No recomendado</v>
      </c>
      <c r="T987" t="str">
        <f>VLOOKUP(A987,AssuranceTable,2,FALSE)</f>
        <v>Basic</v>
      </c>
      <c r="U987" t="str">
        <f t="shared" si="46"/>
        <v>MT23134 Oregon</v>
      </c>
      <c r="X987" s="4">
        <f t="shared" si="47"/>
        <v>532572.44999999995</v>
      </c>
    </row>
    <row r="988" spans="1:24" x14ac:dyDescent="0.35">
      <c r="A988" t="s">
        <v>1027</v>
      </c>
      <c r="B988" t="s">
        <v>5</v>
      </c>
      <c r="C988" t="s">
        <v>27</v>
      </c>
      <c r="D988" t="s">
        <v>4</v>
      </c>
      <c r="E988" s="5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  <c r="S988" t="str">
        <f t="shared" si="45"/>
        <v>No recomendado</v>
      </c>
      <c r="T988" t="str">
        <f>VLOOKUP(A988,AssuranceTable,2,FALSE)</f>
        <v>Basic</v>
      </c>
      <c r="U988" t="str">
        <f t="shared" si="46"/>
        <v>BM69081 Arizona</v>
      </c>
      <c r="X988" s="4">
        <f t="shared" si="47"/>
        <v>694752.4</v>
      </c>
    </row>
    <row r="989" spans="1:24" x14ac:dyDescent="0.35">
      <c r="A989" t="s">
        <v>1028</v>
      </c>
      <c r="B989" t="s">
        <v>33</v>
      </c>
      <c r="C989" t="s">
        <v>21</v>
      </c>
      <c r="D989" t="s">
        <v>35</v>
      </c>
      <c r="E989" s="5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  <c r="S989" t="str">
        <f t="shared" si="45"/>
        <v>Recomendado</v>
      </c>
      <c r="T989" t="str">
        <f>VLOOKUP(A989,AssuranceTable,2,FALSE)</f>
        <v>Extended</v>
      </c>
      <c r="U989" t="str">
        <f t="shared" si="46"/>
        <v>MB90871 Oregon</v>
      </c>
      <c r="X989" s="4">
        <f t="shared" si="47"/>
        <v>584741.52</v>
      </c>
    </row>
    <row r="990" spans="1:24" x14ac:dyDescent="0.35">
      <c r="A990" t="s">
        <v>1029</v>
      </c>
      <c r="B990" t="s">
        <v>3</v>
      </c>
      <c r="C990" t="s">
        <v>27</v>
      </c>
      <c r="D990" t="s">
        <v>31</v>
      </c>
      <c r="E990" s="5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  <c r="S990" t="str">
        <f t="shared" si="45"/>
        <v>Recomendado</v>
      </c>
      <c r="T990" t="str">
        <f>VLOOKUP(A990,AssuranceTable,2,FALSE)</f>
        <v>Basic</v>
      </c>
      <c r="U990" t="str">
        <f t="shared" si="46"/>
        <v>GT62080 Washington</v>
      </c>
      <c r="X990" s="4">
        <f t="shared" si="47"/>
        <v>0</v>
      </c>
    </row>
    <row r="991" spans="1:24" x14ac:dyDescent="0.35">
      <c r="A991" t="s">
        <v>1030</v>
      </c>
      <c r="B991" t="s">
        <v>23</v>
      </c>
      <c r="C991" t="s">
        <v>21</v>
      </c>
      <c r="D991" t="s">
        <v>35</v>
      </c>
      <c r="E991" s="5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S991" t="str">
        <f t="shared" si="45"/>
        <v>Recomendado</v>
      </c>
      <c r="T991" t="str">
        <f>VLOOKUP(A991,AssuranceTable,2,FALSE)</f>
        <v>Basic</v>
      </c>
      <c r="U991" t="str">
        <f t="shared" si="46"/>
        <v>QL77686 Nevada</v>
      </c>
      <c r="X991" s="4">
        <f t="shared" si="47"/>
        <v>472478.61</v>
      </c>
    </row>
    <row r="992" spans="1:24" x14ac:dyDescent="0.35">
      <c r="A992" t="s">
        <v>1031</v>
      </c>
      <c r="B992" t="s">
        <v>5</v>
      </c>
      <c r="C992" t="s">
        <v>21</v>
      </c>
      <c r="D992" t="s">
        <v>2</v>
      </c>
      <c r="E992" s="5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  <c r="S992" t="str">
        <f t="shared" si="45"/>
        <v>Recomendado</v>
      </c>
      <c r="T992" t="str">
        <f>VLOOKUP(A992,AssuranceTable,2,FALSE)</f>
        <v>Basic</v>
      </c>
      <c r="U992" t="str">
        <f t="shared" si="46"/>
        <v>ON77827 Arizona</v>
      </c>
      <c r="X992" s="4">
        <f t="shared" si="47"/>
        <v>279022.8</v>
      </c>
    </row>
    <row r="993" spans="1:24" x14ac:dyDescent="0.35">
      <c r="A993" t="s">
        <v>1032</v>
      </c>
      <c r="B993" t="s">
        <v>33</v>
      </c>
      <c r="C993" t="s">
        <v>21</v>
      </c>
      <c r="D993" t="s">
        <v>31</v>
      </c>
      <c r="E993" s="5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  <c r="S993" t="str">
        <f t="shared" si="45"/>
        <v>No recomendado</v>
      </c>
      <c r="T993" t="str">
        <f>VLOOKUP(A993,AssuranceTable,2,FALSE)</f>
        <v>Premium</v>
      </c>
      <c r="U993" t="str">
        <f t="shared" si="46"/>
        <v>KP18988 Oregon</v>
      </c>
      <c r="X993" s="4">
        <f t="shared" si="47"/>
        <v>2153133.2799999998</v>
      </c>
    </row>
    <row r="994" spans="1:24" x14ac:dyDescent="0.35">
      <c r="A994" t="s">
        <v>1033</v>
      </c>
      <c r="B994" t="s">
        <v>5</v>
      </c>
      <c r="C994" t="s">
        <v>27</v>
      </c>
      <c r="D994" t="s">
        <v>4</v>
      </c>
      <c r="E994" s="5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  <c r="S994" t="str">
        <f t="shared" si="45"/>
        <v>Recomendado</v>
      </c>
      <c r="T994" t="str">
        <f>VLOOKUP(A994,AssuranceTable,2,FALSE)</f>
        <v>Basic</v>
      </c>
      <c r="U994" t="str">
        <f t="shared" si="46"/>
        <v>TI92884 Arizona</v>
      </c>
      <c r="X994" s="4">
        <f t="shared" si="47"/>
        <v>1262283.27</v>
      </c>
    </row>
    <row r="995" spans="1:24" x14ac:dyDescent="0.35">
      <c r="A995" t="s">
        <v>1034</v>
      </c>
      <c r="B995" t="s">
        <v>5</v>
      </c>
      <c r="C995" t="s">
        <v>27</v>
      </c>
      <c r="D995" t="s">
        <v>80</v>
      </c>
      <c r="E995" s="5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  <c r="S995" t="str">
        <f t="shared" si="45"/>
        <v>Recomendado</v>
      </c>
      <c r="T995" t="str">
        <f>VLOOKUP(A995,AssuranceTable,2,FALSE)</f>
        <v>Basic</v>
      </c>
      <c r="U995" t="str">
        <f t="shared" si="46"/>
        <v>JH73503 Arizona</v>
      </c>
      <c r="X995" s="4">
        <f t="shared" si="47"/>
        <v>2017196.15</v>
      </c>
    </row>
    <row r="996" spans="1:24" x14ac:dyDescent="0.35">
      <c r="A996" t="s">
        <v>1035</v>
      </c>
      <c r="B996" t="s">
        <v>48</v>
      </c>
      <c r="C996" t="s">
        <v>21</v>
      </c>
      <c r="D996" t="s">
        <v>4</v>
      </c>
      <c r="E996" s="5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  <c r="S996" t="str">
        <f t="shared" si="45"/>
        <v>Recomendado</v>
      </c>
      <c r="T996" t="str">
        <f>VLOOKUP(A996,AssuranceTable,2,FALSE)</f>
        <v>Basic</v>
      </c>
      <c r="U996" t="str">
        <f t="shared" si="46"/>
        <v>YE97964 Cali</v>
      </c>
      <c r="X996" s="4">
        <f t="shared" si="47"/>
        <v>1646436.59</v>
      </c>
    </row>
    <row r="997" spans="1:24" x14ac:dyDescent="0.35">
      <c r="A997" t="s">
        <v>1036</v>
      </c>
      <c r="B997" t="s">
        <v>33</v>
      </c>
      <c r="C997" t="s">
        <v>21</v>
      </c>
      <c r="D997" t="s">
        <v>31</v>
      </c>
      <c r="E997" s="5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  <c r="S997" t="str">
        <f t="shared" si="45"/>
        <v>Recomendado</v>
      </c>
      <c r="T997" t="str">
        <f>VLOOKUP(A997,AssuranceTable,2,FALSE)</f>
        <v>Basic</v>
      </c>
      <c r="U997" t="str">
        <f t="shared" si="46"/>
        <v>VA30351 Oregon</v>
      </c>
      <c r="X997" s="4">
        <f t="shared" si="47"/>
        <v>559538.99</v>
      </c>
    </row>
    <row r="998" spans="1:24" x14ac:dyDescent="0.35">
      <c r="A998" t="s">
        <v>1037</v>
      </c>
      <c r="B998" t="s">
        <v>33</v>
      </c>
      <c r="C998" t="s">
        <v>21</v>
      </c>
      <c r="D998" t="s">
        <v>2</v>
      </c>
      <c r="E998" s="5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  <c r="S998" t="str">
        <f t="shared" si="45"/>
        <v>Recomendado</v>
      </c>
      <c r="T998" t="str">
        <f>VLOOKUP(A998,AssuranceTable,2,FALSE)</f>
        <v>Basic</v>
      </c>
      <c r="U998" t="str">
        <f t="shared" si="46"/>
        <v>PV55726 Oregon</v>
      </c>
      <c r="X998" s="4">
        <f t="shared" si="47"/>
        <v>417068.73</v>
      </c>
    </row>
    <row r="999" spans="1:24" x14ac:dyDescent="0.35">
      <c r="A999" t="s">
        <v>1038</v>
      </c>
      <c r="B999" t="s">
        <v>5</v>
      </c>
      <c r="C999" t="s">
        <v>21</v>
      </c>
      <c r="D999" t="s">
        <v>35</v>
      </c>
      <c r="E999" s="5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S999" t="str">
        <f t="shared" si="45"/>
        <v>Recomendado</v>
      </c>
      <c r="T999" t="str">
        <f>VLOOKUP(A999,AssuranceTable,2,FALSE)</f>
        <v>Basic</v>
      </c>
      <c r="U999" t="str">
        <f t="shared" si="46"/>
        <v>UC88305 Arizona</v>
      </c>
      <c r="X999" s="4">
        <f t="shared" si="47"/>
        <v>266544.71000000002</v>
      </c>
    </row>
    <row r="1000" spans="1:24" x14ac:dyDescent="0.35">
      <c r="A1000" t="s">
        <v>1039</v>
      </c>
      <c r="B1000" t="s">
        <v>33</v>
      </c>
      <c r="C1000" t="s">
        <v>27</v>
      </c>
      <c r="D1000" t="s">
        <v>4</v>
      </c>
      <c r="E1000" s="5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  <c r="S1000" t="str">
        <f t="shared" si="45"/>
        <v>No recomendado</v>
      </c>
      <c r="T1000" t="str">
        <f>VLOOKUP(A1000,AssuranceTable,2,FALSE)</f>
        <v>Basic</v>
      </c>
      <c r="U1000" t="str">
        <f t="shared" si="46"/>
        <v>TS53809 Oregon</v>
      </c>
      <c r="X1000" s="4">
        <f t="shared" si="47"/>
        <v>709891.41</v>
      </c>
    </row>
    <row r="1001" spans="1:24" x14ac:dyDescent="0.35">
      <c r="A1001" t="s">
        <v>1040</v>
      </c>
      <c r="B1001" t="s">
        <v>48</v>
      </c>
      <c r="C1001" t="s">
        <v>27</v>
      </c>
      <c r="D1001" t="s">
        <v>80</v>
      </c>
      <c r="E1001" s="5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S1001" t="str">
        <f t="shared" si="45"/>
        <v>Recomendado</v>
      </c>
      <c r="T1001" t="str">
        <f>VLOOKUP(A1001,AssuranceTable,2,FALSE)</f>
        <v>Basic</v>
      </c>
      <c r="U1001" t="str">
        <f t="shared" si="46"/>
        <v>ZV32120 Cali</v>
      </c>
      <c r="X1001" s="4">
        <f t="shared" si="47"/>
        <v>397134.51</v>
      </c>
    </row>
    <row r="1002" spans="1:24" x14ac:dyDescent="0.35">
      <c r="A1002" t="s">
        <v>1041</v>
      </c>
      <c r="B1002" t="s">
        <v>33</v>
      </c>
      <c r="C1002" t="s">
        <v>27</v>
      </c>
      <c r="D1002" t="s">
        <v>4</v>
      </c>
      <c r="E1002" s="5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  <c r="S1002" t="str">
        <f t="shared" si="45"/>
        <v>Recomendado</v>
      </c>
      <c r="T1002" t="str">
        <f>VLOOKUP(A1002,AssuranceTable,2,FALSE)</f>
        <v>Basic</v>
      </c>
      <c r="U1002" t="str">
        <f t="shared" si="46"/>
        <v>FB80807 Oregon</v>
      </c>
      <c r="X1002" s="4">
        <f t="shared" si="47"/>
        <v>552821.28</v>
      </c>
    </row>
    <row r="1003" spans="1:24" x14ac:dyDescent="0.35">
      <c r="A1003" t="s">
        <v>1042</v>
      </c>
      <c r="B1003" t="s">
        <v>48</v>
      </c>
      <c r="C1003" t="s">
        <v>21</v>
      </c>
      <c r="D1003" t="s">
        <v>31</v>
      </c>
      <c r="E1003" s="5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  <c r="S1003" t="str">
        <f t="shared" si="45"/>
        <v>Recomendado</v>
      </c>
      <c r="T1003" t="str">
        <f>VLOOKUP(A1003,AssuranceTable,2,FALSE)</f>
        <v>Premium</v>
      </c>
      <c r="U1003" t="str">
        <f t="shared" si="46"/>
        <v>AS55677 Cali</v>
      </c>
      <c r="X1003" s="4">
        <f t="shared" si="47"/>
        <v>833899.58</v>
      </c>
    </row>
    <row r="1004" spans="1:24" x14ac:dyDescent="0.35">
      <c r="A1004" t="s">
        <v>1043</v>
      </c>
      <c r="B1004" t="s">
        <v>33</v>
      </c>
      <c r="C1004" t="s">
        <v>27</v>
      </c>
      <c r="D1004" t="s">
        <v>35</v>
      </c>
      <c r="E1004" s="5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  <c r="S1004" t="str">
        <f t="shared" si="45"/>
        <v>Recomendado</v>
      </c>
      <c r="T1004" t="str">
        <f>VLOOKUP(A1004,AssuranceTable,2,FALSE)</f>
        <v>Extended</v>
      </c>
      <c r="U1004" t="str">
        <f t="shared" si="46"/>
        <v>WA15684 Oregon</v>
      </c>
      <c r="X1004" s="4">
        <f t="shared" si="47"/>
        <v>3844585.59</v>
      </c>
    </row>
    <row r="1005" spans="1:24" x14ac:dyDescent="0.35">
      <c r="A1005" t="s">
        <v>1044</v>
      </c>
      <c r="B1005" t="s">
        <v>23</v>
      </c>
      <c r="C1005" t="s">
        <v>27</v>
      </c>
      <c r="D1005" t="s">
        <v>4</v>
      </c>
      <c r="E1005" s="5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  <c r="S1005" t="str">
        <f t="shared" si="45"/>
        <v>Recomendado</v>
      </c>
      <c r="T1005" t="str">
        <f>VLOOKUP(A1005,AssuranceTable,2,FALSE)</f>
        <v>Basic</v>
      </c>
      <c r="U1005" t="str">
        <f t="shared" si="46"/>
        <v>SA50567 Nevada</v>
      </c>
      <c r="X1005" s="4">
        <f t="shared" si="47"/>
        <v>544855.52</v>
      </c>
    </row>
    <row r="1006" spans="1:24" x14ac:dyDescent="0.35">
      <c r="A1006" t="s">
        <v>1045</v>
      </c>
      <c r="B1006" t="s">
        <v>5</v>
      </c>
      <c r="C1006" t="s">
        <v>27</v>
      </c>
      <c r="D1006" t="s">
        <v>31</v>
      </c>
      <c r="E1006" s="5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  <c r="S1006" t="str">
        <f t="shared" si="45"/>
        <v>Recomendado</v>
      </c>
      <c r="T1006" t="str">
        <f>VLOOKUP(A1006,AssuranceTable,2,FALSE)</f>
        <v>Extended</v>
      </c>
      <c r="U1006" t="str">
        <f t="shared" si="46"/>
        <v>KJ31611 Arizona</v>
      </c>
      <c r="X1006" s="4">
        <f t="shared" si="47"/>
        <v>1080806.6000000001</v>
      </c>
    </row>
    <row r="1007" spans="1:24" x14ac:dyDescent="0.35">
      <c r="A1007" t="s">
        <v>1046</v>
      </c>
      <c r="B1007" t="s">
        <v>48</v>
      </c>
      <c r="C1007" t="s">
        <v>27</v>
      </c>
      <c r="D1007" t="s">
        <v>4</v>
      </c>
      <c r="E1007" s="5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  <c r="S1007" t="str">
        <f t="shared" si="45"/>
        <v>No recomendado</v>
      </c>
      <c r="T1007" t="str">
        <f>VLOOKUP(A1007,AssuranceTable,2,FALSE)</f>
        <v>Extended</v>
      </c>
      <c r="U1007" t="str">
        <f t="shared" si="46"/>
        <v>VL37375 Cali</v>
      </c>
      <c r="X1007" s="4">
        <f t="shared" si="47"/>
        <v>618509.65</v>
      </c>
    </row>
    <row r="1008" spans="1:24" x14ac:dyDescent="0.35">
      <c r="A1008" t="s">
        <v>1047</v>
      </c>
      <c r="B1008" t="s">
        <v>23</v>
      </c>
      <c r="C1008" t="s">
        <v>27</v>
      </c>
      <c r="D1008" t="s">
        <v>31</v>
      </c>
      <c r="E1008" s="5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  <c r="S1008" t="str">
        <f t="shared" si="45"/>
        <v>Recomendado</v>
      </c>
      <c r="T1008" t="str">
        <f>VLOOKUP(A1008,AssuranceTable,2,FALSE)</f>
        <v>Extended</v>
      </c>
      <c r="U1008" t="str">
        <f t="shared" si="46"/>
        <v>KN21017 Nevada</v>
      </c>
      <c r="X1008" s="4">
        <f t="shared" si="47"/>
        <v>320822.59000000003</v>
      </c>
    </row>
    <row r="1009" spans="1:24" x14ac:dyDescent="0.35">
      <c r="A1009" t="s">
        <v>1048</v>
      </c>
      <c r="B1009" t="s">
        <v>5</v>
      </c>
      <c r="C1009" t="s">
        <v>27</v>
      </c>
      <c r="D1009" t="s">
        <v>35</v>
      </c>
      <c r="E1009" s="5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  <c r="S1009" t="str">
        <f t="shared" si="45"/>
        <v>Recomendado</v>
      </c>
      <c r="T1009" t="str">
        <f>VLOOKUP(A1009,AssuranceTable,2,FALSE)</f>
        <v>Basic</v>
      </c>
      <c r="U1009" t="str">
        <f t="shared" si="46"/>
        <v>PX44289 Arizona</v>
      </c>
      <c r="X1009" s="4">
        <f t="shared" si="47"/>
        <v>548010.41</v>
      </c>
    </row>
    <row r="1010" spans="1:24" x14ac:dyDescent="0.35">
      <c r="A1010" t="s">
        <v>1049</v>
      </c>
      <c r="B1010" t="s">
        <v>23</v>
      </c>
      <c r="C1010" t="s">
        <v>21</v>
      </c>
      <c r="D1010" t="s">
        <v>35</v>
      </c>
      <c r="E1010" s="5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S1010" t="str">
        <f t="shared" si="45"/>
        <v>Recomendado</v>
      </c>
      <c r="T1010" t="str">
        <f>VLOOKUP(A1010,AssuranceTable,2,FALSE)</f>
        <v>Premium</v>
      </c>
      <c r="U1010" t="str">
        <f t="shared" si="46"/>
        <v>AM97901 Nevada</v>
      </c>
      <c r="X1010" s="4">
        <f t="shared" si="47"/>
        <v>2298615.39</v>
      </c>
    </row>
    <row r="1011" spans="1:24" x14ac:dyDescent="0.35">
      <c r="A1011" t="s">
        <v>1050</v>
      </c>
      <c r="B1011" t="s">
        <v>33</v>
      </c>
      <c r="C1011" t="s">
        <v>27</v>
      </c>
      <c r="D1011" t="s">
        <v>4</v>
      </c>
      <c r="E1011" s="5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S1011" t="str">
        <f t="shared" si="45"/>
        <v>Recomendado</v>
      </c>
      <c r="T1011" t="str">
        <f>VLOOKUP(A1011,AssuranceTable,2,FALSE)</f>
        <v>Basic</v>
      </c>
      <c r="U1011" t="str">
        <f t="shared" si="46"/>
        <v>RE42925 Oregon</v>
      </c>
      <c r="X1011" s="4">
        <f t="shared" si="47"/>
        <v>1310792.5900000001</v>
      </c>
    </row>
    <row r="1012" spans="1:24" x14ac:dyDescent="0.35">
      <c r="A1012" t="s">
        <v>1051</v>
      </c>
      <c r="B1012" t="s">
        <v>48</v>
      </c>
      <c r="C1012" t="s">
        <v>21</v>
      </c>
      <c r="D1012" t="s">
        <v>35</v>
      </c>
      <c r="E1012" s="5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S1012" t="str">
        <f t="shared" si="45"/>
        <v>Recomendado</v>
      </c>
      <c r="T1012" t="str">
        <f>VLOOKUP(A1012,AssuranceTable,2,FALSE)</f>
        <v>Extended</v>
      </c>
      <c r="U1012" t="str">
        <f t="shared" si="46"/>
        <v>TR81766 Cali</v>
      </c>
      <c r="X1012" s="4">
        <f t="shared" si="47"/>
        <v>746292.63</v>
      </c>
    </row>
    <row r="1013" spans="1:24" x14ac:dyDescent="0.35">
      <c r="A1013" t="s">
        <v>1052</v>
      </c>
      <c r="B1013" t="s">
        <v>33</v>
      </c>
      <c r="C1013" t="s">
        <v>21</v>
      </c>
      <c r="D1013" t="s">
        <v>80</v>
      </c>
      <c r="E1013" s="5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  <c r="S1013" t="str">
        <f t="shared" si="45"/>
        <v>Recomendado</v>
      </c>
      <c r="T1013" t="str">
        <f>VLOOKUP(A1013,AssuranceTable,2,FALSE)</f>
        <v>Premium</v>
      </c>
      <c r="U1013" t="str">
        <f t="shared" si="46"/>
        <v>CH85057 Oregon</v>
      </c>
      <c r="X1013" s="4">
        <f t="shared" si="47"/>
        <v>1146399.1000000001</v>
      </c>
    </row>
    <row r="1014" spans="1:24" x14ac:dyDescent="0.35">
      <c r="A1014" t="s">
        <v>1053</v>
      </c>
      <c r="B1014" t="s">
        <v>5</v>
      </c>
      <c r="C1014" t="s">
        <v>27</v>
      </c>
      <c r="D1014" t="s">
        <v>31</v>
      </c>
      <c r="E1014" s="5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  <c r="S1014" t="str">
        <f t="shared" si="45"/>
        <v>No recomendado</v>
      </c>
      <c r="T1014" t="str">
        <f>VLOOKUP(A1014,AssuranceTable,2,FALSE)</f>
        <v>Basic</v>
      </c>
      <c r="U1014" t="str">
        <f t="shared" si="46"/>
        <v>UP71482 Arizona</v>
      </c>
      <c r="X1014" s="4">
        <f t="shared" si="47"/>
        <v>723613.25</v>
      </c>
    </row>
    <row r="1015" spans="1:24" x14ac:dyDescent="0.35">
      <c r="A1015" t="s">
        <v>1054</v>
      </c>
      <c r="B1015" t="s">
        <v>48</v>
      </c>
      <c r="C1015" t="s">
        <v>21</v>
      </c>
      <c r="D1015" t="s">
        <v>4</v>
      </c>
      <c r="E1015" s="5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  <c r="S1015" t="str">
        <f t="shared" si="45"/>
        <v>Recomendado</v>
      </c>
      <c r="T1015" t="str">
        <f>VLOOKUP(A1015,AssuranceTable,2,FALSE)</f>
        <v>Extended</v>
      </c>
      <c r="U1015" t="str">
        <f t="shared" si="46"/>
        <v>EG40670 Cali</v>
      </c>
      <c r="X1015" s="4">
        <f t="shared" si="47"/>
        <v>623268.79</v>
      </c>
    </row>
    <row r="1016" spans="1:24" x14ac:dyDescent="0.35">
      <c r="A1016" t="s">
        <v>1055</v>
      </c>
      <c r="B1016" t="s">
        <v>33</v>
      </c>
      <c r="C1016" t="s">
        <v>21</v>
      </c>
      <c r="D1016" t="s">
        <v>4</v>
      </c>
      <c r="E1016" s="5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  <c r="S1016" t="str">
        <f t="shared" si="45"/>
        <v>Recomendado</v>
      </c>
      <c r="T1016" t="str">
        <f>VLOOKUP(A1016,AssuranceTable,2,FALSE)</f>
        <v>Extended</v>
      </c>
      <c r="U1016" t="str">
        <f t="shared" si="46"/>
        <v>HV83672 Oregon</v>
      </c>
      <c r="X1016" s="4">
        <f t="shared" si="47"/>
        <v>2839332.99</v>
      </c>
    </row>
    <row r="1017" spans="1:24" x14ac:dyDescent="0.35">
      <c r="A1017" t="s">
        <v>1056</v>
      </c>
      <c r="B1017" t="s">
        <v>33</v>
      </c>
      <c r="C1017" t="s">
        <v>21</v>
      </c>
      <c r="D1017" t="s">
        <v>35</v>
      </c>
      <c r="E1017" s="5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  <c r="S1017" t="str">
        <f t="shared" si="45"/>
        <v>Recomendado</v>
      </c>
      <c r="T1017" t="str">
        <f>VLOOKUP(A1017,AssuranceTable,2,FALSE)</f>
        <v>Extended</v>
      </c>
      <c r="U1017" t="str">
        <f t="shared" si="46"/>
        <v>MG10140 Oregon</v>
      </c>
      <c r="X1017" s="4">
        <f t="shared" si="47"/>
        <v>374675.16</v>
      </c>
    </row>
    <row r="1018" spans="1:24" x14ac:dyDescent="0.35">
      <c r="A1018" t="s">
        <v>1057</v>
      </c>
      <c r="B1018" t="s">
        <v>48</v>
      </c>
      <c r="C1018" t="s">
        <v>27</v>
      </c>
      <c r="D1018" t="s">
        <v>4</v>
      </c>
      <c r="E1018" s="5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  <c r="S1018" t="str">
        <f t="shared" si="45"/>
        <v>Recomendado</v>
      </c>
      <c r="T1018" t="str">
        <f>VLOOKUP(A1018,AssuranceTable,2,FALSE)</f>
        <v>Basic</v>
      </c>
      <c r="U1018" t="str">
        <f t="shared" si="46"/>
        <v>TC44716 Cali</v>
      </c>
      <c r="X1018" s="4">
        <f t="shared" si="47"/>
        <v>2156933.73</v>
      </c>
    </row>
    <row r="1019" spans="1:24" x14ac:dyDescent="0.35">
      <c r="A1019" t="s">
        <v>1058</v>
      </c>
      <c r="B1019" t="s">
        <v>48</v>
      </c>
      <c r="C1019" t="s">
        <v>27</v>
      </c>
      <c r="D1019" t="s">
        <v>35</v>
      </c>
      <c r="E1019" s="5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  <c r="S1019" t="str">
        <f t="shared" si="45"/>
        <v>Recomendado</v>
      </c>
      <c r="T1019" t="str">
        <f>VLOOKUP(A1019,AssuranceTable,2,FALSE)</f>
        <v>Basic</v>
      </c>
      <c r="U1019" t="str">
        <f t="shared" si="46"/>
        <v>QO65264 Cali</v>
      </c>
      <c r="X1019" s="4">
        <f t="shared" si="47"/>
        <v>501208.37</v>
      </c>
    </row>
    <row r="1020" spans="1:24" x14ac:dyDescent="0.35">
      <c r="A1020" t="s">
        <v>1059</v>
      </c>
      <c r="B1020" t="s">
        <v>48</v>
      </c>
      <c r="C1020" t="s">
        <v>27</v>
      </c>
      <c r="D1020" t="s">
        <v>31</v>
      </c>
      <c r="E1020" s="5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S1020" t="str">
        <f t="shared" si="45"/>
        <v>Recomendado</v>
      </c>
      <c r="T1020" t="str">
        <f>VLOOKUP(A1020,AssuranceTable,2,FALSE)</f>
        <v>Extended</v>
      </c>
      <c r="U1020" t="str">
        <f t="shared" si="46"/>
        <v>EB66698 Cali</v>
      </c>
      <c r="X1020" s="4">
        <f t="shared" si="47"/>
        <v>337185.84</v>
      </c>
    </row>
    <row r="1021" spans="1:24" x14ac:dyDescent="0.35">
      <c r="A1021" t="s">
        <v>1060</v>
      </c>
      <c r="B1021" t="s">
        <v>48</v>
      </c>
      <c r="C1021" t="s">
        <v>27</v>
      </c>
      <c r="D1021" t="s">
        <v>4</v>
      </c>
      <c r="E1021" s="5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  <c r="S1021" t="str">
        <f t="shared" si="45"/>
        <v>Recomendado</v>
      </c>
      <c r="T1021" t="str">
        <f>VLOOKUP(A1021,AssuranceTable,2,FALSE)</f>
        <v>Extended</v>
      </c>
      <c r="U1021" t="str">
        <f t="shared" si="46"/>
        <v>OT52034 Cali</v>
      </c>
      <c r="X1021" s="4">
        <f t="shared" si="47"/>
        <v>386477.68</v>
      </c>
    </row>
    <row r="1022" spans="1:24" x14ac:dyDescent="0.35">
      <c r="A1022" t="s">
        <v>1061</v>
      </c>
      <c r="B1022" t="s">
        <v>33</v>
      </c>
      <c r="C1022" t="s">
        <v>27</v>
      </c>
      <c r="D1022" t="s">
        <v>35</v>
      </c>
      <c r="E1022" s="5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S1022" t="str">
        <f t="shared" si="45"/>
        <v>Recomendado</v>
      </c>
      <c r="T1022" t="str">
        <f>VLOOKUP(A1022,AssuranceTable,2,FALSE)</f>
        <v>Premium</v>
      </c>
      <c r="U1022" t="str">
        <f t="shared" si="46"/>
        <v>CH85444 Oregon</v>
      </c>
      <c r="X1022" s="4">
        <f t="shared" si="47"/>
        <v>414571.19</v>
      </c>
    </row>
    <row r="1023" spans="1:24" x14ac:dyDescent="0.35">
      <c r="A1023" t="s">
        <v>1062</v>
      </c>
      <c r="B1023" t="s">
        <v>48</v>
      </c>
      <c r="C1023" t="s">
        <v>27</v>
      </c>
      <c r="D1023" t="s">
        <v>31</v>
      </c>
      <c r="E1023" s="5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  <c r="S1023" t="str">
        <f t="shared" si="45"/>
        <v>No recomendado</v>
      </c>
      <c r="T1023" t="str">
        <f>VLOOKUP(A1023,AssuranceTable,2,FALSE)</f>
        <v>Basic</v>
      </c>
      <c r="U1023" t="str">
        <f t="shared" si="46"/>
        <v>PU85769 Cali</v>
      </c>
      <c r="X1023" s="4">
        <f t="shared" si="47"/>
        <v>515607.27</v>
      </c>
    </row>
    <row r="1024" spans="1:24" x14ac:dyDescent="0.35">
      <c r="A1024" t="s">
        <v>1063</v>
      </c>
      <c r="B1024" t="s">
        <v>48</v>
      </c>
      <c r="C1024" t="s">
        <v>27</v>
      </c>
      <c r="D1024" t="s">
        <v>35</v>
      </c>
      <c r="E1024" s="5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  <c r="S1024" t="str">
        <f t="shared" si="45"/>
        <v>Recomendado</v>
      </c>
      <c r="T1024" t="str">
        <f>VLOOKUP(A1024,AssuranceTable,2,FALSE)</f>
        <v>Extended</v>
      </c>
      <c r="U1024" t="str">
        <f t="shared" si="46"/>
        <v>UI73201 Cali</v>
      </c>
      <c r="X1024" s="4">
        <f t="shared" si="47"/>
        <v>366737.5</v>
      </c>
    </row>
    <row r="1025" spans="1:24" x14ac:dyDescent="0.35">
      <c r="A1025" t="s">
        <v>1064</v>
      </c>
      <c r="B1025" t="s">
        <v>48</v>
      </c>
      <c r="C1025" t="s">
        <v>21</v>
      </c>
      <c r="D1025" t="s">
        <v>31</v>
      </c>
      <c r="E1025" s="5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  <c r="S1025" t="str">
        <f t="shared" si="45"/>
        <v>No recomendado</v>
      </c>
      <c r="T1025" t="str">
        <f>VLOOKUP(A1025,AssuranceTable,2,FALSE)</f>
        <v>Basic</v>
      </c>
      <c r="U1025" t="str">
        <f t="shared" si="46"/>
        <v>SL50592 Cali</v>
      </c>
      <c r="X1025" s="4">
        <f t="shared" si="47"/>
        <v>783568.35</v>
      </c>
    </row>
    <row r="1026" spans="1:24" x14ac:dyDescent="0.35">
      <c r="A1026" t="s">
        <v>1065</v>
      </c>
      <c r="B1026" t="s">
        <v>5</v>
      </c>
      <c r="C1026" t="s">
        <v>27</v>
      </c>
      <c r="D1026" t="s">
        <v>4</v>
      </c>
      <c r="E1026" s="5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  <c r="S1026" t="str">
        <f t="shared" si="45"/>
        <v>No recomendado</v>
      </c>
      <c r="T1026" t="str">
        <f>VLOOKUP(A1026,AssuranceTable,2,FALSE)</f>
        <v>Premium</v>
      </c>
      <c r="U1026" t="str">
        <f t="shared" si="46"/>
        <v>XP11075 Arizona</v>
      </c>
      <c r="X1026" s="4">
        <f t="shared" si="47"/>
        <v>1456726.84</v>
      </c>
    </row>
    <row r="1027" spans="1:24" x14ac:dyDescent="0.35">
      <c r="A1027" t="s">
        <v>1066</v>
      </c>
      <c r="B1027" t="s">
        <v>33</v>
      </c>
      <c r="C1027" t="s">
        <v>27</v>
      </c>
      <c r="D1027" t="s">
        <v>4</v>
      </c>
      <c r="E1027" s="5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  <c r="S1027" t="str">
        <f t="shared" ref="S1027:S1072" si="48">IF(F1027&gt;3000,"Recomendado","No recomendado")</f>
        <v>Recomendado</v>
      </c>
      <c r="T1027" t="str">
        <f>VLOOKUP(A1027,AssuranceTable,2,FALSE)</f>
        <v>Basic</v>
      </c>
      <c r="U1027" t="str">
        <f t="shared" ref="U1027:U1072" si="49">_xlfn.CONCAT(A1027, " ",B1027)</f>
        <v>SI31236 Oregon</v>
      </c>
      <c r="X1027" s="4">
        <f t="shared" ref="X1027:X1072" si="50">ROUND(E1027,3)</f>
        <v>1017133.9</v>
      </c>
    </row>
    <row r="1028" spans="1:24" x14ac:dyDescent="0.35">
      <c r="A1028" t="s">
        <v>1067</v>
      </c>
      <c r="B1028" t="s">
        <v>23</v>
      </c>
      <c r="C1028" t="s">
        <v>21</v>
      </c>
      <c r="D1028" t="s">
        <v>4</v>
      </c>
      <c r="E1028" s="5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  <c r="S1028" t="str">
        <f t="shared" si="48"/>
        <v>No recomendado</v>
      </c>
      <c r="T1028" t="str">
        <f>VLOOKUP(A1028,AssuranceTable,2,FALSE)</f>
        <v>Premium</v>
      </c>
      <c r="U1028" t="str">
        <f t="shared" si="49"/>
        <v>JN26745 Nevada</v>
      </c>
      <c r="X1028" s="4">
        <f t="shared" si="50"/>
        <v>413577.52</v>
      </c>
    </row>
    <row r="1029" spans="1:24" x14ac:dyDescent="0.35">
      <c r="A1029" t="s">
        <v>1068</v>
      </c>
      <c r="B1029" t="s">
        <v>33</v>
      </c>
      <c r="C1029" t="s">
        <v>21</v>
      </c>
      <c r="D1029" t="s">
        <v>35</v>
      </c>
      <c r="E1029" s="5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  <c r="S1029" t="str">
        <f t="shared" si="48"/>
        <v>Recomendado</v>
      </c>
      <c r="T1029" t="str">
        <f>VLOOKUP(A1029,AssuranceTable,2,FALSE)</f>
        <v>Basic</v>
      </c>
      <c r="U1029" t="str">
        <f t="shared" si="49"/>
        <v>VK48036 Oregon</v>
      </c>
      <c r="X1029" s="4">
        <f t="shared" si="50"/>
        <v>551149.11</v>
      </c>
    </row>
    <row r="1030" spans="1:24" x14ac:dyDescent="0.35">
      <c r="A1030" t="s">
        <v>1069</v>
      </c>
      <c r="B1030" t="s">
        <v>3</v>
      </c>
      <c r="C1030" t="s">
        <v>21</v>
      </c>
      <c r="D1030" t="s">
        <v>31</v>
      </c>
      <c r="E1030" s="5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  <c r="S1030" t="str">
        <f t="shared" si="48"/>
        <v>Recomendado</v>
      </c>
      <c r="T1030" t="str">
        <f>VLOOKUP(A1030,AssuranceTable,2,FALSE)</f>
        <v>Premium</v>
      </c>
      <c r="U1030" t="str">
        <f t="shared" si="49"/>
        <v>JX76668 Washington</v>
      </c>
      <c r="X1030" s="4">
        <f t="shared" si="50"/>
        <v>1131424.3899999999</v>
      </c>
    </row>
    <row r="1031" spans="1:24" x14ac:dyDescent="0.35">
      <c r="A1031" t="s">
        <v>1070</v>
      </c>
      <c r="B1031" t="s">
        <v>48</v>
      </c>
      <c r="C1031" t="s">
        <v>21</v>
      </c>
      <c r="D1031" t="s">
        <v>31</v>
      </c>
      <c r="E1031" s="5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  <c r="S1031" t="str">
        <f t="shared" si="48"/>
        <v>Recomendado</v>
      </c>
      <c r="T1031" t="str">
        <f>VLOOKUP(A1031,AssuranceTable,2,FALSE)</f>
        <v>Basic</v>
      </c>
      <c r="U1031" t="str">
        <f t="shared" si="49"/>
        <v>DS45802 Cali</v>
      </c>
      <c r="X1031" s="4">
        <f t="shared" si="50"/>
        <v>541461.73</v>
      </c>
    </row>
    <row r="1032" spans="1:24" x14ac:dyDescent="0.35">
      <c r="A1032" t="s">
        <v>1071</v>
      </c>
      <c r="B1032" t="s">
        <v>33</v>
      </c>
      <c r="C1032" t="s">
        <v>21</v>
      </c>
      <c r="D1032" t="s">
        <v>31</v>
      </c>
      <c r="E1032" s="5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  <c r="S1032" t="str">
        <f t="shared" si="48"/>
        <v>Recomendado</v>
      </c>
      <c r="T1032" t="str">
        <f>VLOOKUP(A1032,AssuranceTable,2,FALSE)</f>
        <v>Extended</v>
      </c>
      <c r="U1032" t="str">
        <f t="shared" si="49"/>
        <v>OA96690 Oregon</v>
      </c>
      <c r="X1032" s="4">
        <f t="shared" si="50"/>
        <v>742159.35</v>
      </c>
    </row>
    <row r="1033" spans="1:24" x14ac:dyDescent="0.35">
      <c r="A1033" t="s">
        <v>1072</v>
      </c>
      <c r="B1033" t="s">
        <v>48</v>
      </c>
      <c r="C1033" t="s">
        <v>27</v>
      </c>
      <c r="D1033" t="s">
        <v>4</v>
      </c>
      <c r="E1033" s="5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  <c r="S1033" t="str">
        <f t="shared" si="48"/>
        <v>Recomendado</v>
      </c>
      <c r="T1033" t="str">
        <f>VLOOKUP(A1033,AssuranceTable,2,FALSE)</f>
        <v>Basic</v>
      </c>
      <c r="U1033" t="str">
        <f t="shared" si="49"/>
        <v>EM27919 Cali</v>
      </c>
      <c r="X1033" s="4">
        <f t="shared" si="50"/>
        <v>445811.34</v>
      </c>
    </row>
    <row r="1034" spans="1:24" x14ac:dyDescent="0.35">
      <c r="A1034" t="s">
        <v>1073</v>
      </c>
      <c r="B1034" t="s">
        <v>33</v>
      </c>
      <c r="C1034" t="s">
        <v>21</v>
      </c>
      <c r="D1034" t="s">
        <v>35</v>
      </c>
      <c r="E1034" s="5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S1034" t="str">
        <f t="shared" si="48"/>
        <v>Recomendado</v>
      </c>
      <c r="T1034" t="str">
        <f>VLOOKUP(A1034,AssuranceTable,2,FALSE)</f>
        <v>Extended</v>
      </c>
      <c r="U1034" t="str">
        <f t="shared" si="49"/>
        <v>QO41043 Oregon</v>
      </c>
      <c r="X1034" s="4">
        <f t="shared" si="50"/>
        <v>1447612.49</v>
      </c>
    </row>
    <row r="1035" spans="1:24" x14ac:dyDescent="0.35">
      <c r="A1035" t="s">
        <v>1074</v>
      </c>
      <c r="B1035" t="s">
        <v>33</v>
      </c>
      <c r="C1035" t="s">
        <v>21</v>
      </c>
      <c r="D1035" t="s">
        <v>35</v>
      </c>
      <c r="E1035" s="5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  <c r="S1035" t="str">
        <f t="shared" si="48"/>
        <v>No recomendado</v>
      </c>
      <c r="T1035" t="str">
        <f>VLOOKUP(A1035,AssuranceTable,2,FALSE)</f>
        <v>Basic</v>
      </c>
      <c r="U1035" t="str">
        <f t="shared" si="49"/>
        <v>OV50124 Oregon</v>
      </c>
      <c r="X1035" s="4">
        <f t="shared" si="50"/>
        <v>493688.84</v>
      </c>
    </row>
    <row r="1036" spans="1:24" x14ac:dyDescent="0.35">
      <c r="A1036" t="s">
        <v>1075</v>
      </c>
      <c r="B1036" t="s">
        <v>33</v>
      </c>
      <c r="C1036" t="s">
        <v>21</v>
      </c>
      <c r="D1036" t="s">
        <v>4</v>
      </c>
      <c r="E1036" s="5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  <c r="S1036" t="str">
        <f t="shared" si="48"/>
        <v>Recomendado</v>
      </c>
      <c r="T1036" t="str">
        <f>VLOOKUP(A1036,AssuranceTable,2,FALSE)</f>
        <v>Basic</v>
      </c>
      <c r="U1036" t="str">
        <f t="shared" si="49"/>
        <v>PR31642 Oregon</v>
      </c>
      <c r="X1036" s="4">
        <f t="shared" si="50"/>
        <v>452527.65</v>
      </c>
    </row>
    <row r="1037" spans="1:24" x14ac:dyDescent="0.35">
      <c r="A1037" t="s">
        <v>1076</v>
      </c>
      <c r="B1037" t="s">
        <v>3</v>
      </c>
      <c r="C1037" t="s">
        <v>21</v>
      </c>
      <c r="D1037" t="s">
        <v>2</v>
      </c>
      <c r="E1037" s="5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  <c r="S1037" t="str">
        <f t="shared" si="48"/>
        <v>Recomendado</v>
      </c>
      <c r="T1037" t="str">
        <f>VLOOKUP(A1037,AssuranceTable,2,FALSE)</f>
        <v>Basic</v>
      </c>
      <c r="U1037" t="str">
        <f t="shared" si="49"/>
        <v>BU41599 Washington</v>
      </c>
      <c r="X1037" s="4">
        <f t="shared" si="50"/>
        <v>558176.13</v>
      </c>
    </row>
    <row r="1038" spans="1:24" x14ac:dyDescent="0.35">
      <c r="A1038" t="s">
        <v>1077</v>
      </c>
      <c r="B1038" t="s">
        <v>48</v>
      </c>
      <c r="C1038" t="s">
        <v>21</v>
      </c>
      <c r="D1038" t="s">
        <v>4</v>
      </c>
      <c r="E1038" s="5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  <c r="S1038" t="str">
        <f t="shared" si="48"/>
        <v>Recomendado</v>
      </c>
      <c r="T1038" t="str">
        <f>VLOOKUP(A1038,AssuranceTable,2,FALSE)</f>
        <v>Basic</v>
      </c>
      <c r="U1038" t="str">
        <f t="shared" si="49"/>
        <v>TK30357 Cali</v>
      </c>
      <c r="X1038" s="4">
        <f t="shared" si="50"/>
        <v>1413434.74</v>
      </c>
    </row>
    <row r="1039" spans="1:24" x14ac:dyDescent="0.35">
      <c r="A1039" t="s">
        <v>1078</v>
      </c>
      <c r="B1039" t="s">
        <v>23</v>
      </c>
      <c r="C1039" t="s">
        <v>21</v>
      </c>
      <c r="D1039" t="s">
        <v>31</v>
      </c>
      <c r="E1039" s="5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  <c r="S1039" t="str">
        <f t="shared" si="48"/>
        <v>Recomendado</v>
      </c>
      <c r="T1039" t="str">
        <f>VLOOKUP(A1039,AssuranceTable,2,FALSE)</f>
        <v>Basic</v>
      </c>
      <c r="U1039" t="str">
        <f t="shared" si="49"/>
        <v>NF31087 Nevada</v>
      </c>
      <c r="X1039" s="4">
        <f t="shared" si="50"/>
        <v>2472318.31</v>
      </c>
    </row>
    <row r="1040" spans="1:24" x14ac:dyDescent="0.35">
      <c r="A1040" t="s">
        <v>1079</v>
      </c>
      <c r="B1040" t="s">
        <v>48</v>
      </c>
      <c r="C1040" t="s">
        <v>21</v>
      </c>
      <c r="D1040" t="s">
        <v>4</v>
      </c>
      <c r="E1040" s="5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  <c r="S1040" t="str">
        <f t="shared" si="48"/>
        <v>No recomendado</v>
      </c>
      <c r="T1040" t="str">
        <f>VLOOKUP(A1040,AssuranceTable,2,FALSE)</f>
        <v>Extended</v>
      </c>
      <c r="U1040" t="str">
        <f t="shared" si="49"/>
        <v>NH16984 Cali</v>
      </c>
      <c r="X1040" s="4">
        <f t="shared" si="50"/>
        <v>283806.78000000003</v>
      </c>
    </row>
    <row r="1041" spans="1:24" x14ac:dyDescent="0.35">
      <c r="A1041" t="s">
        <v>1080</v>
      </c>
      <c r="B1041" t="s">
        <v>48</v>
      </c>
      <c r="C1041" t="s">
        <v>21</v>
      </c>
      <c r="D1041" t="s">
        <v>31</v>
      </c>
      <c r="E1041" s="5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  <c r="S1041" t="str">
        <f t="shared" si="48"/>
        <v>Recomendado</v>
      </c>
      <c r="T1041" t="str">
        <f>VLOOKUP(A1041,AssuranceTable,2,FALSE)</f>
        <v>Extended</v>
      </c>
      <c r="U1041" t="str">
        <f t="shared" si="49"/>
        <v>OS75493 Cali</v>
      </c>
      <c r="X1041" s="4">
        <f t="shared" si="50"/>
        <v>384848.36</v>
      </c>
    </row>
    <row r="1042" spans="1:24" x14ac:dyDescent="0.35">
      <c r="A1042" t="s">
        <v>1081</v>
      </c>
      <c r="B1042" t="s">
        <v>33</v>
      </c>
      <c r="C1042" t="s">
        <v>27</v>
      </c>
      <c r="D1042" t="s">
        <v>4</v>
      </c>
      <c r="E1042" s="5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  <c r="S1042" t="str">
        <f t="shared" si="48"/>
        <v>No recomendado</v>
      </c>
      <c r="T1042" t="str">
        <f>VLOOKUP(A1042,AssuranceTable,2,FALSE)</f>
        <v>Basic</v>
      </c>
      <c r="U1042" t="str">
        <f t="shared" si="49"/>
        <v>VT63298 Oregon</v>
      </c>
      <c r="X1042" s="4">
        <f t="shared" si="50"/>
        <v>1950447.39</v>
      </c>
    </row>
    <row r="1043" spans="1:24" x14ac:dyDescent="0.35">
      <c r="A1043" t="s">
        <v>1082</v>
      </c>
      <c r="B1043" t="s">
        <v>3</v>
      </c>
      <c r="C1043" t="s">
        <v>21</v>
      </c>
      <c r="D1043" t="s">
        <v>53</v>
      </c>
      <c r="E1043" s="5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S1043" t="str">
        <f t="shared" si="48"/>
        <v>Recomendado</v>
      </c>
      <c r="T1043" t="str">
        <f>VLOOKUP(A1043,AssuranceTable,2,FALSE)</f>
        <v>Basic</v>
      </c>
      <c r="U1043" t="str">
        <f t="shared" si="49"/>
        <v>QS75550 Washington</v>
      </c>
      <c r="X1043" s="4">
        <f t="shared" si="50"/>
        <v>248004.59</v>
      </c>
    </row>
    <row r="1044" spans="1:24" x14ac:dyDescent="0.35">
      <c r="A1044" t="s">
        <v>1083</v>
      </c>
      <c r="B1044" t="s">
        <v>5</v>
      </c>
      <c r="C1044" t="s">
        <v>21</v>
      </c>
      <c r="D1044" t="s">
        <v>31</v>
      </c>
      <c r="E1044" s="5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  <c r="S1044" t="str">
        <f t="shared" si="48"/>
        <v>Recomendado</v>
      </c>
      <c r="T1044" t="str">
        <f>VLOOKUP(A1044,AssuranceTable,2,FALSE)</f>
        <v>Premium</v>
      </c>
      <c r="U1044" t="str">
        <f t="shared" si="49"/>
        <v>SZ16483 Arizona</v>
      </c>
      <c r="X1044" s="4">
        <f t="shared" si="50"/>
        <v>436137.29</v>
      </c>
    </row>
    <row r="1045" spans="1:24" x14ac:dyDescent="0.35">
      <c r="A1045" t="s">
        <v>1084</v>
      </c>
      <c r="B1045" t="s">
        <v>5</v>
      </c>
      <c r="C1045" t="s">
        <v>21</v>
      </c>
      <c r="D1045" t="s">
        <v>31</v>
      </c>
      <c r="E1045" s="5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  <c r="S1045" t="str">
        <f t="shared" si="48"/>
        <v>Recomendado</v>
      </c>
      <c r="T1045" t="str">
        <f>VLOOKUP(A1045,AssuranceTable,2,FALSE)</f>
        <v>Basic</v>
      </c>
      <c r="U1045" t="str">
        <f t="shared" si="49"/>
        <v>VM92311 Arizona</v>
      </c>
      <c r="X1045" s="4">
        <f t="shared" si="50"/>
        <v>252907.75</v>
      </c>
    </row>
    <row r="1046" spans="1:24" x14ac:dyDescent="0.35">
      <c r="A1046" t="s">
        <v>1085</v>
      </c>
      <c r="B1046" t="s">
        <v>5</v>
      </c>
      <c r="C1046" t="s">
        <v>27</v>
      </c>
      <c r="D1046" t="s">
        <v>35</v>
      </c>
      <c r="E1046" s="5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  <c r="S1046" t="str">
        <f t="shared" si="48"/>
        <v>No recomendado</v>
      </c>
      <c r="T1046" t="str">
        <f>VLOOKUP(A1046,AssuranceTable,2,FALSE)</f>
        <v>Basic</v>
      </c>
      <c r="U1046" t="str">
        <f t="shared" si="49"/>
        <v>NJ46849 Arizona</v>
      </c>
      <c r="X1046" s="4">
        <f t="shared" si="50"/>
        <v>250444.48</v>
      </c>
    </row>
    <row r="1047" spans="1:24" x14ac:dyDescent="0.35">
      <c r="A1047" t="s">
        <v>1086</v>
      </c>
      <c r="B1047" t="s">
        <v>33</v>
      </c>
      <c r="C1047" t="s">
        <v>21</v>
      </c>
      <c r="D1047" t="s">
        <v>4</v>
      </c>
      <c r="E1047" s="5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S1047" t="str">
        <f t="shared" si="48"/>
        <v>Recomendado</v>
      </c>
      <c r="T1047" t="str">
        <f>VLOOKUP(A1047,AssuranceTable,2,FALSE)</f>
        <v>Basic</v>
      </c>
      <c r="U1047" t="str">
        <f t="shared" si="49"/>
        <v>WZ31900 Oregon</v>
      </c>
      <c r="X1047" s="4">
        <f t="shared" si="50"/>
        <v>864970.06</v>
      </c>
    </row>
    <row r="1048" spans="1:24" x14ac:dyDescent="0.35">
      <c r="A1048" t="s">
        <v>1087</v>
      </c>
      <c r="B1048" t="s">
        <v>33</v>
      </c>
      <c r="C1048" t="s">
        <v>21</v>
      </c>
      <c r="D1048" t="s">
        <v>35</v>
      </c>
      <c r="E1048" s="5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  <c r="S1048" t="str">
        <f t="shared" si="48"/>
        <v>No recomendado</v>
      </c>
      <c r="T1048" t="str">
        <f>VLOOKUP(A1048,AssuranceTable,2,FALSE)</f>
        <v>Premium</v>
      </c>
      <c r="U1048" t="str">
        <f t="shared" si="49"/>
        <v>RG30482 Oregon</v>
      </c>
      <c r="X1048" s="4">
        <f t="shared" si="50"/>
        <v>1366835.53</v>
      </c>
    </row>
    <row r="1049" spans="1:24" x14ac:dyDescent="0.35">
      <c r="A1049" t="s">
        <v>1088</v>
      </c>
      <c r="B1049" t="s">
        <v>33</v>
      </c>
      <c r="C1049" t="s">
        <v>21</v>
      </c>
      <c r="D1049" t="s">
        <v>31</v>
      </c>
      <c r="E1049" s="5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  <c r="S1049" t="str">
        <f t="shared" si="48"/>
        <v>Recomendado</v>
      </c>
      <c r="T1049" t="str">
        <f>VLOOKUP(A1049,AssuranceTable,2,FALSE)</f>
        <v>Basic</v>
      </c>
      <c r="U1049" t="str">
        <f t="shared" si="49"/>
        <v>ZM86949 Oregon</v>
      </c>
      <c r="X1049" s="4">
        <f t="shared" si="50"/>
        <v>2063508.46</v>
      </c>
    </row>
    <row r="1050" spans="1:24" x14ac:dyDescent="0.35">
      <c r="A1050" t="s">
        <v>1089</v>
      </c>
      <c r="B1050" t="s">
        <v>5</v>
      </c>
      <c r="C1050" t="s">
        <v>21</v>
      </c>
      <c r="D1050" t="s">
        <v>35</v>
      </c>
      <c r="E1050" s="5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  <c r="S1050" t="str">
        <f t="shared" si="48"/>
        <v>No recomendado</v>
      </c>
      <c r="T1050" t="str">
        <f>VLOOKUP(A1050,AssuranceTable,2,FALSE)</f>
        <v>Basic</v>
      </c>
      <c r="U1050" t="str">
        <f t="shared" si="49"/>
        <v>QQ39596 Arizona</v>
      </c>
      <c r="X1050" s="4">
        <f t="shared" si="50"/>
        <v>251753.36</v>
      </c>
    </row>
    <row r="1051" spans="1:24" x14ac:dyDescent="0.35">
      <c r="A1051" t="s">
        <v>1090</v>
      </c>
      <c r="B1051" t="s">
        <v>48</v>
      </c>
      <c r="C1051" t="s">
        <v>21</v>
      </c>
      <c r="D1051" t="s">
        <v>31</v>
      </c>
      <c r="E1051" s="5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  <c r="S1051" t="str">
        <f t="shared" si="48"/>
        <v>Recomendado</v>
      </c>
      <c r="T1051" t="str">
        <f>VLOOKUP(A1051,AssuranceTable,2,FALSE)</f>
        <v>Basic</v>
      </c>
      <c r="U1051" t="str">
        <f t="shared" si="49"/>
        <v>FH51383 Cali</v>
      </c>
      <c r="X1051" s="4">
        <f t="shared" si="50"/>
        <v>532667.77</v>
      </c>
    </row>
    <row r="1052" spans="1:24" x14ac:dyDescent="0.35">
      <c r="A1052" t="s">
        <v>1091</v>
      </c>
      <c r="B1052" t="s">
        <v>5</v>
      </c>
      <c r="C1052" t="s">
        <v>27</v>
      </c>
      <c r="D1052" t="s">
        <v>31</v>
      </c>
      <c r="E1052" s="5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  <c r="S1052" t="str">
        <f t="shared" si="48"/>
        <v>Recomendado</v>
      </c>
      <c r="T1052" t="str">
        <f>VLOOKUP(A1052,AssuranceTable,2,FALSE)</f>
        <v>Basic</v>
      </c>
      <c r="U1052" t="str">
        <f t="shared" si="49"/>
        <v>BJ53923 Arizona</v>
      </c>
      <c r="X1052" s="4">
        <f t="shared" si="50"/>
        <v>260027.21</v>
      </c>
    </row>
    <row r="1053" spans="1:24" x14ac:dyDescent="0.35">
      <c r="A1053" t="s">
        <v>1092</v>
      </c>
      <c r="B1053" t="s">
        <v>33</v>
      </c>
      <c r="C1053" t="s">
        <v>21</v>
      </c>
      <c r="D1053" t="s">
        <v>4</v>
      </c>
      <c r="E1053" s="5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  <c r="S1053" t="str">
        <f t="shared" si="48"/>
        <v>Recomendado</v>
      </c>
      <c r="T1053" t="str">
        <f>VLOOKUP(A1053,AssuranceTable,2,FALSE)</f>
        <v>Basic</v>
      </c>
      <c r="U1053" t="str">
        <f t="shared" si="49"/>
        <v>CZ96653 Oregon</v>
      </c>
      <c r="X1053" s="4">
        <f t="shared" si="50"/>
        <v>853479.28</v>
      </c>
    </row>
    <row r="1054" spans="1:24" x14ac:dyDescent="0.35">
      <c r="A1054" t="s">
        <v>1093</v>
      </c>
      <c r="B1054" t="s">
        <v>33</v>
      </c>
      <c r="C1054" t="s">
        <v>27</v>
      </c>
      <c r="D1054" t="s">
        <v>31</v>
      </c>
      <c r="E1054" s="5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S1054" t="str">
        <f t="shared" si="48"/>
        <v>Recomendado</v>
      </c>
      <c r="T1054" t="str">
        <f>VLOOKUP(A1054,AssuranceTable,2,FALSE)</f>
        <v>Basic</v>
      </c>
      <c r="U1054" t="str">
        <f t="shared" si="49"/>
        <v>FB23788 Oregon</v>
      </c>
      <c r="X1054" s="4">
        <f t="shared" si="50"/>
        <v>882883.5</v>
      </c>
    </row>
    <row r="1055" spans="1:24" x14ac:dyDescent="0.35">
      <c r="A1055" t="s">
        <v>1094</v>
      </c>
      <c r="B1055" t="s">
        <v>23</v>
      </c>
      <c r="C1055" t="s">
        <v>21</v>
      </c>
      <c r="D1055" t="s">
        <v>4</v>
      </c>
      <c r="E1055" s="5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  <c r="S1055" t="str">
        <f t="shared" si="48"/>
        <v>Recomendado</v>
      </c>
      <c r="T1055" t="str">
        <f>VLOOKUP(A1055,AssuranceTable,2,FALSE)</f>
        <v>Basic</v>
      </c>
      <c r="U1055" t="str">
        <f t="shared" si="49"/>
        <v>NT43594 Nevada</v>
      </c>
      <c r="X1055" s="4">
        <f t="shared" si="50"/>
        <v>224844.96</v>
      </c>
    </row>
    <row r="1056" spans="1:24" x14ac:dyDescent="0.35">
      <c r="A1056" t="s">
        <v>1095</v>
      </c>
      <c r="B1056" t="s">
        <v>3</v>
      </c>
      <c r="C1056" t="s">
        <v>21</v>
      </c>
      <c r="D1056" t="s">
        <v>4</v>
      </c>
      <c r="E1056" s="5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  <c r="S1056" t="str">
        <f t="shared" si="48"/>
        <v>Recomendado</v>
      </c>
      <c r="T1056" t="str">
        <f>VLOOKUP(A1056,AssuranceTable,2,FALSE)</f>
        <v>Basic</v>
      </c>
      <c r="U1056" t="str">
        <f t="shared" si="49"/>
        <v>RJ85627 Washington</v>
      </c>
      <c r="X1056" s="4">
        <f t="shared" si="50"/>
        <v>1230276.24</v>
      </c>
    </row>
    <row r="1057" spans="1:24" x14ac:dyDescent="0.35">
      <c r="A1057" t="s">
        <v>1096</v>
      </c>
      <c r="B1057" t="s">
        <v>33</v>
      </c>
      <c r="C1057" t="s">
        <v>27</v>
      </c>
      <c r="D1057" t="s">
        <v>31</v>
      </c>
      <c r="E1057" s="5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  <c r="S1057" t="str">
        <f t="shared" si="48"/>
        <v>No recomendado</v>
      </c>
      <c r="T1057" t="str">
        <f>VLOOKUP(A1057,AssuranceTable,2,FALSE)</f>
        <v>Basic</v>
      </c>
      <c r="U1057" t="str">
        <f t="shared" si="49"/>
        <v>KJ86296 Oregon</v>
      </c>
      <c r="X1057" s="4">
        <f t="shared" si="50"/>
        <v>455659.3</v>
      </c>
    </row>
    <row r="1058" spans="1:24" x14ac:dyDescent="0.35">
      <c r="A1058" t="s">
        <v>1097</v>
      </c>
      <c r="B1058" t="s">
        <v>33</v>
      </c>
      <c r="C1058" t="s">
        <v>21</v>
      </c>
      <c r="D1058" t="s">
        <v>4</v>
      </c>
      <c r="E1058" s="5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  <c r="S1058" t="str">
        <f t="shared" si="48"/>
        <v>Recomendado</v>
      </c>
      <c r="T1058" t="str">
        <f>VLOOKUP(A1058,AssuranceTable,2,FALSE)</f>
        <v>Basic</v>
      </c>
      <c r="U1058" t="str">
        <f t="shared" si="49"/>
        <v>PI47776 Oregon</v>
      </c>
      <c r="X1058" s="4">
        <f t="shared" si="50"/>
        <v>253070.51</v>
      </c>
    </row>
    <row r="1059" spans="1:24" x14ac:dyDescent="0.35">
      <c r="A1059" t="s">
        <v>1098</v>
      </c>
      <c r="B1059" t="s">
        <v>48</v>
      </c>
      <c r="C1059" t="s">
        <v>27</v>
      </c>
      <c r="D1059" t="s">
        <v>35</v>
      </c>
      <c r="E1059" s="5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  <c r="S1059" t="str">
        <f t="shared" si="48"/>
        <v>Recomendado</v>
      </c>
      <c r="T1059" t="str">
        <f>VLOOKUP(A1059,AssuranceTable,2,FALSE)</f>
        <v>Basic</v>
      </c>
      <c r="U1059" t="str">
        <f t="shared" si="49"/>
        <v>MD73554 Cali</v>
      </c>
      <c r="X1059" s="4">
        <f t="shared" si="50"/>
        <v>525198.4</v>
      </c>
    </row>
    <row r="1060" spans="1:24" x14ac:dyDescent="0.35">
      <c r="A1060" t="s">
        <v>1099</v>
      </c>
      <c r="B1060" t="s">
        <v>33</v>
      </c>
      <c r="C1060" t="s">
        <v>27</v>
      </c>
      <c r="D1060" t="s">
        <v>31</v>
      </c>
      <c r="E1060" s="5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  <c r="S1060" t="str">
        <f t="shared" si="48"/>
        <v>No recomendado</v>
      </c>
      <c r="T1060" t="str">
        <f>VLOOKUP(A1060,AssuranceTable,2,FALSE)</f>
        <v>Basic</v>
      </c>
      <c r="U1060" t="str">
        <f t="shared" si="49"/>
        <v>UX92071 Oregon</v>
      </c>
      <c r="X1060" s="4">
        <f t="shared" si="50"/>
        <v>674311.93</v>
      </c>
    </row>
    <row r="1061" spans="1:24" x14ac:dyDescent="0.35">
      <c r="A1061" t="s">
        <v>1100</v>
      </c>
      <c r="B1061" t="s">
        <v>33</v>
      </c>
      <c r="C1061" t="s">
        <v>27</v>
      </c>
      <c r="D1061" t="s">
        <v>35</v>
      </c>
      <c r="E1061" s="5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S1061" t="str">
        <f t="shared" si="48"/>
        <v>Recomendado</v>
      </c>
      <c r="T1061" t="str">
        <f>VLOOKUP(A1061,AssuranceTable,2,FALSE)</f>
        <v>Basic</v>
      </c>
      <c r="U1061" t="str">
        <f t="shared" si="49"/>
        <v>YG44474 Oregon</v>
      </c>
      <c r="X1061" s="4">
        <f t="shared" si="50"/>
        <v>1401472.13</v>
      </c>
    </row>
    <row r="1062" spans="1:24" x14ac:dyDescent="0.35">
      <c r="A1062" t="s">
        <v>1101</v>
      </c>
      <c r="B1062" t="s">
        <v>33</v>
      </c>
      <c r="C1062" t="s">
        <v>27</v>
      </c>
      <c r="D1062" t="s">
        <v>35</v>
      </c>
      <c r="E1062" s="5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  <c r="S1062" t="str">
        <f t="shared" si="48"/>
        <v>Recomendado</v>
      </c>
      <c r="T1062" t="str">
        <f>VLOOKUP(A1062,AssuranceTable,2,FALSE)</f>
        <v>Premium</v>
      </c>
      <c r="U1062" t="str">
        <f t="shared" si="49"/>
        <v>UH45301 Oregon</v>
      </c>
      <c r="X1062" s="4">
        <f t="shared" si="50"/>
        <v>943891.56</v>
      </c>
    </row>
    <row r="1063" spans="1:24" x14ac:dyDescent="0.35">
      <c r="A1063" t="s">
        <v>1102</v>
      </c>
      <c r="B1063" t="s">
        <v>48</v>
      </c>
      <c r="C1063" t="s">
        <v>21</v>
      </c>
      <c r="D1063" t="s">
        <v>4</v>
      </c>
      <c r="E1063" s="5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  <c r="S1063" t="str">
        <f t="shared" si="48"/>
        <v>No recomendado</v>
      </c>
      <c r="T1063" t="str">
        <f>VLOOKUP(A1063,AssuranceTable,2,FALSE)</f>
        <v>Extended</v>
      </c>
      <c r="U1063" t="str">
        <f t="shared" si="49"/>
        <v>RY92647 Cali</v>
      </c>
      <c r="X1063" s="4">
        <f t="shared" si="50"/>
        <v>1050677.17</v>
      </c>
    </row>
    <row r="1064" spans="1:24" x14ac:dyDescent="0.35">
      <c r="A1064" t="s">
        <v>1103</v>
      </c>
      <c r="B1064" t="s">
        <v>5</v>
      </c>
      <c r="C1064" t="s">
        <v>21</v>
      </c>
      <c r="D1064" t="s">
        <v>31</v>
      </c>
      <c r="E1064" s="5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  <c r="S1064" t="str">
        <f t="shared" si="48"/>
        <v>Recomendado</v>
      </c>
      <c r="T1064" t="str">
        <f>VLOOKUP(A1064,AssuranceTable,2,FALSE)</f>
        <v>Premium</v>
      </c>
      <c r="U1064" t="str">
        <f t="shared" si="49"/>
        <v>IK12620 Arizona</v>
      </c>
      <c r="X1064" s="4">
        <f t="shared" si="50"/>
        <v>421391.86</v>
      </c>
    </row>
    <row r="1065" spans="1:24" x14ac:dyDescent="0.35">
      <c r="A1065" t="s">
        <v>1104</v>
      </c>
      <c r="B1065" t="s">
        <v>48</v>
      </c>
      <c r="C1065" t="s">
        <v>27</v>
      </c>
      <c r="D1065" t="s">
        <v>35</v>
      </c>
      <c r="E1065" s="5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  <c r="S1065" t="str">
        <f t="shared" si="48"/>
        <v>Recomendado</v>
      </c>
      <c r="T1065" t="str">
        <f>VLOOKUP(A1065,AssuranceTable,2,FALSE)</f>
        <v>Basic</v>
      </c>
      <c r="U1065" t="str">
        <f t="shared" si="49"/>
        <v>GQ66762 Cali</v>
      </c>
      <c r="X1065" s="4">
        <f t="shared" si="50"/>
        <v>477368.64</v>
      </c>
    </row>
    <row r="1066" spans="1:24" x14ac:dyDescent="0.35">
      <c r="A1066" t="s">
        <v>1105</v>
      </c>
      <c r="B1066" t="s">
        <v>3</v>
      </c>
      <c r="C1066" t="s">
        <v>21</v>
      </c>
      <c r="D1066" t="s">
        <v>4</v>
      </c>
      <c r="E1066" s="5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  <c r="S1066" t="str">
        <f t="shared" si="48"/>
        <v>Recomendado</v>
      </c>
      <c r="T1066" t="str">
        <f>VLOOKUP(A1066,AssuranceTable,2,FALSE)</f>
        <v>Basic</v>
      </c>
      <c r="U1066" t="str">
        <f t="shared" si="49"/>
        <v>YT69858 Washington</v>
      </c>
      <c r="X1066" s="4">
        <f t="shared" si="50"/>
        <v>544142.01</v>
      </c>
    </row>
    <row r="1067" spans="1:24" x14ac:dyDescent="0.35">
      <c r="A1067" t="s">
        <v>1106</v>
      </c>
      <c r="B1067" t="s">
        <v>48</v>
      </c>
      <c r="C1067" t="s">
        <v>27</v>
      </c>
      <c r="D1067" t="s">
        <v>4</v>
      </c>
      <c r="E1067" s="5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  <c r="S1067" t="str">
        <f t="shared" si="48"/>
        <v>Recomendado</v>
      </c>
      <c r="T1067" t="str">
        <f>VLOOKUP(A1067,AssuranceTable,2,FALSE)</f>
        <v>Basic</v>
      </c>
      <c r="U1067" t="str">
        <f t="shared" si="49"/>
        <v>XD85577 Cali</v>
      </c>
      <c r="X1067" s="4">
        <f t="shared" si="50"/>
        <v>284226.69</v>
      </c>
    </row>
    <row r="1068" spans="1:24" x14ac:dyDescent="0.35">
      <c r="A1068" t="s">
        <v>1107</v>
      </c>
      <c r="B1068" t="s">
        <v>33</v>
      </c>
      <c r="C1068" t="s">
        <v>27</v>
      </c>
      <c r="D1068" t="s">
        <v>2</v>
      </c>
      <c r="E1068" s="5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  <c r="S1068" t="str">
        <f t="shared" si="48"/>
        <v>Recomendado</v>
      </c>
      <c r="T1068" t="str">
        <f>VLOOKUP(A1068,AssuranceTable,2,FALSE)</f>
        <v>Extended</v>
      </c>
      <c r="U1068" t="str">
        <f t="shared" si="49"/>
        <v>TM65736 Oregon</v>
      </c>
      <c r="X1068" s="4">
        <f t="shared" si="50"/>
        <v>305955.03000000003</v>
      </c>
    </row>
    <row r="1069" spans="1:24" x14ac:dyDescent="0.35">
      <c r="A1069" t="s">
        <v>1108</v>
      </c>
      <c r="B1069" t="s">
        <v>48</v>
      </c>
      <c r="C1069" t="s">
        <v>21</v>
      </c>
      <c r="D1069" t="s">
        <v>31</v>
      </c>
      <c r="E1069" s="5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  <c r="S1069" t="str">
        <f t="shared" si="48"/>
        <v>Recomendado</v>
      </c>
      <c r="T1069" t="str">
        <f>VLOOKUP(A1069,AssuranceTable,2,FALSE)</f>
        <v>Basic</v>
      </c>
      <c r="U1069" t="str">
        <f t="shared" si="49"/>
        <v>VJ51327 Cali</v>
      </c>
      <c r="X1069" s="4">
        <f t="shared" si="50"/>
        <v>2031499.76</v>
      </c>
    </row>
    <row r="1070" spans="1:24" x14ac:dyDescent="0.35">
      <c r="A1070" t="s">
        <v>1109</v>
      </c>
      <c r="B1070" t="s">
        <v>5</v>
      </c>
      <c r="C1070" t="s">
        <v>21</v>
      </c>
      <c r="D1070" t="s">
        <v>4</v>
      </c>
      <c r="E1070" s="5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  <c r="S1070" t="str">
        <f t="shared" si="48"/>
        <v>Recomendado</v>
      </c>
      <c r="T1070" t="str">
        <f>VLOOKUP(A1070,AssuranceTable,2,FALSE)</f>
        <v>Extended</v>
      </c>
      <c r="U1070" t="str">
        <f t="shared" si="49"/>
        <v>GS98873 Arizona</v>
      </c>
      <c r="X1070" s="4">
        <f t="shared" si="50"/>
        <v>323912.46999999997</v>
      </c>
    </row>
    <row r="1071" spans="1:24" x14ac:dyDescent="0.35">
      <c r="A1071" t="s">
        <v>1110</v>
      </c>
      <c r="B1071" t="s">
        <v>26</v>
      </c>
      <c r="C1071" t="s">
        <v>21</v>
      </c>
      <c r="D1071" t="s">
        <v>2</v>
      </c>
      <c r="E1071" s="5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S1071" t="str">
        <f t="shared" si="48"/>
        <v>Recomendado</v>
      </c>
      <c r="T1071" t="str">
        <f>VLOOKUP(A1071,AssuranceTable,2,FALSE)</f>
        <v>Basic</v>
      </c>
      <c r="U1071" t="str">
        <f t="shared" si="49"/>
        <v>CW49887 California</v>
      </c>
      <c r="X1071" s="4">
        <f t="shared" si="50"/>
        <v>462680.11</v>
      </c>
    </row>
    <row r="1072" spans="1:24" x14ac:dyDescent="0.35">
      <c r="A1072" t="s">
        <v>1111</v>
      </c>
      <c r="B1072" t="s">
        <v>26</v>
      </c>
      <c r="C1072" t="s">
        <v>21</v>
      </c>
      <c r="D1072" t="s">
        <v>35</v>
      </c>
      <c r="E1072" s="5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  <c r="S1072" t="str">
        <f t="shared" si="48"/>
        <v>Recomendado</v>
      </c>
      <c r="T1072" t="str">
        <f>VLOOKUP(A1072,AssuranceTable,2,FALSE)</f>
        <v>Premium</v>
      </c>
      <c r="U1072" t="str">
        <f t="shared" si="49"/>
        <v>MY31220 California</v>
      </c>
      <c r="X1072" s="4">
        <f t="shared" si="50"/>
        <v>899704.02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L1072"/>
  <sheetViews>
    <sheetView topLeftCell="A1048" zoomScale="80" zoomScaleNormal="80" workbookViewId="0">
      <selection activeCell="H20" sqref="H20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2.81640625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E17-ECAD-4F30-866D-4686FE433CAF}">
  <dimension ref="A1:L1072"/>
  <sheetViews>
    <sheetView zoomScale="80" zoomScaleNormal="80" workbookViewId="0">
      <selection activeCell="G10" sqref="G10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81640625" bestFit="1" customWidth="1"/>
    <col min="4" max="4" width="19.453125" bestFit="1" customWidth="1"/>
    <col min="5" max="5" width="22.81640625" bestFit="1" customWidth="1"/>
    <col min="6" max="6" width="7.453125" bestFit="1" customWidth="1"/>
    <col min="7" max="7" width="21.54296875" bestFit="1" customWidth="1"/>
    <col min="8" max="8" width="26.1796875" bestFit="1" customWidth="1"/>
    <col min="9" max="9" width="14.453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1.45312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>
      <selection activeCell="A9" sqref="A9"/>
    </sheetView>
  </sheetViews>
  <sheetFormatPr defaultColWidth="8.81640625" defaultRowHeight="14.5" x14ac:dyDescent="0.35"/>
  <cols>
    <col min="1" max="16384" width="8.81640625" style="3"/>
  </cols>
  <sheetData>
    <row r="1" spans="1:4" x14ac:dyDescent="0.35">
      <c r="A1" s="3" t="s">
        <v>6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20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16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L1072"/>
  <sheetViews>
    <sheetView zoomScale="80" zoomScaleNormal="80" workbookViewId="0">
      <selection activeCell="N20" sqref="N20"/>
    </sheetView>
  </sheetViews>
  <sheetFormatPr defaultRowHeight="14.5" x14ac:dyDescent="0.35"/>
  <cols>
    <col min="1" max="1" width="9.54296875" bestFit="1" customWidth="1"/>
    <col min="2" max="2" width="10.54296875" bestFit="1" customWidth="1"/>
    <col min="3" max="3" width="7.81640625" bestFit="1" customWidth="1"/>
    <col min="4" max="4" width="18.453125" bestFit="1" customWidth="1"/>
    <col min="5" max="5" width="21.453125" bestFit="1" customWidth="1"/>
    <col min="6" max="6" width="7.17968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54296875" bestFit="1" customWidth="1"/>
    <col min="11" max="11" width="17.453125" bestFit="1" customWidth="1"/>
    <col min="12" max="12" width="10.54296875" bestFit="1" customWidth="1"/>
  </cols>
  <sheetData>
    <row r="1" spans="1:12" x14ac:dyDescent="0.35">
      <c r="A1" t="s">
        <v>6</v>
      </c>
      <c r="B1" t="s">
        <v>1</v>
      </c>
      <c r="C1" t="s">
        <v>7</v>
      </c>
      <c r="D1" t="s">
        <v>0</v>
      </c>
      <c r="E1" s="1" t="s">
        <v>8</v>
      </c>
      <c r="F1" t="s">
        <v>9</v>
      </c>
      <c r="G1" t="s">
        <v>10</v>
      </c>
      <c r="H1" s="2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5">
      <c r="A2" t="s">
        <v>16</v>
      </c>
      <c r="B2" t="s">
        <v>3</v>
      </c>
      <c r="C2" t="s">
        <v>17</v>
      </c>
      <c r="D2" t="s">
        <v>2</v>
      </c>
      <c r="E2" s="1"/>
      <c r="F2">
        <v>0</v>
      </c>
      <c r="G2">
        <v>1000</v>
      </c>
      <c r="H2" s="2">
        <v>0</v>
      </c>
      <c r="I2" t="s">
        <v>18</v>
      </c>
      <c r="J2" t="s">
        <v>19</v>
      </c>
      <c r="K2">
        <v>2.7049340000000002</v>
      </c>
      <c r="L2" s="2">
        <v>35002.704934000001</v>
      </c>
    </row>
    <row r="3" spans="1:12" x14ac:dyDescent="0.35">
      <c r="A3" t="s">
        <v>20</v>
      </c>
      <c r="B3" t="s">
        <v>5</v>
      </c>
      <c r="C3" t="s">
        <v>21</v>
      </c>
      <c r="D3" t="s">
        <v>4</v>
      </c>
      <c r="E3" s="1">
        <v>697953.59</v>
      </c>
      <c r="F3">
        <v>0</v>
      </c>
      <c r="G3">
        <v>94</v>
      </c>
      <c r="H3" s="2">
        <v>0</v>
      </c>
      <c r="I3" t="s">
        <v>18</v>
      </c>
      <c r="J3" t="s">
        <v>19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21</v>
      </c>
      <c r="D4" t="s">
        <v>4</v>
      </c>
      <c r="E4" s="1">
        <v>1288743.17</v>
      </c>
      <c r="F4">
        <v>48767</v>
      </c>
      <c r="G4">
        <v>108</v>
      </c>
      <c r="H4" s="2">
        <v>0</v>
      </c>
      <c r="I4" t="s">
        <v>18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4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18</v>
      </c>
      <c r="J6" t="s">
        <v>19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21</v>
      </c>
      <c r="D7" t="s">
        <v>4</v>
      </c>
      <c r="E7" s="1">
        <v>825629.78</v>
      </c>
      <c r="F7">
        <v>62902</v>
      </c>
      <c r="G7">
        <v>69</v>
      </c>
      <c r="H7" s="2">
        <v>0</v>
      </c>
      <c r="I7" t="s">
        <v>18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21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19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5</v>
      </c>
      <c r="C9" t="s">
        <v>27</v>
      </c>
      <c r="D9" t="s">
        <v>2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19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4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19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21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19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18</v>
      </c>
      <c r="J12" t="s">
        <v>19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17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18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17</v>
      </c>
      <c r="D14" t="s">
        <v>2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19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5</v>
      </c>
      <c r="C15" t="s">
        <v>17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17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19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17</v>
      </c>
      <c r="D17" t="s">
        <v>4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19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17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18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17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18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17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18</v>
      </c>
      <c r="J20" t="s">
        <v>19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17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19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17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18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18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5</v>
      </c>
      <c r="C24" t="s">
        <v>17</v>
      </c>
      <c r="D24" t="s">
        <v>4</v>
      </c>
      <c r="E24" s="1">
        <v>2412750.4</v>
      </c>
      <c r="F24">
        <v>14072</v>
      </c>
      <c r="G24">
        <v>71</v>
      </c>
      <c r="H24" s="2">
        <v>0</v>
      </c>
      <c r="I24" t="s">
        <v>18</v>
      </c>
      <c r="J24" t="s">
        <v>19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17</v>
      </c>
      <c r="D25" t="s">
        <v>4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19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17</v>
      </c>
      <c r="D26" t="s">
        <v>4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19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17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18</v>
      </c>
      <c r="J27" t="s">
        <v>19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17</v>
      </c>
      <c r="D28" t="s">
        <v>4</v>
      </c>
      <c r="E28" s="1">
        <v>394637.21</v>
      </c>
      <c r="F28">
        <v>0</v>
      </c>
      <c r="G28">
        <v>111</v>
      </c>
      <c r="H28" s="2">
        <v>0</v>
      </c>
      <c r="I28" t="s">
        <v>18</v>
      </c>
      <c r="J28" t="s">
        <v>19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18</v>
      </c>
      <c r="J29" t="s">
        <v>19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17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18</v>
      </c>
      <c r="J30" t="s">
        <v>19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17</v>
      </c>
      <c r="D31" t="s">
        <v>2</v>
      </c>
      <c r="E31" s="1">
        <v>323536.05</v>
      </c>
      <c r="F31">
        <v>75690</v>
      </c>
      <c r="G31">
        <v>80</v>
      </c>
      <c r="H31" s="2">
        <v>36526</v>
      </c>
      <c r="I31" t="s">
        <v>18</v>
      </c>
      <c r="J31" t="s">
        <v>19</v>
      </c>
      <c r="K31">
        <v>384</v>
      </c>
      <c r="L31" s="2">
        <v>35384</v>
      </c>
    </row>
    <row r="32" spans="1:12" x14ac:dyDescent="0.35">
      <c r="A32" t="s">
        <v>63</v>
      </c>
      <c r="B32" t="s">
        <v>5</v>
      </c>
      <c r="C32" t="s">
        <v>17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18</v>
      </c>
      <c r="J32" t="s">
        <v>19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17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17</v>
      </c>
      <c r="D34" t="s">
        <v>4</v>
      </c>
      <c r="E34" s="1">
        <v>471532.13</v>
      </c>
      <c r="F34">
        <v>0</v>
      </c>
      <c r="G34">
        <v>65</v>
      </c>
      <c r="H34" s="2">
        <v>0</v>
      </c>
      <c r="I34" t="s">
        <v>18</v>
      </c>
      <c r="J34" t="s">
        <v>19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3</v>
      </c>
      <c r="C35" t="s">
        <v>21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18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17</v>
      </c>
      <c r="D36" t="s">
        <v>4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19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5</v>
      </c>
      <c r="C37" t="s">
        <v>17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18</v>
      </c>
      <c r="J37" t="s">
        <v>19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17</v>
      </c>
      <c r="D38" t="s">
        <v>4</v>
      </c>
      <c r="E38" s="1">
        <v>1389173.57</v>
      </c>
      <c r="F38">
        <v>42305</v>
      </c>
      <c r="G38">
        <v>117</v>
      </c>
      <c r="H38" s="2">
        <v>0</v>
      </c>
      <c r="I38" t="s">
        <v>18</v>
      </c>
      <c r="J38" t="s">
        <v>19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17</v>
      </c>
      <c r="D39" t="s">
        <v>2</v>
      </c>
      <c r="E39" s="1">
        <v>738097.67</v>
      </c>
      <c r="F39">
        <v>65706</v>
      </c>
      <c r="G39">
        <v>91</v>
      </c>
      <c r="H39" s="2">
        <v>0</v>
      </c>
      <c r="I39" t="s">
        <v>18</v>
      </c>
      <c r="J39" t="s">
        <v>19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17</v>
      </c>
      <c r="D40" t="s">
        <v>4</v>
      </c>
      <c r="E40" s="1">
        <v>309003.40999999997</v>
      </c>
      <c r="F40">
        <v>0</v>
      </c>
      <c r="G40">
        <v>90</v>
      </c>
      <c r="H40" s="2">
        <v>0</v>
      </c>
      <c r="I40" t="s">
        <v>18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5</v>
      </c>
      <c r="C41" t="s">
        <v>17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18</v>
      </c>
      <c r="J41" t="s">
        <v>19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17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17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17</v>
      </c>
      <c r="D44" t="s">
        <v>4</v>
      </c>
      <c r="E44" s="1">
        <v>393900.64</v>
      </c>
      <c r="F44">
        <v>60021</v>
      </c>
      <c r="G44">
        <v>99</v>
      </c>
      <c r="H44" s="2">
        <v>0</v>
      </c>
      <c r="I44" t="s">
        <v>18</v>
      </c>
      <c r="J44" t="s">
        <v>19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5</v>
      </c>
      <c r="C45" t="s">
        <v>17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18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18</v>
      </c>
      <c r="J46" t="s">
        <v>19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17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18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5</v>
      </c>
      <c r="C48" t="s">
        <v>17</v>
      </c>
      <c r="D48" t="s">
        <v>4</v>
      </c>
      <c r="E48" s="1">
        <v>446851.05</v>
      </c>
      <c r="F48">
        <v>0</v>
      </c>
      <c r="G48">
        <v>73</v>
      </c>
      <c r="H48" s="2">
        <v>36586</v>
      </c>
      <c r="I48" t="s">
        <v>18</v>
      </c>
      <c r="J48" t="s">
        <v>19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17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18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17</v>
      </c>
      <c r="D50" t="s">
        <v>4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19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5</v>
      </c>
      <c r="C51" t="s">
        <v>17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18</v>
      </c>
      <c r="J51" t="s">
        <v>19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17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18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17</v>
      </c>
      <c r="D53" t="s">
        <v>4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17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19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3</v>
      </c>
      <c r="C55" t="s">
        <v>21</v>
      </c>
      <c r="D55" t="s">
        <v>2</v>
      </c>
      <c r="E55" s="1">
        <v>487938.48</v>
      </c>
      <c r="F55">
        <v>67163</v>
      </c>
      <c r="G55">
        <v>61</v>
      </c>
      <c r="H55" s="2">
        <v>36557</v>
      </c>
      <c r="I55" t="s">
        <v>18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17</v>
      </c>
      <c r="D56" t="s">
        <v>4</v>
      </c>
      <c r="E56" s="1">
        <v>429399.73</v>
      </c>
      <c r="F56">
        <v>16701</v>
      </c>
      <c r="G56">
        <v>113</v>
      </c>
      <c r="H56" s="2">
        <v>0</v>
      </c>
      <c r="I56" t="s">
        <v>18</v>
      </c>
      <c r="J56" t="s">
        <v>19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5</v>
      </c>
      <c r="C57" t="s">
        <v>17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19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17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19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5</v>
      </c>
      <c r="C59" t="s">
        <v>17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18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17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18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17</v>
      </c>
      <c r="D61" t="s">
        <v>2</v>
      </c>
      <c r="E61" s="1">
        <v>405956.74</v>
      </c>
      <c r="F61">
        <v>11621</v>
      </c>
      <c r="G61">
        <v>108</v>
      </c>
      <c r="H61" s="2">
        <v>0</v>
      </c>
      <c r="I61" t="s">
        <v>18</v>
      </c>
      <c r="J61" t="s">
        <v>19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5</v>
      </c>
      <c r="C62" t="s">
        <v>17</v>
      </c>
      <c r="D62" t="s">
        <v>4</v>
      </c>
      <c r="E62" s="1">
        <v>445811.34</v>
      </c>
      <c r="F62">
        <v>17622</v>
      </c>
      <c r="G62">
        <v>65</v>
      </c>
      <c r="H62" s="2">
        <v>36526</v>
      </c>
      <c r="I62" t="s">
        <v>18</v>
      </c>
      <c r="J62" t="s">
        <v>19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17</v>
      </c>
      <c r="D63" t="s">
        <v>4</v>
      </c>
      <c r="E63" s="1">
        <v>811033.31</v>
      </c>
      <c r="F63">
        <v>11489</v>
      </c>
      <c r="G63">
        <v>105</v>
      </c>
      <c r="H63" s="2">
        <v>0</v>
      </c>
      <c r="I63" t="s">
        <v>18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17</v>
      </c>
      <c r="D64" t="s">
        <v>4</v>
      </c>
      <c r="E64" s="1">
        <v>333976.49</v>
      </c>
      <c r="F64">
        <v>0</v>
      </c>
      <c r="G64">
        <v>94</v>
      </c>
      <c r="H64" s="2">
        <v>0</v>
      </c>
      <c r="I64" t="s">
        <v>18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17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18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5</v>
      </c>
      <c r="C66" t="s">
        <v>17</v>
      </c>
      <c r="D66" t="s">
        <v>4</v>
      </c>
      <c r="E66" s="1">
        <v>661397.37</v>
      </c>
      <c r="F66">
        <v>0</v>
      </c>
      <c r="G66">
        <v>63</v>
      </c>
      <c r="H66" s="2">
        <v>0</v>
      </c>
      <c r="I66" t="s">
        <v>18</v>
      </c>
      <c r="J66" t="s">
        <v>19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17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18</v>
      </c>
      <c r="J67" t="s">
        <v>19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17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17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18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17</v>
      </c>
      <c r="D70" t="s">
        <v>4</v>
      </c>
      <c r="E70" s="1">
        <v>684615.03</v>
      </c>
      <c r="F70">
        <v>0</v>
      </c>
      <c r="G70">
        <v>95</v>
      </c>
      <c r="H70" s="2">
        <v>0</v>
      </c>
      <c r="I70" t="s">
        <v>18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17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18</v>
      </c>
      <c r="J71" t="s">
        <v>19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17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18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17</v>
      </c>
      <c r="D73" t="s">
        <v>2</v>
      </c>
      <c r="E73" s="1">
        <v>261447.43</v>
      </c>
      <c r="F73">
        <v>65186</v>
      </c>
      <c r="G73">
        <v>65</v>
      </c>
      <c r="H73" s="2">
        <v>0</v>
      </c>
      <c r="I73" t="s">
        <v>18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17</v>
      </c>
      <c r="D74" t="s">
        <v>2</v>
      </c>
      <c r="E74" s="1">
        <v>245175.27</v>
      </c>
      <c r="F74">
        <v>26840</v>
      </c>
      <c r="G74">
        <v>64</v>
      </c>
      <c r="H74" s="2">
        <v>36557</v>
      </c>
      <c r="I74" t="s">
        <v>18</v>
      </c>
      <c r="J74" t="s">
        <v>19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17</v>
      </c>
      <c r="D75" t="s">
        <v>4</v>
      </c>
      <c r="E75" s="1">
        <v>678127.02</v>
      </c>
      <c r="F75">
        <v>0</v>
      </c>
      <c r="G75">
        <v>104</v>
      </c>
      <c r="H75" s="2">
        <v>36526</v>
      </c>
      <c r="I75" t="s">
        <v>18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17</v>
      </c>
      <c r="D76" t="s">
        <v>4</v>
      </c>
      <c r="E76" s="1">
        <v>497480.15</v>
      </c>
      <c r="F76">
        <v>75644</v>
      </c>
      <c r="G76">
        <v>65</v>
      </c>
      <c r="H76" s="2">
        <v>36586</v>
      </c>
      <c r="I76" t="s">
        <v>18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17</v>
      </c>
      <c r="D77" t="s">
        <v>4</v>
      </c>
      <c r="E77" s="1">
        <v>859160.49</v>
      </c>
      <c r="F77">
        <v>38984</v>
      </c>
      <c r="G77">
        <v>73</v>
      </c>
      <c r="H77" s="2">
        <v>0</v>
      </c>
      <c r="I77" t="s">
        <v>18</v>
      </c>
      <c r="J77" t="s">
        <v>19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17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18</v>
      </c>
      <c r="J78" t="s">
        <v>19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17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18</v>
      </c>
      <c r="J79" t="s">
        <v>19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3</v>
      </c>
      <c r="C80" t="s">
        <v>21</v>
      </c>
      <c r="D80" t="s">
        <v>2</v>
      </c>
      <c r="E80" s="1"/>
      <c r="F80">
        <v>41275</v>
      </c>
      <c r="G80">
        <v>96</v>
      </c>
      <c r="H80" s="2">
        <v>0</v>
      </c>
      <c r="I80" t="s">
        <v>18</v>
      </c>
      <c r="J80" t="s">
        <v>19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17</v>
      </c>
      <c r="D81" t="s">
        <v>4</v>
      </c>
      <c r="E81" s="1">
        <v>5816655.3499999996</v>
      </c>
      <c r="F81">
        <v>61321</v>
      </c>
      <c r="G81">
        <v>186</v>
      </c>
      <c r="H81" s="2">
        <v>36526</v>
      </c>
      <c r="I81" t="s">
        <v>18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17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18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17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18</v>
      </c>
      <c r="J83" t="s">
        <v>19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17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18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17</v>
      </c>
      <c r="D85" t="s">
        <v>2</v>
      </c>
      <c r="E85" s="1">
        <v>252307.02</v>
      </c>
      <c r="F85">
        <v>43072</v>
      </c>
      <c r="G85">
        <v>63</v>
      </c>
      <c r="H85" s="2">
        <v>0</v>
      </c>
      <c r="I85" t="s">
        <v>18</v>
      </c>
      <c r="J85" t="s">
        <v>19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17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18</v>
      </c>
      <c r="J86" t="s">
        <v>19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3</v>
      </c>
      <c r="C87" t="s">
        <v>21</v>
      </c>
      <c r="D87" t="s">
        <v>4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19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17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18</v>
      </c>
      <c r="J88" t="s">
        <v>19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17</v>
      </c>
      <c r="D89" t="s">
        <v>4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19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17</v>
      </c>
      <c r="D90" t="s">
        <v>4</v>
      </c>
      <c r="E90" s="1">
        <v>269518.24</v>
      </c>
      <c r="F90">
        <v>32720</v>
      </c>
      <c r="G90">
        <v>67</v>
      </c>
      <c r="H90" s="2">
        <v>0</v>
      </c>
      <c r="I90" t="s">
        <v>18</v>
      </c>
      <c r="J90" t="s">
        <v>19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17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18</v>
      </c>
      <c r="J91" t="s">
        <v>19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17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18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3</v>
      </c>
      <c r="C93" t="s">
        <v>21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18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17</v>
      </c>
      <c r="D94" t="s">
        <v>4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19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17</v>
      </c>
      <c r="D95" t="s">
        <v>4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17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18</v>
      </c>
      <c r="J96" t="s">
        <v>19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17</v>
      </c>
      <c r="D97" t="s">
        <v>4</v>
      </c>
      <c r="E97" s="1">
        <v>2094619.25</v>
      </c>
      <c r="F97">
        <v>69738</v>
      </c>
      <c r="G97">
        <v>74</v>
      </c>
      <c r="H97" s="2">
        <v>36526</v>
      </c>
      <c r="I97" t="s">
        <v>18</v>
      </c>
      <c r="J97" t="s">
        <v>19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17</v>
      </c>
      <c r="D98" t="s">
        <v>2</v>
      </c>
      <c r="E98" s="1">
        <v>837535.39</v>
      </c>
      <c r="F98">
        <v>17780</v>
      </c>
      <c r="G98">
        <v>109</v>
      </c>
      <c r="H98" s="2">
        <v>0</v>
      </c>
      <c r="I98" t="s">
        <v>18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17</v>
      </c>
      <c r="D99" t="s">
        <v>4</v>
      </c>
      <c r="E99" s="1">
        <v>480166.15</v>
      </c>
      <c r="F99">
        <v>18107</v>
      </c>
      <c r="G99">
        <v>62</v>
      </c>
      <c r="H99" s="2">
        <v>0</v>
      </c>
      <c r="I99" t="s">
        <v>18</v>
      </c>
      <c r="J99" t="s">
        <v>19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17</v>
      </c>
      <c r="D100" t="s">
        <v>4</v>
      </c>
      <c r="E100" s="1">
        <v>574594.32999999996</v>
      </c>
      <c r="F100">
        <v>57740</v>
      </c>
      <c r="G100">
        <v>74</v>
      </c>
      <c r="H100" s="2">
        <v>36586</v>
      </c>
      <c r="I100" t="s">
        <v>18</v>
      </c>
      <c r="J100" t="s">
        <v>19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17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18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17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18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17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18</v>
      </c>
      <c r="J103" t="s">
        <v>19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17</v>
      </c>
      <c r="D104" t="s">
        <v>4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17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18</v>
      </c>
      <c r="J105" t="s">
        <v>19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17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18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17</v>
      </c>
      <c r="D107" t="s">
        <v>4</v>
      </c>
      <c r="E107" s="1">
        <v>696669.45</v>
      </c>
      <c r="F107">
        <v>41837</v>
      </c>
      <c r="G107">
        <v>88</v>
      </c>
      <c r="H107" s="2">
        <v>0</v>
      </c>
      <c r="I107" t="s">
        <v>18</v>
      </c>
      <c r="J107" t="s">
        <v>19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17</v>
      </c>
      <c r="D108" t="s">
        <v>4</v>
      </c>
      <c r="E108" s="1">
        <v>769406.43</v>
      </c>
      <c r="F108">
        <v>32303</v>
      </c>
      <c r="G108">
        <v>65</v>
      </c>
      <c r="H108" s="2">
        <v>0</v>
      </c>
      <c r="I108" t="s">
        <v>18</v>
      </c>
      <c r="J108" t="s">
        <v>19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17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18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17</v>
      </c>
      <c r="D110" t="s">
        <v>4</v>
      </c>
      <c r="E110" s="1">
        <v>592874.85</v>
      </c>
      <c r="F110">
        <v>40531</v>
      </c>
      <c r="G110">
        <v>74</v>
      </c>
      <c r="H110" s="2">
        <v>0</v>
      </c>
      <c r="I110" t="s">
        <v>18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17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19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17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18</v>
      </c>
      <c r="J112" t="s">
        <v>19</v>
      </c>
      <c r="K112">
        <v>408</v>
      </c>
      <c r="L112" s="2">
        <v>35408</v>
      </c>
    </row>
    <row r="113" spans="1:12" x14ac:dyDescent="0.35">
      <c r="A113" t="s">
        <v>149</v>
      </c>
      <c r="B113" t="s">
        <v>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18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17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18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17</v>
      </c>
      <c r="D115" t="s">
        <v>4</v>
      </c>
      <c r="E115" s="1">
        <v>771349.4</v>
      </c>
      <c r="F115">
        <v>45506</v>
      </c>
      <c r="G115">
        <v>66</v>
      </c>
      <c r="H115" s="2">
        <v>36557</v>
      </c>
      <c r="I115" t="s">
        <v>18</v>
      </c>
      <c r="J115" t="s">
        <v>19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3</v>
      </c>
      <c r="C116" t="s">
        <v>21</v>
      </c>
      <c r="D116" t="s">
        <v>2</v>
      </c>
      <c r="E116" s="1">
        <v>518579.76</v>
      </c>
      <c r="F116">
        <v>99428</v>
      </c>
      <c r="G116">
        <v>6464</v>
      </c>
      <c r="H116" s="2">
        <v>36526</v>
      </c>
      <c r="I116" t="s">
        <v>18</v>
      </c>
      <c r="J116" t="s">
        <v>19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17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17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18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17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18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17</v>
      </c>
      <c r="D120" t="s">
        <v>4</v>
      </c>
      <c r="E120" s="1">
        <v>246978.13</v>
      </c>
      <c r="F120">
        <v>92711</v>
      </c>
      <c r="G120">
        <v>62</v>
      </c>
      <c r="H120" s="2">
        <v>0</v>
      </c>
      <c r="I120" t="s">
        <v>18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17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19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3</v>
      </c>
      <c r="C122" t="s">
        <v>21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18</v>
      </c>
      <c r="J122" t="s">
        <v>19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17</v>
      </c>
      <c r="D123" t="s">
        <v>4</v>
      </c>
      <c r="E123" s="1">
        <v>890273.76</v>
      </c>
      <c r="F123">
        <v>46833</v>
      </c>
      <c r="G123">
        <v>112</v>
      </c>
      <c r="H123" s="2">
        <v>0</v>
      </c>
      <c r="I123" t="s">
        <v>18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17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18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17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18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17</v>
      </c>
      <c r="D126" t="s">
        <v>4</v>
      </c>
      <c r="E126" s="1">
        <v>250910.79</v>
      </c>
      <c r="F126">
        <v>33555</v>
      </c>
      <c r="G126">
        <v>63</v>
      </c>
      <c r="H126" s="2">
        <v>0</v>
      </c>
      <c r="I126" t="s">
        <v>18</v>
      </c>
      <c r="J126" t="s">
        <v>19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17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18</v>
      </c>
      <c r="J127" t="s">
        <v>19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17</v>
      </c>
      <c r="D128" t="s">
        <v>2</v>
      </c>
      <c r="E128" s="1">
        <v>313350.34000000003</v>
      </c>
      <c r="F128">
        <v>58850</v>
      </c>
      <c r="G128">
        <v>78</v>
      </c>
      <c r="H128" s="2">
        <v>0</v>
      </c>
      <c r="I128" t="s">
        <v>18</v>
      </c>
      <c r="J128" t="s">
        <v>19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17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19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17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18</v>
      </c>
      <c r="J130" t="s">
        <v>19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3</v>
      </c>
      <c r="C131" t="s">
        <v>21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18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17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18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17</v>
      </c>
      <c r="D133" t="s">
        <v>4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19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17</v>
      </c>
      <c r="D134" t="s">
        <v>4</v>
      </c>
      <c r="E134" s="1">
        <v>567044.24</v>
      </c>
      <c r="F134">
        <v>28406</v>
      </c>
      <c r="G134">
        <v>72</v>
      </c>
      <c r="H134" s="2">
        <v>36526</v>
      </c>
      <c r="I134" t="s">
        <v>18</v>
      </c>
      <c r="J134" t="s">
        <v>19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17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18</v>
      </c>
      <c r="J135" t="s">
        <v>19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17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19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17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18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17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3</v>
      </c>
      <c r="C139" t="s">
        <v>21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18</v>
      </c>
      <c r="J139" t="s">
        <v>19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17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18</v>
      </c>
      <c r="J140" t="s">
        <v>19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21</v>
      </c>
      <c r="D141" t="s">
        <v>4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19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18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2</v>
      </c>
      <c r="E143" s="1">
        <v>561906.85</v>
      </c>
      <c r="F143">
        <v>50335</v>
      </c>
      <c r="G143">
        <v>140</v>
      </c>
      <c r="H143" s="2">
        <v>0</v>
      </c>
      <c r="I143" t="s">
        <v>18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21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18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3</v>
      </c>
      <c r="C145" t="s">
        <v>21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18</v>
      </c>
      <c r="J145" t="s">
        <v>19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21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18</v>
      </c>
      <c r="J146" t="s">
        <v>19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4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19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21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19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5</v>
      </c>
      <c r="C149" t="s">
        <v>21</v>
      </c>
      <c r="D149" t="s">
        <v>4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5</v>
      </c>
      <c r="C150" t="s">
        <v>21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18</v>
      </c>
      <c r="J150" t="s">
        <v>19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19</v>
      </c>
      <c r="K151">
        <v>504</v>
      </c>
      <c r="L151" s="2">
        <v>35504</v>
      </c>
    </row>
    <row r="152" spans="1:12" x14ac:dyDescent="0.35">
      <c r="A152" t="s">
        <v>188</v>
      </c>
      <c r="B152" t="s">
        <v>3</v>
      </c>
      <c r="C152" t="s">
        <v>21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18</v>
      </c>
      <c r="J152" t="s">
        <v>19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3</v>
      </c>
      <c r="C153" t="s">
        <v>27</v>
      </c>
      <c r="D153" t="s">
        <v>2</v>
      </c>
      <c r="E153" s="1">
        <v>254068.98</v>
      </c>
      <c r="F153">
        <v>42557</v>
      </c>
      <c r="G153">
        <v>65</v>
      </c>
      <c r="H153" s="2">
        <v>0</v>
      </c>
      <c r="I153" t="s">
        <v>18</v>
      </c>
      <c r="J153" t="s">
        <v>19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5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18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5</v>
      </c>
      <c r="C155" t="s">
        <v>21</v>
      </c>
      <c r="D155" t="s">
        <v>4</v>
      </c>
      <c r="E155" s="1">
        <v>975330.71</v>
      </c>
      <c r="F155">
        <v>17514</v>
      </c>
      <c r="G155">
        <v>127</v>
      </c>
      <c r="H155" s="2">
        <v>0</v>
      </c>
      <c r="I155" t="s">
        <v>18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4</v>
      </c>
      <c r="E156" s="1">
        <v>294615.37</v>
      </c>
      <c r="F156">
        <v>89270</v>
      </c>
      <c r="G156">
        <v>74</v>
      </c>
      <c r="H156" s="2">
        <v>0</v>
      </c>
      <c r="I156" t="s">
        <v>18</v>
      </c>
      <c r="J156" t="s">
        <v>19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18</v>
      </c>
      <c r="J157" t="s">
        <v>19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18</v>
      </c>
      <c r="J158" t="s">
        <v>19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21</v>
      </c>
      <c r="D159" t="s">
        <v>4</v>
      </c>
      <c r="E159" s="1">
        <v>974335.01</v>
      </c>
      <c r="F159">
        <v>24028</v>
      </c>
      <c r="G159">
        <v>82</v>
      </c>
      <c r="H159" s="2">
        <v>0</v>
      </c>
      <c r="I159" t="s">
        <v>18</v>
      </c>
      <c r="J159" t="s">
        <v>19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5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18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5</v>
      </c>
      <c r="C161" t="s">
        <v>21</v>
      </c>
      <c r="D161" t="s">
        <v>4</v>
      </c>
      <c r="E161" s="1">
        <v>764928.2</v>
      </c>
      <c r="F161">
        <v>52705</v>
      </c>
      <c r="G161">
        <v>64</v>
      </c>
      <c r="H161" s="2">
        <v>36526</v>
      </c>
      <c r="I161" t="s">
        <v>18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3</v>
      </c>
      <c r="C163" t="s">
        <v>21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18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21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18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3</v>
      </c>
      <c r="C165" t="s">
        <v>21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18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4</v>
      </c>
      <c r="E166" s="1">
        <v>741619.73</v>
      </c>
      <c r="F166">
        <v>0</v>
      </c>
      <c r="G166">
        <v>77</v>
      </c>
      <c r="H166" s="2">
        <v>36557</v>
      </c>
      <c r="I166" t="s">
        <v>18</v>
      </c>
      <c r="J166" t="s">
        <v>19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2</v>
      </c>
      <c r="E167" s="1">
        <v>777115.9</v>
      </c>
      <c r="F167">
        <v>21876</v>
      </c>
      <c r="G167">
        <v>68</v>
      </c>
      <c r="H167" s="2">
        <v>0</v>
      </c>
      <c r="I167" t="s">
        <v>18</v>
      </c>
      <c r="J167" t="s">
        <v>19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21</v>
      </c>
      <c r="D168" t="s">
        <v>4</v>
      </c>
      <c r="E168" s="1">
        <v>696834.19</v>
      </c>
      <c r="F168">
        <v>0</v>
      </c>
      <c r="G168">
        <v>69</v>
      </c>
      <c r="H168" s="2">
        <v>36526</v>
      </c>
      <c r="I168" t="s">
        <v>18</v>
      </c>
      <c r="J168" t="s">
        <v>19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21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18</v>
      </c>
      <c r="J169" t="s">
        <v>19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21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18</v>
      </c>
      <c r="J170" t="s">
        <v>19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21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18</v>
      </c>
      <c r="J171" t="s">
        <v>19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18</v>
      </c>
      <c r="J172" t="s">
        <v>19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21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18</v>
      </c>
      <c r="J173" t="s">
        <v>19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21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18</v>
      </c>
      <c r="J174" t="s">
        <v>19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21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18</v>
      </c>
      <c r="J175" t="s">
        <v>19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18</v>
      </c>
      <c r="J176" t="s">
        <v>19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21</v>
      </c>
      <c r="D177" t="s">
        <v>4</v>
      </c>
      <c r="E177" s="1">
        <v>463998.16</v>
      </c>
      <c r="F177">
        <v>28358</v>
      </c>
      <c r="G177">
        <v>117</v>
      </c>
      <c r="H177" s="2">
        <v>0</v>
      </c>
      <c r="I177" t="s">
        <v>18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3</v>
      </c>
      <c r="C178" t="s">
        <v>21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18</v>
      </c>
      <c r="J178" t="s">
        <v>19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5</v>
      </c>
      <c r="C179" t="s">
        <v>21</v>
      </c>
      <c r="D179" t="s">
        <v>4</v>
      </c>
      <c r="E179" s="1">
        <v>596811.89</v>
      </c>
      <c r="F179">
        <v>90972</v>
      </c>
      <c r="G179">
        <v>74</v>
      </c>
      <c r="H179" s="2">
        <v>0</v>
      </c>
      <c r="I179" t="s">
        <v>18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3</v>
      </c>
      <c r="C180" t="s">
        <v>21</v>
      </c>
      <c r="D180" t="s">
        <v>4</v>
      </c>
      <c r="E180" s="1">
        <v>859033.5</v>
      </c>
      <c r="F180">
        <v>63110</v>
      </c>
      <c r="G180">
        <v>72</v>
      </c>
      <c r="H180" s="2">
        <v>0</v>
      </c>
      <c r="I180" t="s">
        <v>18</v>
      </c>
      <c r="J180" t="s">
        <v>19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21</v>
      </c>
      <c r="D181" t="s">
        <v>4</v>
      </c>
      <c r="E181" s="1">
        <v>407663.47</v>
      </c>
      <c r="F181">
        <v>29549</v>
      </c>
      <c r="G181">
        <v>104</v>
      </c>
      <c r="H181" s="2">
        <v>0</v>
      </c>
      <c r="I181" t="s">
        <v>18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21</v>
      </c>
      <c r="D182" t="s">
        <v>4</v>
      </c>
      <c r="E182" s="1">
        <v>1225260.18</v>
      </c>
      <c r="F182">
        <v>0</v>
      </c>
      <c r="G182">
        <v>115</v>
      </c>
      <c r="H182" s="2">
        <v>36526</v>
      </c>
      <c r="I182" t="s">
        <v>18</v>
      </c>
      <c r="J182" t="s">
        <v>19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21</v>
      </c>
      <c r="D183" t="s">
        <v>4</v>
      </c>
      <c r="E183" s="1">
        <v>1693627.15</v>
      </c>
      <c r="F183">
        <v>39411</v>
      </c>
      <c r="G183">
        <v>217</v>
      </c>
      <c r="H183" s="2">
        <v>36557</v>
      </c>
      <c r="I183" t="s">
        <v>18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18</v>
      </c>
      <c r="J184" t="s">
        <v>19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4</v>
      </c>
      <c r="E185" s="1">
        <v>994230.48</v>
      </c>
      <c r="F185">
        <v>67890</v>
      </c>
      <c r="G185">
        <v>85</v>
      </c>
      <c r="H185" s="2">
        <v>0</v>
      </c>
      <c r="I185" t="s">
        <v>18</v>
      </c>
      <c r="J185" t="s">
        <v>19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4</v>
      </c>
      <c r="E186" s="1">
        <v>373583.81</v>
      </c>
      <c r="F186">
        <v>0</v>
      </c>
      <c r="G186">
        <v>110</v>
      </c>
      <c r="H186" s="2">
        <v>0</v>
      </c>
      <c r="I186" t="s">
        <v>18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21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18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21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5</v>
      </c>
      <c r="C189" t="s">
        <v>21</v>
      </c>
      <c r="D189" t="s">
        <v>4</v>
      </c>
      <c r="E189" s="1">
        <v>547006.06000000006</v>
      </c>
      <c r="F189">
        <v>54507</v>
      </c>
      <c r="G189">
        <v>138</v>
      </c>
      <c r="H189" s="2">
        <v>0</v>
      </c>
      <c r="I189" t="s">
        <v>18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21</v>
      </c>
      <c r="D190" t="s">
        <v>4</v>
      </c>
      <c r="E190" s="1">
        <v>297884.59999999998</v>
      </c>
      <c r="F190">
        <v>64586</v>
      </c>
      <c r="G190">
        <v>76</v>
      </c>
      <c r="H190" s="2">
        <v>0</v>
      </c>
      <c r="I190" t="s">
        <v>18</v>
      </c>
      <c r="J190" t="s">
        <v>19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18</v>
      </c>
      <c r="J191" t="s">
        <v>19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2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21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4</v>
      </c>
      <c r="E194" s="1">
        <v>276449.37</v>
      </c>
      <c r="F194">
        <v>61085</v>
      </c>
      <c r="G194">
        <v>70</v>
      </c>
      <c r="H194" s="2">
        <v>36526</v>
      </c>
      <c r="I194" t="s">
        <v>18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21</v>
      </c>
      <c r="D195" t="s">
        <v>4</v>
      </c>
      <c r="E195" s="1">
        <v>792010.54</v>
      </c>
      <c r="F195">
        <v>89284</v>
      </c>
      <c r="G195">
        <v>67</v>
      </c>
      <c r="H195" s="2">
        <v>36586</v>
      </c>
      <c r="I195" t="s">
        <v>18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5</v>
      </c>
      <c r="C196" t="s">
        <v>21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18</v>
      </c>
      <c r="J196" t="s">
        <v>19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21</v>
      </c>
      <c r="D197" t="s">
        <v>4</v>
      </c>
      <c r="E197" s="1">
        <v>327419.46000000002</v>
      </c>
      <c r="F197">
        <v>31686</v>
      </c>
      <c r="G197">
        <v>81</v>
      </c>
      <c r="H197" s="2">
        <v>0</v>
      </c>
      <c r="I197" t="s">
        <v>18</v>
      </c>
      <c r="J197" t="s">
        <v>19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4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19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21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18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18</v>
      </c>
      <c r="J201" t="s">
        <v>19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21</v>
      </c>
      <c r="D202" t="s">
        <v>2</v>
      </c>
      <c r="E202" s="1">
        <v>1114030.25</v>
      </c>
      <c r="F202">
        <v>27679</v>
      </c>
      <c r="G202">
        <v>150</v>
      </c>
      <c r="H202" s="2">
        <v>0</v>
      </c>
      <c r="I202" t="s">
        <v>18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21</v>
      </c>
      <c r="D203" t="s">
        <v>4</v>
      </c>
      <c r="E203" s="1">
        <v>433406.41</v>
      </c>
      <c r="F203">
        <v>23904</v>
      </c>
      <c r="G203">
        <v>123</v>
      </c>
      <c r="H203" s="2">
        <v>36586</v>
      </c>
      <c r="I203" t="s">
        <v>18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5</v>
      </c>
      <c r="C204" t="s">
        <v>21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19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18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18</v>
      </c>
      <c r="J206" t="s">
        <v>19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18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21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18</v>
      </c>
      <c r="J208" t="s">
        <v>19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21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21</v>
      </c>
      <c r="D211" t="s">
        <v>4</v>
      </c>
      <c r="E211" s="1">
        <v>627412.39</v>
      </c>
      <c r="F211">
        <v>68964</v>
      </c>
      <c r="G211">
        <v>78</v>
      </c>
      <c r="H211" s="2">
        <v>0</v>
      </c>
      <c r="I211" t="s">
        <v>18</v>
      </c>
      <c r="J211" t="s">
        <v>19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18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19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19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5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18</v>
      </c>
      <c r="J216" t="s">
        <v>19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19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18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18</v>
      </c>
      <c r="J221" t="s">
        <v>19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4</v>
      </c>
      <c r="E222" s="1">
        <v>596955.30000000005</v>
      </c>
      <c r="F222">
        <v>97431</v>
      </c>
      <c r="G222">
        <v>74</v>
      </c>
      <c r="H222" s="2">
        <v>0</v>
      </c>
      <c r="I222" t="s">
        <v>18</v>
      </c>
      <c r="J222" t="s">
        <v>19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4</v>
      </c>
      <c r="E223" s="1">
        <v>547315.99</v>
      </c>
      <c r="F223">
        <v>93870</v>
      </c>
      <c r="G223">
        <v>69</v>
      </c>
      <c r="H223" s="2">
        <v>0</v>
      </c>
      <c r="I223" t="s">
        <v>18</v>
      </c>
      <c r="J223" t="s">
        <v>19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18</v>
      </c>
      <c r="J224" t="s">
        <v>19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18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18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18</v>
      </c>
      <c r="J227" t="s">
        <v>19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18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19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5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4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19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5</v>
      </c>
      <c r="C232" t="s">
        <v>193</v>
      </c>
      <c r="D232" t="s">
        <v>4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19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5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18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5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18</v>
      </c>
      <c r="J234" t="s">
        <v>19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4</v>
      </c>
      <c r="E235" s="1">
        <v>565703.16</v>
      </c>
      <c r="F235">
        <v>0</v>
      </c>
      <c r="G235">
        <v>152</v>
      </c>
      <c r="H235" s="2">
        <v>0</v>
      </c>
      <c r="I235" t="s">
        <v>18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5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18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4</v>
      </c>
      <c r="E237" s="1">
        <v>591278.38</v>
      </c>
      <c r="F237">
        <v>72208</v>
      </c>
      <c r="G237">
        <v>73</v>
      </c>
      <c r="H237" s="2">
        <v>0</v>
      </c>
      <c r="I237" t="s">
        <v>18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4</v>
      </c>
      <c r="E238" s="1">
        <v>1518227.98</v>
      </c>
      <c r="F238">
        <v>53863</v>
      </c>
      <c r="G238">
        <v>63</v>
      </c>
      <c r="H238" s="2">
        <v>0</v>
      </c>
      <c r="I238" t="s">
        <v>18</v>
      </c>
      <c r="J238" t="s">
        <v>19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18</v>
      </c>
      <c r="J240" t="s">
        <v>19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4</v>
      </c>
      <c r="E241" s="1">
        <v>246544.49</v>
      </c>
      <c r="F241">
        <v>64997</v>
      </c>
      <c r="G241">
        <v>63</v>
      </c>
      <c r="H241" s="2">
        <v>36526</v>
      </c>
      <c r="I241" t="s">
        <v>18</v>
      </c>
      <c r="J241" t="s">
        <v>19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5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18</v>
      </c>
      <c r="J243" t="s">
        <v>19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19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18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18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4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5</v>
      </c>
      <c r="C248" t="s">
        <v>21</v>
      </c>
      <c r="D248" t="s">
        <v>4</v>
      </c>
      <c r="E248" s="1">
        <v>509452.23</v>
      </c>
      <c r="F248">
        <v>72006</v>
      </c>
      <c r="G248">
        <v>64</v>
      </c>
      <c r="H248" s="2">
        <v>0</v>
      </c>
      <c r="I248" t="s">
        <v>18</v>
      </c>
      <c r="J248" t="s">
        <v>19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5</v>
      </c>
      <c r="C249" t="s">
        <v>21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18</v>
      </c>
      <c r="J249" t="s">
        <v>19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4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2</v>
      </c>
      <c r="E251" s="1">
        <v>804473.07</v>
      </c>
      <c r="F251">
        <v>44320</v>
      </c>
      <c r="G251">
        <v>67</v>
      </c>
      <c r="H251" s="2">
        <v>0</v>
      </c>
      <c r="I251" t="s">
        <v>18</v>
      </c>
      <c r="J251" t="s">
        <v>19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5</v>
      </c>
      <c r="C252" t="s">
        <v>21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18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21</v>
      </c>
      <c r="D253" t="s">
        <v>4</v>
      </c>
      <c r="E253" s="1">
        <v>1670611.7</v>
      </c>
      <c r="F253">
        <v>63933</v>
      </c>
      <c r="G253">
        <v>70</v>
      </c>
      <c r="H253" s="2">
        <v>0</v>
      </c>
      <c r="I253" t="s">
        <v>18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5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18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21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18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4</v>
      </c>
      <c r="E256" s="1">
        <v>611275.68999999994</v>
      </c>
      <c r="F256">
        <v>63243</v>
      </c>
      <c r="G256">
        <v>77</v>
      </c>
      <c r="H256" s="2">
        <v>0</v>
      </c>
      <c r="I256" t="s">
        <v>18</v>
      </c>
      <c r="J256" t="s">
        <v>19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18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21</v>
      </c>
      <c r="D258" t="s">
        <v>4</v>
      </c>
      <c r="E258" s="1">
        <v>1097909.56</v>
      </c>
      <c r="F258">
        <v>94827</v>
      </c>
      <c r="G258">
        <v>135</v>
      </c>
      <c r="H258" s="2">
        <v>0</v>
      </c>
      <c r="I258" t="s">
        <v>18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21</v>
      </c>
      <c r="D259" t="s">
        <v>2</v>
      </c>
      <c r="E259" s="1">
        <v>500426.38</v>
      </c>
      <c r="F259">
        <v>39161</v>
      </c>
      <c r="G259">
        <v>63</v>
      </c>
      <c r="H259" s="2">
        <v>36526</v>
      </c>
      <c r="I259" t="s">
        <v>18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4</v>
      </c>
      <c r="E260" s="1">
        <v>1322304.3799999999</v>
      </c>
      <c r="F260">
        <v>37534</v>
      </c>
      <c r="G260">
        <v>84</v>
      </c>
      <c r="H260" s="2">
        <v>36557</v>
      </c>
      <c r="I260" t="s">
        <v>18</v>
      </c>
      <c r="J260" t="s">
        <v>19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21</v>
      </c>
      <c r="D261" t="s">
        <v>4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19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4</v>
      </c>
      <c r="E262" s="1">
        <v>1784019.56</v>
      </c>
      <c r="F262">
        <v>0</v>
      </c>
      <c r="G262">
        <v>62</v>
      </c>
      <c r="H262" s="2">
        <v>0</v>
      </c>
      <c r="I262" t="s">
        <v>18</v>
      </c>
      <c r="J262" t="s">
        <v>19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21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18</v>
      </c>
      <c r="J263" t="s">
        <v>19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5</v>
      </c>
      <c r="C264" t="s">
        <v>21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18</v>
      </c>
      <c r="J264" t="s">
        <v>19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5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18</v>
      </c>
      <c r="J265" t="s">
        <v>19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4</v>
      </c>
      <c r="E266" s="1">
        <v>656364.41</v>
      </c>
      <c r="F266">
        <v>32375</v>
      </c>
      <c r="G266">
        <v>83</v>
      </c>
      <c r="H266" s="2">
        <v>0</v>
      </c>
      <c r="I266" t="s">
        <v>18</v>
      </c>
      <c r="J266" t="s">
        <v>19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19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5</v>
      </c>
      <c r="C268" t="s">
        <v>21</v>
      </c>
      <c r="D268" t="s">
        <v>2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19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5</v>
      </c>
      <c r="C269" t="s">
        <v>21</v>
      </c>
      <c r="D269" t="s">
        <v>4</v>
      </c>
      <c r="E269" s="1">
        <v>577352.06999999995</v>
      </c>
      <c r="F269">
        <v>81676</v>
      </c>
      <c r="G269">
        <v>72</v>
      </c>
      <c r="H269" s="2">
        <v>0</v>
      </c>
      <c r="I269" t="s">
        <v>18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19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5</v>
      </c>
      <c r="C271" t="s">
        <v>21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21</v>
      </c>
      <c r="D272" t="s">
        <v>2</v>
      </c>
      <c r="E272" s="1">
        <v>2285561.21</v>
      </c>
      <c r="F272">
        <v>20832</v>
      </c>
      <c r="G272">
        <v>65</v>
      </c>
      <c r="H272" s="2">
        <v>0</v>
      </c>
      <c r="I272" t="s">
        <v>18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18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18</v>
      </c>
      <c r="J274" t="s">
        <v>19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5</v>
      </c>
      <c r="C275" t="s">
        <v>21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18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21</v>
      </c>
      <c r="D276" t="s">
        <v>4</v>
      </c>
      <c r="E276" s="1">
        <v>482141.85</v>
      </c>
      <c r="F276">
        <v>26583</v>
      </c>
      <c r="G276">
        <v>1005</v>
      </c>
      <c r="H276" s="2">
        <v>36617</v>
      </c>
      <c r="I276" t="s">
        <v>18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2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5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19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5</v>
      </c>
      <c r="C279" t="s">
        <v>21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18</v>
      </c>
      <c r="J279" t="s">
        <v>19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18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21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18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18</v>
      </c>
      <c r="J282" t="s">
        <v>19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4</v>
      </c>
      <c r="E283" s="1">
        <v>437608.4</v>
      </c>
      <c r="F283">
        <v>0</v>
      </c>
      <c r="G283">
        <v>69</v>
      </c>
      <c r="H283" s="2">
        <v>36617</v>
      </c>
      <c r="I283" t="s">
        <v>18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18</v>
      </c>
      <c r="J284" t="s">
        <v>19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4</v>
      </c>
      <c r="E285" s="1">
        <v>257651.3</v>
      </c>
      <c r="F285">
        <v>37574</v>
      </c>
      <c r="G285">
        <v>66</v>
      </c>
      <c r="H285" s="2">
        <v>36526</v>
      </c>
      <c r="I285" t="s">
        <v>18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4</v>
      </c>
      <c r="E286" s="1">
        <v>834698.32</v>
      </c>
      <c r="F286">
        <v>48259</v>
      </c>
      <c r="G286">
        <v>108</v>
      </c>
      <c r="H286" s="2">
        <v>0</v>
      </c>
      <c r="I286" t="s">
        <v>18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5</v>
      </c>
      <c r="C287" t="s">
        <v>21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18</v>
      </c>
      <c r="J287" t="s">
        <v>19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5</v>
      </c>
      <c r="C288" t="s">
        <v>21</v>
      </c>
      <c r="D288" t="s">
        <v>4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19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4</v>
      </c>
      <c r="E289" s="1">
        <v>470667.7</v>
      </c>
      <c r="F289">
        <v>0</v>
      </c>
      <c r="G289">
        <v>72</v>
      </c>
      <c r="H289" s="2">
        <v>0</v>
      </c>
      <c r="I289" t="s">
        <v>18</v>
      </c>
      <c r="J289" t="s">
        <v>19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18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18</v>
      </c>
      <c r="J291" t="s">
        <v>19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21</v>
      </c>
      <c r="D292" t="s">
        <v>4</v>
      </c>
      <c r="E292" s="1">
        <v>902786.72</v>
      </c>
      <c r="F292">
        <v>99002</v>
      </c>
      <c r="G292">
        <v>112</v>
      </c>
      <c r="H292" s="2">
        <v>36526</v>
      </c>
      <c r="I292" t="s">
        <v>18</v>
      </c>
      <c r="J292" t="s">
        <v>19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18</v>
      </c>
      <c r="J293" t="s">
        <v>19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2</v>
      </c>
      <c r="E294" s="1">
        <v>1804247.94</v>
      </c>
      <c r="F294">
        <v>35704</v>
      </c>
      <c r="G294">
        <v>225</v>
      </c>
      <c r="H294" s="2">
        <v>0</v>
      </c>
      <c r="I294" t="s">
        <v>18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5</v>
      </c>
      <c r="C295" t="s">
        <v>21</v>
      </c>
      <c r="D295" t="s">
        <v>4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19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21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18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5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19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18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4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19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5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18</v>
      </c>
      <c r="J300" t="s">
        <v>19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19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18</v>
      </c>
      <c r="J302" t="s">
        <v>19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4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19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18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21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18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21</v>
      </c>
      <c r="D306" t="s">
        <v>4</v>
      </c>
      <c r="E306" s="1">
        <v>288774.23</v>
      </c>
      <c r="F306">
        <v>0</v>
      </c>
      <c r="G306">
        <v>80</v>
      </c>
      <c r="H306" s="2">
        <v>0</v>
      </c>
      <c r="I306" t="s">
        <v>18</v>
      </c>
      <c r="J306" t="s">
        <v>19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18</v>
      </c>
      <c r="J307" t="s">
        <v>19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4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18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21</v>
      </c>
      <c r="D310" t="s">
        <v>4</v>
      </c>
      <c r="E310" s="1">
        <v>437636.36</v>
      </c>
      <c r="F310">
        <v>63774</v>
      </c>
      <c r="G310">
        <v>111</v>
      </c>
      <c r="H310" s="2">
        <v>0</v>
      </c>
      <c r="I310" t="s">
        <v>18</v>
      </c>
      <c r="J310" t="s">
        <v>19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21</v>
      </c>
      <c r="D311" t="s">
        <v>4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19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4</v>
      </c>
      <c r="E312" s="1">
        <v>471976.22</v>
      </c>
      <c r="F312">
        <v>37057</v>
      </c>
      <c r="G312">
        <v>61</v>
      </c>
      <c r="H312" s="2">
        <v>36526</v>
      </c>
      <c r="I312" t="s">
        <v>18</v>
      </c>
      <c r="J312" t="s">
        <v>19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21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18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19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21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18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21</v>
      </c>
      <c r="D316" t="s">
        <v>2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19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4</v>
      </c>
      <c r="E317" s="1">
        <v>3265483.83</v>
      </c>
      <c r="F317">
        <v>0</v>
      </c>
      <c r="G317">
        <v>153</v>
      </c>
      <c r="H317" s="2">
        <v>0</v>
      </c>
      <c r="I317" t="s">
        <v>18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21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21</v>
      </c>
      <c r="D319" t="s">
        <v>4</v>
      </c>
      <c r="E319" s="1">
        <v>390347.48</v>
      </c>
      <c r="F319">
        <v>60068</v>
      </c>
      <c r="G319">
        <v>98</v>
      </c>
      <c r="H319" s="2">
        <v>0</v>
      </c>
      <c r="I319" t="s">
        <v>18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21</v>
      </c>
      <c r="D320" t="s">
        <v>4</v>
      </c>
      <c r="E320" s="1">
        <v>545725.97</v>
      </c>
      <c r="F320">
        <v>50044</v>
      </c>
      <c r="G320">
        <v>139</v>
      </c>
      <c r="H320" s="2">
        <v>0</v>
      </c>
      <c r="I320" t="s">
        <v>18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21</v>
      </c>
      <c r="D321" t="s">
        <v>2</v>
      </c>
      <c r="E321" s="1">
        <v>272535.64</v>
      </c>
      <c r="F321">
        <v>36650</v>
      </c>
      <c r="G321">
        <v>69</v>
      </c>
      <c r="H321" s="2">
        <v>36526</v>
      </c>
      <c r="I321" t="s">
        <v>18</v>
      </c>
      <c r="J321" t="s">
        <v>19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5</v>
      </c>
      <c r="C322" t="s">
        <v>21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5</v>
      </c>
      <c r="C323" t="s">
        <v>21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18</v>
      </c>
      <c r="J323" t="s">
        <v>19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4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19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21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18</v>
      </c>
      <c r="J325" t="s">
        <v>19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4</v>
      </c>
      <c r="E326" s="1">
        <v>958733.23</v>
      </c>
      <c r="F326">
        <v>39266</v>
      </c>
      <c r="G326">
        <v>80</v>
      </c>
      <c r="H326" s="2">
        <v>0</v>
      </c>
      <c r="I326" t="s">
        <v>18</v>
      </c>
      <c r="J326" t="s">
        <v>19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18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21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18</v>
      </c>
      <c r="J328" t="s">
        <v>19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21</v>
      </c>
      <c r="D329" t="s">
        <v>4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19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21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18</v>
      </c>
      <c r="J330" t="s">
        <v>19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4</v>
      </c>
      <c r="E331" s="1">
        <v>1126436.33</v>
      </c>
      <c r="F331">
        <v>34923</v>
      </c>
      <c r="G331">
        <v>98</v>
      </c>
      <c r="H331" s="2">
        <v>0</v>
      </c>
      <c r="I331" t="s">
        <v>18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18</v>
      </c>
      <c r="J332" t="s">
        <v>19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21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21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18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18</v>
      </c>
      <c r="J335" t="s">
        <v>19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5</v>
      </c>
      <c r="C336" t="s">
        <v>21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18</v>
      </c>
      <c r="J336" t="s">
        <v>19</v>
      </c>
      <c r="K336">
        <v>336</v>
      </c>
      <c r="L336" s="2">
        <v>35336</v>
      </c>
    </row>
    <row r="337" spans="1:12" x14ac:dyDescent="0.35">
      <c r="A337" t="s">
        <v>376</v>
      </c>
      <c r="B337" t="s">
        <v>5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18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18</v>
      </c>
      <c r="J338" t="s">
        <v>19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4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19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5</v>
      </c>
      <c r="C340" t="s">
        <v>21</v>
      </c>
      <c r="D340" t="s">
        <v>4</v>
      </c>
      <c r="E340" s="1">
        <v>511623.76</v>
      </c>
      <c r="F340">
        <v>0</v>
      </c>
      <c r="G340">
        <v>70</v>
      </c>
      <c r="H340" s="2">
        <v>0</v>
      </c>
      <c r="I340" t="s">
        <v>18</v>
      </c>
      <c r="J340" t="s">
        <v>19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18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18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18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18</v>
      </c>
      <c r="J344" t="s">
        <v>19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18</v>
      </c>
      <c r="J345" t="s">
        <v>19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18</v>
      </c>
      <c r="J346" t="s">
        <v>19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4</v>
      </c>
      <c r="E347" s="1">
        <v>756282.4</v>
      </c>
      <c r="F347">
        <v>0</v>
      </c>
      <c r="G347">
        <v>73</v>
      </c>
      <c r="H347" s="2">
        <v>0</v>
      </c>
      <c r="I347" t="s">
        <v>18</v>
      </c>
      <c r="J347" t="s">
        <v>19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18</v>
      </c>
      <c r="J348" t="s">
        <v>19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3</v>
      </c>
      <c r="C349" t="s">
        <v>21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19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4</v>
      </c>
      <c r="E350" s="1">
        <v>942256.79</v>
      </c>
      <c r="F350">
        <v>47272</v>
      </c>
      <c r="G350">
        <v>79</v>
      </c>
      <c r="H350" s="2">
        <v>36586</v>
      </c>
      <c r="I350" t="s">
        <v>18</v>
      </c>
      <c r="J350" t="s">
        <v>19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19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18</v>
      </c>
      <c r="J352" t="s">
        <v>19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5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19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19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3</v>
      </c>
      <c r="C355" t="s">
        <v>27</v>
      </c>
      <c r="D355" t="s">
        <v>2</v>
      </c>
      <c r="E355" s="1">
        <v>265438.09999999998</v>
      </c>
      <c r="F355">
        <v>73196</v>
      </c>
      <c r="G355">
        <v>66</v>
      </c>
      <c r="H355" s="2">
        <v>36526</v>
      </c>
      <c r="I355" t="s">
        <v>18</v>
      </c>
      <c r="J355" t="s">
        <v>19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3</v>
      </c>
      <c r="C356" t="s">
        <v>27</v>
      </c>
      <c r="D356" t="s">
        <v>4</v>
      </c>
      <c r="E356" s="1">
        <v>254978.61</v>
      </c>
      <c r="F356">
        <v>72217</v>
      </c>
      <c r="G356">
        <v>6464</v>
      </c>
      <c r="H356" s="2">
        <v>0</v>
      </c>
      <c r="I356" t="s">
        <v>18</v>
      </c>
      <c r="J356" t="s">
        <v>19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18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2</v>
      </c>
      <c r="E358" s="1">
        <v>436312.46</v>
      </c>
      <c r="F358">
        <v>54514</v>
      </c>
      <c r="G358">
        <v>109</v>
      </c>
      <c r="H358" s="2">
        <v>36586</v>
      </c>
      <c r="I358" t="s">
        <v>18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18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18</v>
      </c>
      <c r="J360" t="s">
        <v>19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18</v>
      </c>
      <c r="J361" t="s">
        <v>19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18</v>
      </c>
      <c r="J362" t="s">
        <v>19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5</v>
      </c>
      <c r="C363" t="s">
        <v>338</v>
      </c>
      <c r="D363" t="s">
        <v>4</v>
      </c>
      <c r="E363" s="1">
        <v>567805.02</v>
      </c>
      <c r="F363">
        <v>0</v>
      </c>
      <c r="G363">
        <v>76</v>
      </c>
      <c r="H363" s="2">
        <v>0</v>
      </c>
      <c r="I363" t="s">
        <v>18</v>
      </c>
      <c r="J363" t="s">
        <v>19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4</v>
      </c>
      <c r="E364" s="1">
        <v>1210120.8799999999</v>
      </c>
      <c r="F364">
        <v>0</v>
      </c>
      <c r="G364">
        <v>112</v>
      </c>
      <c r="H364" s="2">
        <v>0</v>
      </c>
      <c r="I364" t="s">
        <v>18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4</v>
      </c>
      <c r="E365" s="1">
        <v>245357.08</v>
      </c>
      <c r="F365">
        <v>29735</v>
      </c>
      <c r="G365">
        <v>69</v>
      </c>
      <c r="H365" s="2">
        <v>0</v>
      </c>
      <c r="I365" t="s">
        <v>18</v>
      </c>
      <c r="J365" t="s">
        <v>19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19</v>
      </c>
      <c r="K366">
        <v>312</v>
      </c>
      <c r="L366" s="2">
        <v>35312</v>
      </c>
    </row>
    <row r="367" spans="1:12" x14ac:dyDescent="0.35">
      <c r="A367" t="s">
        <v>406</v>
      </c>
      <c r="B367" t="s">
        <v>5</v>
      </c>
      <c r="C367" t="s">
        <v>27</v>
      </c>
      <c r="D367" t="s">
        <v>4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19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18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19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4</v>
      </c>
      <c r="E370" s="1">
        <v>245744.09</v>
      </c>
      <c r="F370">
        <v>29486</v>
      </c>
      <c r="G370">
        <v>62</v>
      </c>
      <c r="H370" s="2">
        <v>0</v>
      </c>
      <c r="I370" t="s">
        <v>18</v>
      </c>
      <c r="J370" t="s">
        <v>19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2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19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4</v>
      </c>
      <c r="E372" s="1">
        <v>492954.97</v>
      </c>
      <c r="F372">
        <v>25632</v>
      </c>
      <c r="G372">
        <v>63</v>
      </c>
      <c r="H372" s="2">
        <v>0</v>
      </c>
      <c r="I372" t="s">
        <v>18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18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5</v>
      </c>
      <c r="C374" t="s">
        <v>27</v>
      </c>
      <c r="D374" t="s">
        <v>4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19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4</v>
      </c>
      <c r="E375" s="1">
        <v>3347334.95</v>
      </c>
      <c r="F375">
        <v>33190</v>
      </c>
      <c r="G375">
        <v>106</v>
      </c>
      <c r="H375" s="2">
        <v>0</v>
      </c>
      <c r="I375" t="s">
        <v>18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2</v>
      </c>
      <c r="E376" s="1">
        <v>596058.14</v>
      </c>
      <c r="F376">
        <v>47945</v>
      </c>
      <c r="G376">
        <v>74</v>
      </c>
      <c r="H376" s="2">
        <v>0</v>
      </c>
      <c r="I376" t="s">
        <v>18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5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18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4</v>
      </c>
      <c r="E379" s="1">
        <v>683793.26</v>
      </c>
      <c r="F379">
        <v>51859</v>
      </c>
      <c r="G379">
        <v>171</v>
      </c>
      <c r="H379" s="2">
        <v>0</v>
      </c>
      <c r="I379" t="s">
        <v>18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18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19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5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18</v>
      </c>
      <c r="J382" t="s">
        <v>19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5</v>
      </c>
      <c r="C383" t="s">
        <v>338</v>
      </c>
      <c r="D383" t="s">
        <v>4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19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18</v>
      </c>
      <c r="J384" t="s">
        <v>19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5</v>
      </c>
      <c r="C385" t="s">
        <v>21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18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19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21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18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3</v>
      </c>
      <c r="C388" t="s">
        <v>27</v>
      </c>
      <c r="D388" t="s">
        <v>4</v>
      </c>
      <c r="E388" s="1">
        <v>450267.97</v>
      </c>
      <c r="F388">
        <v>68798</v>
      </c>
      <c r="G388">
        <v>114</v>
      </c>
      <c r="H388" s="2">
        <v>0</v>
      </c>
      <c r="I388" t="s">
        <v>18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4</v>
      </c>
      <c r="E389" s="1">
        <v>618311.15</v>
      </c>
      <c r="F389">
        <v>23712</v>
      </c>
      <c r="G389">
        <v>85</v>
      </c>
      <c r="H389" s="2">
        <v>0</v>
      </c>
      <c r="I389" t="s">
        <v>18</v>
      </c>
      <c r="J389" t="s">
        <v>19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18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21</v>
      </c>
      <c r="D391" t="s">
        <v>2</v>
      </c>
      <c r="E391" s="1">
        <v>1892933.06</v>
      </c>
      <c r="F391">
        <v>72196</v>
      </c>
      <c r="G391">
        <v>68</v>
      </c>
      <c r="H391" s="2">
        <v>0</v>
      </c>
      <c r="I391" t="s">
        <v>18</v>
      </c>
      <c r="J391" t="s">
        <v>19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2</v>
      </c>
      <c r="E392" s="1">
        <v>555329.57999999996</v>
      </c>
      <c r="F392">
        <v>68197</v>
      </c>
      <c r="G392">
        <v>69</v>
      </c>
      <c r="H392" s="2">
        <v>0</v>
      </c>
      <c r="I392" t="s">
        <v>18</v>
      </c>
      <c r="J392" t="s">
        <v>19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4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19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21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18</v>
      </c>
      <c r="J394" t="s">
        <v>19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4</v>
      </c>
      <c r="E395" s="1">
        <v>219961.78</v>
      </c>
      <c r="F395">
        <v>0</v>
      </c>
      <c r="G395">
        <v>65</v>
      </c>
      <c r="H395" s="2">
        <v>36526</v>
      </c>
      <c r="I395" t="s">
        <v>18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3</v>
      </c>
      <c r="C396" t="s">
        <v>338</v>
      </c>
      <c r="D396" t="s">
        <v>2</v>
      </c>
      <c r="E396" s="1">
        <v>512317.09</v>
      </c>
      <c r="F396">
        <v>89879</v>
      </c>
      <c r="G396">
        <v>63</v>
      </c>
      <c r="H396" s="2">
        <v>0</v>
      </c>
      <c r="I396" t="s">
        <v>18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19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4</v>
      </c>
      <c r="E398" s="1">
        <v>261302.31</v>
      </c>
      <c r="F398">
        <v>57099</v>
      </c>
      <c r="G398">
        <v>67</v>
      </c>
      <c r="H398" s="2">
        <v>0</v>
      </c>
      <c r="I398" t="s">
        <v>18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5</v>
      </c>
      <c r="C399" t="s">
        <v>21</v>
      </c>
      <c r="D399" t="s">
        <v>4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21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18</v>
      </c>
      <c r="J400" t="s">
        <v>19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18</v>
      </c>
      <c r="J401" t="s">
        <v>19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18</v>
      </c>
      <c r="J402" t="s">
        <v>19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18</v>
      </c>
      <c r="J403" t="s">
        <v>19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19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5</v>
      </c>
      <c r="C405" t="s">
        <v>21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18</v>
      </c>
      <c r="J405" t="s">
        <v>19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21</v>
      </c>
      <c r="D406" t="s">
        <v>4</v>
      </c>
      <c r="E406" s="1">
        <v>2909123.94</v>
      </c>
      <c r="F406">
        <v>34226</v>
      </c>
      <c r="G406">
        <v>244</v>
      </c>
      <c r="H406" s="2">
        <v>0</v>
      </c>
      <c r="I406" t="s">
        <v>18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21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18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19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21</v>
      </c>
      <c r="D409" t="s">
        <v>2</v>
      </c>
      <c r="E409" s="1">
        <v>3553784.6</v>
      </c>
      <c r="F409">
        <v>0</v>
      </c>
      <c r="G409">
        <v>113</v>
      </c>
      <c r="H409" s="2">
        <v>0</v>
      </c>
      <c r="I409" t="s">
        <v>18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5</v>
      </c>
      <c r="C410" t="s">
        <v>21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18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18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18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21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18</v>
      </c>
      <c r="J413" t="s">
        <v>19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21</v>
      </c>
      <c r="D414" t="s">
        <v>2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19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21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18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5</v>
      </c>
      <c r="C416" t="s">
        <v>21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18</v>
      </c>
      <c r="J416" t="s">
        <v>19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21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18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4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19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18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2</v>
      </c>
      <c r="E421" s="1">
        <v>460163.41</v>
      </c>
      <c r="F421">
        <v>84394</v>
      </c>
      <c r="G421">
        <v>114</v>
      </c>
      <c r="H421" s="2">
        <v>0</v>
      </c>
      <c r="I421" t="s">
        <v>18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18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21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18</v>
      </c>
      <c r="J423" t="s">
        <v>19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5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18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21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18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21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18</v>
      </c>
      <c r="J426" t="s">
        <v>19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4</v>
      </c>
      <c r="E427" s="1">
        <v>2777628.91</v>
      </c>
      <c r="F427">
        <v>88220</v>
      </c>
      <c r="G427">
        <v>230</v>
      </c>
      <c r="H427" s="2">
        <v>0</v>
      </c>
      <c r="I427" t="s">
        <v>18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5</v>
      </c>
      <c r="C428" t="s">
        <v>21</v>
      </c>
      <c r="D428" t="s">
        <v>2</v>
      </c>
      <c r="E428" s="1">
        <v>1036434.75</v>
      </c>
      <c r="F428">
        <v>58327</v>
      </c>
      <c r="G428">
        <v>129</v>
      </c>
      <c r="H428" s="2">
        <v>0</v>
      </c>
      <c r="I428" t="s">
        <v>18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2</v>
      </c>
      <c r="E429" s="1">
        <v>785190.14</v>
      </c>
      <c r="F429">
        <v>25950</v>
      </c>
      <c r="G429">
        <v>66</v>
      </c>
      <c r="H429" s="2">
        <v>0</v>
      </c>
      <c r="I429" t="s">
        <v>18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18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3</v>
      </c>
      <c r="C433" t="s">
        <v>21</v>
      </c>
      <c r="D433" t="s">
        <v>4</v>
      </c>
      <c r="E433" s="1">
        <v>504129.96</v>
      </c>
      <c r="F433">
        <v>36234</v>
      </c>
      <c r="G433">
        <v>63</v>
      </c>
      <c r="H433" s="2">
        <v>0</v>
      </c>
      <c r="I433" t="s">
        <v>18</v>
      </c>
      <c r="J433" t="s">
        <v>19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18</v>
      </c>
      <c r="J434" t="s">
        <v>19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21</v>
      </c>
      <c r="D435" t="s">
        <v>2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3</v>
      </c>
      <c r="C436" t="s">
        <v>21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18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18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18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21</v>
      </c>
      <c r="D439" t="s">
        <v>4</v>
      </c>
      <c r="E439" s="1">
        <v>2190391.36</v>
      </c>
      <c r="F439">
        <v>22254</v>
      </c>
      <c r="G439">
        <v>79</v>
      </c>
      <c r="H439" s="2">
        <v>0</v>
      </c>
      <c r="I439" t="s">
        <v>18</v>
      </c>
      <c r="J439" t="s">
        <v>19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18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21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18</v>
      </c>
      <c r="J441" t="s">
        <v>19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19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18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18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21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18</v>
      </c>
      <c r="J445" t="s">
        <v>19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5</v>
      </c>
      <c r="C446" t="s">
        <v>21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18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21</v>
      </c>
      <c r="D447" t="s">
        <v>4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19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18</v>
      </c>
      <c r="J448" t="s">
        <v>19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4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19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3</v>
      </c>
      <c r="C451" t="s">
        <v>17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18</v>
      </c>
      <c r="J451" t="s">
        <v>19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21</v>
      </c>
      <c r="D452" t="s">
        <v>4</v>
      </c>
      <c r="E452" s="1">
        <v>380392.18</v>
      </c>
      <c r="F452">
        <v>20325</v>
      </c>
      <c r="G452">
        <v>100</v>
      </c>
      <c r="H452" s="2">
        <v>0</v>
      </c>
      <c r="I452" t="s">
        <v>18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4</v>
      </c>
      <c r="E453" s="1">
        <v>863540.35</v>
      </c>
      <c r="F453">
        <v>13129</v>
      </c>
      <c r="G453">
        <v>117</v>
      </c>
      <c r="H453" s="2">
        <v>0</v>
      </c>
      <c r="I453" t="s">
        <v>18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21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18</v>
      </c>
      <c r="J454" t="s">
        <v>19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2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19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18</v>
      </c>
      <c r="J456" t="s">
        <v>19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4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19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21</v>
      </c>
      <c r="D459" t="s">
        <v>4</v>
      </c>
      <c r="E459" s="1">
        <v>1093717.8500000001</v>
      </c>
      <c r="F459">
        <v>21450</v>
      </c>
      <c r="G459">
        <v>138</v>
      </c>
      <c r="H459" s="2">
        <v>0</v>
      </c>
      <c r="I459" t="s">
        <v>18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19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21</v>
      </c>
      <c r="D461" t="s">
        <v>4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21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18</v>
      </c>
      <c r="J462" t="s">
        <v>19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21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18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18</v>
      </c>
      <c r="J464" t="s">
        <v>19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5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18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18</v>
      </c>
      <c r="J466" t="s">
        <v>19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4</v>
      </c>
      <c r="E467" s="1">
        <v>1807394</v>
      </c>
      <c r="F467">
        <v>64620</v>
      </c>
      <c r="G467">
        <v>76</v>
      </c>
      <c r="H467" s="2">
        <v>36526</v>
      </c>
      <c r="I467" t="s">
        <v>18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4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19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21</v>
      </c>
      <c r="D469" t="s">
        <v>4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19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5</v>
      </c>
      <c r="C470" t="s">
        <v>21</v>
      </c>
      <c r="D470" t="s">
        <v>4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19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18</v>
      </c>
      <c r="J472" t="s">
        <v>19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5</v>
      </c>
      <c r="C473" t="s">
        <v>21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19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4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21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18</v>
      </c>
      <c r="J476" t="s">
        <v>19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21</v>
      </c>
      <c r="D477" t="s">
        <v>4</v>
      </c>
      <c r="E477" s="1">
        <v>1415861.36</v>
      </c>
      <c r="F477">
        <v>83235</v>
      </c>
      <c r="G477">
        <v>70</v>
      </c>
      <c r="H477" s="2">
        <v>0</v>
      </c>
      <c r="I477" t="s">
        <v>18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18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18</v>
      </c>
      <c r="J479" t="s">
        <v>19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21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18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3</v>
      </c>
      <c r="C481" t="s">
        <v>21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18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4</v>
      </c>
      <c r="E482" s="1">
        <v>2359468.02</v>
      </c>
      <c r="F482">
        <v>76358</v>
      </c>
      <c r="G482">
        <v>66</v>
      </c>
      <c r="H482" s="2">
        <v>0</v>
      </c>
      <c r="I482" t="s">
        <v>18</v>
      </c>
      <c r="J482" t="s">
        <v>19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3</v>
      </c>
      <c r="C483" t="s">
        <v>27</v>
      </c>
      <c r="D483" t="s">
        <v>2</v>
      </c>
      <c r="E483" s="1">
        <v>257250.66</v>
      </c>
      <c r="F483">
        <v>21104</v>
      </c>
      <c r="G483">
        <v>66</v>
      </c>
      <c r="H483" s="2">
        <v>0</v>
      </c>
      <c r="I483" t="s">
        <v>18</v>
      </c>
      <c r="J483" t="s">
        <v>19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21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18</v>
      </c>
      <c r="J484" t="s">
        <v>19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21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18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21</v>
      </c>
      <c r="D486" t="s">
        <v>2</v>
      </c>
      <c r="E486" s="1">
        <v>675665.14</v>
      </c>
      <c r="F486">
        <v>33288</v>
      </c>
      <c r="G486">
        <v>86</v>
      </c>
      <c r="H486" s="2">
        <v>36557</v>
      </c>
      <c r="I486" t="s">
        <v>18</v>
      </c>
      <c r="J486" t="s">
        <v>19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21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18</v>
      </c>
      <c r="J487" t="s">
        <v>19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21</v>
      </c>
      <c r="D488" t="s">
        <v>4</v>
      </c>
      <c r="E488" s="1">
        <v>357076.05</v>
      </c>
      <c r="F488">
        <v>56168</v>
      </c>
      <c r="G488">
        <v>88</v>
      </c>
      <c r="H488" s="2">
        <v>0</v>
      </c>
      <c r="I488" t="s">
        <v>18</v>
      </c>
      <c r="J488" t="s">
        <v>19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18</v>
      </c>
      <c r="J489" t="s">
        <v>19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18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21</v>
      </c>
      <c r="D491" t="s">
        <v>2</v>
      </c>
      <c r="E491" s="1">
        <v>273031.38</v>
      </c>
      <c r="F491">
        <v>36218</v>
      </c>
      <c r="G491">
        <v>68</v>
      </c>
      <c r="H491" s="2">
        <v>0</v>
      </c>
      <c r="I491" t="s">
        <v>18</v>
      </c>
      <c r="J491" t="s">
        <v>19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21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19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21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18</v>
      </c>
      <c r="J493" t="s">
        <v>19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18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21</v>
      </c>
      <c r="D496" t="s">
        <v>2</v>
      </c>
      <c r="E496" s="1">
        <v>588718.19999999995</v>
      </c>
      <c r="F496">
        <v>62773</v>
      </c>
      <c r="G496">
        <v>73</v>
      </c>
      <c r="H496" s="2">
        <v>0</v>
      </c>
      <c r="I496" t="s">
        <v>18</v>
      </c>
      <c r="J496" t="s">
        <v>19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21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18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18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21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18</v>
      </c>
      <c r="J499" t="s">
        <v>19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18</v>
      </c>
      <c r="J500" t="s">
        <v>19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18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21</v>
      </c>
      <c r="D502" t="s">
        <v>4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18</v>
      </c>
      <c r="J503" t="s">
        <v>19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18</v>
      </c>
      <c r="J505" t="s">
        <v>19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21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18</v>
      </c>
      <c r="J507" t="s">
        <v>19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21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21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19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21</v>
      </c>
      <c r="D510" t="s">
        <v>4</v>
      </c>
      <c r="E510" s="1">
        <v>648152.66</v>
      </c>
      <c r="F510">
        <v>30689</v>
      </c>
      <c r="G510">
        <v>81</v>
      </c>
      <c r="H510" s="2">
        <v>0</v>
      </c>
      <c r="I510" t="s">
        <v>18</v>
      </c>
      <c r="J510" t="s">
        <v>19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21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18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4</v>
      </c>
      <c r="E513" s="1">
        <v>1044265.14</v>
      </c>
      <c r="F513">
        <v>17269</v>
      </c>
      <c r="G513">
        <v>139</v>
      </c>
      <c r="H513" s="2">
        <v>0</v>
      </c>
      <c r="I513" t="s">
        <v>18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21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21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18</v>
      </c>
      <c r="J516" t="s">
        <v>19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21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18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21</v>
      </c>
      <c r="D518" t="s">
        <v>4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19</v>
      </c>
      <c r="K518">
        <v>384</v>
      </c>
      <c r="L518" s="2">
        <v>35384</v>
      </c>
    </row>
    <row r="519" spans="1:12" x14ac:dyDescent="0.35">
      <c r="A519" t="s">
        <v>558</v>
      </c>
      <c r="B519" t="s">
        <v>5</v>
      </c>
      <c r="C519" t="s">
        <v>27</v>
      </c>
      <c r="D519" t="s">
        <v>4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19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21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18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21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18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21</v>
      </c>
      <c r="D522" t="s">
        <v>4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19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21</v>
      </c>
      <c r="D525" t="s">
        <v>4</v>
      </c>
      <c r="E525" s="1">
        <v>533735.24</v>
      </c>
      <c r="F525">
        <v>0</v>
      </c>
      <c r="G525">
        <v>86</v>
      </c>
      <c r="H525" s="2">
        <v>36586</v>
      </c>
      <c r="I525" t="s">
        <v>18</v>
      </c>
      <c r="J525" t="s">
        <v>19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5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18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5</v>
      </c>
      <c r="C527" t="s">
        <v>21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19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4</v>
      </c>
      <c r="E528" s="1">
        <v>726873.7</v>
      </c>
      <c r="F528">
        <v>24445</v>
      </c>
      <c r="G528">
        <v>63</v>
      </c>
      <c r="H528" s="2">
        <v>0</v>
      </c>
      <c r="I528" t="s">
        <v>18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18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18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21</v>
      </c>
      <c r="D531" t="s">
        <v>2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19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5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19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5</v>
      </c>
      <c r="C533" t="s">
        <v>21</v>
      </c>
      <c r="D533" t="s">
        <v>4</v>
      </c>
      <c r="E533" s="1">
        <v>684615.03</v>
      </c>
      <c r="F533">
        <v>0</v>
      </c>
      <c r="G533">
        <v>95</v>
      </c>
      <c r="H533" s="2">
        <v>0</v>
      </c>
      <c r="I533" t="s">
        <v>18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2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19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5</v>
      </c>
      <c r="C535" t="s">
        <v>21</v>
      </c>
      <c r="D535" t="s">
        <v>4</v>
      </c>
      <c r="E535" s="1">
        <v>1034632.45</v>
      </c>
      <c r="F535">
        <v>0</v>
      </c>
      <c r="G535">
        <v>98</v>
      </c>
      <c r="H535" s="2">
        <v>0</v>
      </c>
      <c r="I535" t="s">
        <v>18</v>
      </c>
      <c r="J535" t="s">
        <v>19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21</v>
      </c>
      <c r="D536" t="s">
        <v>4</v>
      </c>
      <c r="E536" s="1">
        <v>699700.86</v>
      </c>
      <c r="F536">
        <v>55873</v>
      </c>
      <c r="G536">
        <v>88</v>
      </c>
      <c r="H536" s="2">
        <v>0</v>
      </c>
      <c r="I536" t="s">
        <v>18</v>
      </c>
      <c r="J536" t="s">
        <v>19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5</v>
      </c>
      <c r="C537" t="s">
        <v>21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18</v>
      </c>
      <c r="J537" t="s">
        <v>19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21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18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21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18</v>
      </c>
      <c r="J539" t="s">
        <v>19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18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18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21</v>
      </c>
      <c r="D542" t="s">
        <v>2</v>
      </c>
      <c r="E542" s="1">
        <v>592311.72</v>
      </c>
      <c r="F542">
        <v>92163</v>
      </c>
      <c r="G542">
        <v>73</v>
      </c>
      <c r="H542" s="2">
        <v>0</v>
      </c>
      <c r="I542" t="s">
        <v>18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18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3</v>
      </c>
      <c r="C544" t="s">
        <v>21</v>
      </c>
      <c r="D544" t="s">
        <v>4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19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5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18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19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21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18</v>
      </c>
      <c r="J547" t="s">
        <v>19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18</v>
      </c>
      <c r="J548" t="s">
        <v>19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5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18</v>
      </c>
      <c r="J549" t="s">
        <v>19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5</v>
      </c>
      <c r="C550" t="s">
        <v>27</v>
      </c>
      <c r="D550" t="s">
        <v>4</v>
      </c>
      <c r="E550" s="1">
        <v>512973.9</v>
      </c>
      <c r="F550">
        <v>86148</v>
      </c>
      <c r="G550">
        <v>65</v>
      </c>
      <c r="H550" s="2">
        <v>36557</v>
      </c>
      <c r="I550" t="s">
        <v>18</v>
      </c>
      <c r="J550" t="s">
        <v>19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21</v>
      </c>
      <c r="D551" t="s">
        <v>4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19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21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18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21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21</v>
      </c>
      <c r="D554" t="s">
        <v>2</v>
      </c>
      <c r="E554" s="1">
        <v>417068.73</v>
      </c>
      <c r="F554">
        <v>29462</v>
      </c>
      <c r="G554">
        <v>107</v>
      </c>
      <c r="H554" s="2">
        <v>36526</v>
      </c>
      <c r="I554" t="s">
        <v>18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21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18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18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5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18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18</v>
      </c>
      <c r="J558" t="s">
        <v>19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19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21</v>
      </c>
      <c r="D560" t="s">
        <v>2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5</v>
      </c>
      <c r="C561" t="s">
        <v>21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18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4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3</v>
      </c>
      <c r="C563" t="s">
        <v>21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21</v>
      </c>
      <c r="D564" t="s">
        <v>4</v>
      </c>
      <c r="E564" s="1">
        <v>593474.15</v>
      </c>
      <c r="F564">
        <v>87747</v>
      </c>
      <c r="G564">
        <v>147</v>
      </c>
      <c r="H564" s="2">
        <v>36526</v>
      </c>
      <c r="I564" t="s">
        <v>18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18</v>
      </c>
      <c r="J565" t="s">
        <v>19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2</v>
      </c>
      <c r="E566" s="1">
        <v>349002.83</v>
      </c>
      <c r="F566">
        <v>90985</v>
      </c>
      <c r="G566">
        <v>87</v>
      </c>
      <c r="H566" s="2">
        <v>0</v>
      </c>
      <c r="I566" t="s">
        <v>18</v>
      </c>
      <c r="J566" t="s">
        <v>19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21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18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21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18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21</v>
      </c>
      <c r="D570" t="s">
        <v>4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4</v>
      </c>
      <c r="E571" s="1">
        <v>249745.51</v>
      </c>
      <c r="F571">
        <v>24825</v>
      </c>
      <c r="G571">
        <v>64</v>
      </c>
      <c r="H571" s="2">
        <v>0</v>
      </c>
      <c r="I571" t="s">
        <v>18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18</v>
      </c>
      <c r="J572" t="s">
        <v>19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21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18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21</v>
      </c>
      <c r="D574" t="s">
        <v>4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4</v>
      </c>
      <c r="E575" s="1">
        <v>273020.28999999998</v>
      </c>
      <c r="F575">
        <v>46135</v>
      </c>
      <c r="G575">
        <v>69</v>
      </c>
      <c r="H575" s="2">
        <v>0</v>
      </c>
      <c r="I575" t="s">
        <v>18</v>
      </c>
      <c r="J575" t="s">
        <v>19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5</v>
      </c>
      <c r="C576" t="s">
        <v>21</v>
      </c>
      <c r="D576" t="s">
        <v>4</v>
      </c>
      <c r="E576" s="1">
        <v>516211.69</v>
      </c>
      <c r="F576">
        <v>0</v>
      </c>
      <c r="G576">
        <v>73</v>
      </c>
      <c r="H576" s="2">
        <v>0</v>
      </c>
      <c r="I576" t="s">
        <v>18</v>
      </c>
      <c r="J576" t="s">
        <v>19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21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18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21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18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4</v>
      </c>
      <c r="E579" s="1">
        <v>263254.58</v>
      </c>
      <c r="F579">
        <v>95854</v>
      </c>
      <c r="G579">
        <v>65</v>
      </c>
      <c r="H579" s="2">
        <v>0</v>
      </c>
      <c r="I579" t="s">
        <v>18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21</v>
      </c>
      <c r="D580" t="s">
        <v>4</v>
      </c>
      <c r="E580" s="1">
        <v>778500.42</v>
      </c>
      <c r="F580">
        <v>44897</v>
      </c>
      <c r="G580">
        <v>99</v>
      </c>
      <c r="H580" s="2">
        <v>36526</v>
      </c>
      <c r="I580" t="s">
        <v>18</v>
      </c>
      <c r="J580" t="s">
        <v>19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18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21</v>
      </c>
      <c r="D582" t="s">
        <v>2</v>
      </c>
      <c r="E582" s="1">
        <v>498082.5</v>
      </c>
      <c r="F582">
        <v>53265</v>
      </c>
      <c r="G582">
        <v>62</v>
      </c>
      <c r="H582" s="2">
        <v>0</v>
      </c>
      <c r="I582" t="s">
        <v>18</v>
      </c>
      <c r="J582" t="s">
        <v>19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5</v>
      </c>
      <c r="C583" t="s">
        <v>21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18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3</v>
      </c>
      <c r="C584" t="s">
        <v>27</v>
      </c>
      <c r="D584" t="s">
        <v>2</v>
      </c>
      <c r="E584" s="1">
        <v>1064093.93</v>
      </c>
      <c r="F584">
        <v>50450</v>
      </c>
      <c r="G584">
        <v>90</v>
      </c>
      <c r="H584" s="2">
        <v>0</v>
      </c>
      <c r="I584" t="s">
        <v>18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21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18</v>
      </c>
      <c r="J585" t="s">
        <v>19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18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4</v>
      </c>
      <c r="E587" s="1">
        <v>554803.18999999994</v>
      </c>
      <c r="F587">
        <v>67798</v>
      </c>
      <c r="G587">
        <v>69</v>
      </c>
      <c r="H587" s="2">
        <v>0</v>
      </c>
      <c r="I587" t="s">
        <v>18</v>
      </c>
      <c r="J587" t="s">
        <v>19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4</v>
      </c>
      <c r="E588" s="1">
        <v>831268.16</v>
      </c>
      <c r="F588">
        <v>21442</v>
      </c>
      <c r="G588">
        <v>118</v>
      </c>
      <c r="H588" s="2">
        <v>0</v>
      </c>
      <c r="I588" t="s">
        <v>18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4</v>
      </c>
      <c r="E589" s="1">
        <v>238998.1</v>
      </c>
      <c r="F589">
        <v>27615</v>
      </c>
      <c r="G589">
        <v>62</v>
      </c>
      <c r="H589" s="2">
        <v>36526</v>
      </c>
      <c r="I589" t="s">
        <v>18</v>
      </c>
      <c r="J589" t="s">
        <v>19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4</v>
      </c>
      <c r="E590" s="1">
        <v>445811.34</v>
      </c>
      <c r="F590">
        <v>17622</v>
      </c>
      <c r="G590">
        <v>65</v>
      </c>
      <c r="H590" s="2">
        <v>36526</v>
      </c>
      <c r="I590" t="s">
        <v>18</v>
      </c>
      <c r="J590" t="s">
        <v>19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18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5</v>
      </c>
      <c r="C592" t="s">
        <v>21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18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21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18</v>
      </c>
      <c r="J593" t="s">
        <v>19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21</v>
      </c>
      <c r="D594" t="s">
        <v>2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21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18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18</v>
      </c>
      <c r="J597" t="s">
        <v>19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21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18</v>
      </c>
      <c r="J598" t="s">
        <v>19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5</v>
      </c>
      <c r="C599" t="s">
        <v>21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18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18</v>
      </c>
      <c r="J600" t="s">
        <v>19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5</v>
      </c>
      <c r="C601" t="s">
        <v>21</v>
      </c>
      <c r="D601" t="s">
        <v>2</v>
      </c>
      <c r="E601" s="1">
        <v>509078.13</v>
      </c>
      <c r="F601">
        <v>93018</v>
      </c>
      <c r="G601">
        <v>63</v>
      </c>
      <c r="H601" s="2">
        <v>0</v>
      </c>
      <c r="I601" t="s">
        <v>18</v>
      </c>
      <c r="J601" t="s">
        <v>19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4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19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21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18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4</v>
      </c>
      <c r="E604" s="1">
        <v>885268.87</v>
      </c>
      <c r="F604">
        <v>67969</v>
      </c>
      <c r="G604">
        <v>74</v>
      </c>
      <c r="H604" s="2">
        <v>0</v>
      </c>
      <c r="I604" t="s">
        <v>18</v>
      </c>
      <c r="J604" t="s">
        <v>19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21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21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18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19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18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18</v>
      </c>
      <c r="J610" t="s">
        <v>19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21</v>
      </c>
      <c r="D611" t="s">
        <v>4</v>
      </c>
      <c r="E611" s="1">
        <v>772484.01</v>
      </c>
      <c r="F611">
        <v>32051</v>
      </c>
      <c r="G611">
        <v>193</v>
      </c>
      <c r="H611" s="2">
        <v>36526</v>
      </c>
      <c r="I611" t="s">
        <v>18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2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19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21</v>
      </c>
      <c r="D613" t="s">
        <v>2</v>
      </c>
      <c r="E613" s="1">
        <v>800054.51</v>
      </c>
      <c r="F613">
        <v>63834</v>
      </c>
      <c r="G613">
        <v>100</v>
      </c>
      <c r="H613" s="2">
        <v>36526</v>
      </c>
      <c r="I613" t="s">
        <v>18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5</v>
      </c>
      <c r="C614" t="s">
        <v>27</v>
      </c>
      <c r="D614" t="s">
        <v>4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19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5</v>
      </c>
      <c r="C615" t="s">
        <v>21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18</v>
      </c>
      <c r="J615" t="s">
        <v>19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18</v>
      </c>
      <c r="J616" t="s">
        <v>19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2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19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18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21</v>
      </c>
      <c r="D619" t="s">
        <v>2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19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21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19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21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18</v>
      </c>
      <c r="J621" t="s">
        <v>19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21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18</v>
      </c>
      <c r="J622" t="s">
        <v>19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3</v>
      </c>
      <c r="C623" t="s">
        <v>27</v>
      </c>
      <c r="D623" t="s">
        <v>4</v>
      </c>
      <c r="E623" s="1">
        <v>281369.26</v>
      </c>
      <c r="F623">
        <v>43836</v>
      </c>
      <c r="G623">
        <v>73</v>
      </c>
      <c r="H623" s="2">
        <v>0</v>
      </c>
      <c r="I623" t="s">
        <v>18</v>
      </c>
      <c r="J623" t="s">
        <v>19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21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18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21</v>
      </c>
      <c r="D625" t="s">
        <v>4</v>
      </c>
      <c r="E625" s="1">
        <v>260620.85</v>
      </c>
      <c r="F625">
        <v>28519</v>
      </c>
      <c r="G625">
        <v>66</v>
      </c>
      <c r="H625" s="2">
        <v>0</v>
      </c>
      <c r="I625" t="s">
        <v>18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5</v>
      </c>
      <c r="C626" t="s">
        <v>21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18</v>
      </c>
      <c r="J626" t="s">
        <v>19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21</v>
      </c>
      <c r="D627" t="s">
        <v>4</v>
      </c>
      <c r="E627" s="1">
        <v>325676.64</v>
      </c>
      <c r="F627">
        <v>0</v>
      </c>
      <c r="G627">
        <v>89</v>
      </c>
      <c r="H627" s="2">
        <v>0</v>
      </c>
      <c r="I627" t="s">
        <v>18</v>
      </c>
      <c r="J627" t="s">
        <v>19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21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18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18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5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18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21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18</v>
      </c>
      <c r="J631" t="s">
        <v>19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4</v>
      </c>
      <c r="E632" s="1">
        <v>778099.93</v>
      </c>
      <c r="F632">
        <v>0</v>
      </c>
      <c r="G632">
        <v>74</v>
      </c>
      <c r="H632" s="2">
        <v>0</v>
      </c>
      <c r="I632" t="s">
        <v>18</v>
      </c>
      <c r="J632" t="s">
        <v>19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18</v>
      </c>
      <c r="J633" t="s">
        <v>19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19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21</v>
      </c>
      <c r="D635" t="s">
        <v>4</v>
      </c>
      <c r="E635" s="1">
        <v>1017971.7</v>
      </c>
      <c r="F635">
        <v>14290</v>
      </c>
      <c r="G635">
        <v>271</v>
      </c>
      <c r="H635" s="2">
        <v>0</v>
      </c>
      <c r="I635" t="s">
        <v>18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21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19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3</v>
      </c>
      <c r="C638" t="s">
        <v>27</v>
      </c>
      <c r="D638" t="s">
        <v>2</v>
      </c>
      <c r="E638" s="1">
        <v>419196.61</v>
      </c>
      <c r="F638">
        <v>77048</v>
      </c>
      <c r="G638">
        <v>103</v>
      </c>
      <c r="H638" s="2">
        <v>0</v>
      </c>
      <c r="I638" t="s">
        <v>18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21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18</v>
      </c>
      <c r="J639" t="s">
        <v>19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18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21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19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3</v>
      </c>
      <c r="C642" t="s">
        <v>21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18</v>
      </c>
      <c r="J642" t="s">
        <v>19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5</v>
      </c>
      <c r="C643" t="s">
        <v>27</v>
      </c>
      <c r="D643" t="s">
        <v>2</v>
      </c>
      <c r="E643" s="1">
        <v>267331.96000000002</v>
      </c>
      <c r="F643">
        <v>28728</v>
      </c>
      <c r="G643">
        <v>67</v>
      </c>
      <c r="H643" s="2">
        <v>0</v>
      </c>
      <c r="I643" t="s">
        <v>18</v>
      </c>
      <c r="J643" t="s">
        <v>19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5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18</v>
      </c>
      <c r="J644" t="s">
        <v>19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21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18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18</v>
      </c>
      <c r="J646" t="s">
        <v>19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4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4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21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18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4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19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18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4</v>
      </c>
      <c r="E652" s="1">
        <v>853510.89</v>
      </c>
      <c r="F652">
        <v>55790</v>
      </c>
      <c r="G652">
        <v>111</v>
      </c>
      <c r="H652" s="2">
        <v>0</v>
      </c>
      <c r="I652" t="s">
        <v>18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5</v>
      </c>
      <c r="C653" t="s">
        <v>21</v>
      </c>
      <c r="D653" t="s">
        <v>4</v>
      </c>
      <c r="E653" s="1">
        <v>829348.19</v>
      </c>
      <c r="F653">
        <v>70258</v>
      </c>
      <c r="G653">
        <v>69</v>
      </c>
      <c r="H653" s="2">
        <v>0</v>
      </c>
      <c r="I653" t="s">
        <v>18</v>
      </c>
      <c r="J653" t="s">
        <v>19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21</v>
      </c>
      <c r="D654" t="s">
        <v>4</v>
      </c>
      <c r="E654" s="1">
        <v>684615.03</v>
      </c>
      <c r="F654">
        <v>0</v>
      </c>
      <c r="G654">
        <v>95</v>
      </c>
      <c r="H654" s="2">
        <v>0</v>
      </c>
      <c r="I654" t="s">
        <v>18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21</v>
      </c>
      <c r="D655" t="s">
        <v>4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19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3</v>
      </c>
      <c r="C656" t="s">
        <v>21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18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5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18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3</v>
      </c>
      <c r="C658" t="s">
        <v>21</v>
      </c>
      <c r="D658" t="s">
        <v>2</v>
      </c>
      <c r="E658" s="1">
        <v>527562.69999999995</v>
      </c>
      <c r="F658">
        <v>70446</v>
      </c>
      <c r="G658">
        <v>65</v>
      </c>
      <c r="H658" s="2">
        <v>0</v>
      </c>
      <c r="I658" t="s">
        <v>18</v>
      </c>
      <c r="J658" t="s">
        <v>19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3</v>
      </c>
      <c r="C659" t="s">
        <v>21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18</v>
      </c>
      <c r="J659" t="s">
        <v>19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21</v>
      </c>
      <c r="D660" t="s">
        <v>4</v>
      </c>
      <c r="E660" s="1">
        <v>343525.01</v>
      </c>
      <c r="F660">
        <v>64348</v>
      </c>
      <c r="G660">
        <v>86</v>
      </c>
      <c r="H660" s="2">
        <v>0</v>
      </c>
      <c r="I660" t="s">
        <v>18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4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2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19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3</v>
      </c>
      <c r="C663" t="s">
        <v>21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19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21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19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21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18</v>
      </c>
      <c r="J665" t="s">
        <v>19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5</v>
      </c>
      <c r="C666" t="s">
        <v>21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18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21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19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21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18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4</v>
      </c>
      <c r="E669" s="1">
        <v>505961.62</v>
      </c>
      <c r="F669">
        <v>41869</v>
      </c>
      <c r="G669">
        <v>64</v>
      </c>
      <c r="H669" s="2">
        <v>0</v>
      </c>
      <c r="I669" t="s">
        <v>18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5</v>
      </c>
      <c r="C670" t="s">
        <v>21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18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21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18</v>
      </c>
      <c r="J671" t="s">
        <v>19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21</v>
      </c>
      <c r="D672" t="s">
        <v>4</v>
      </c>
      <c r="E672" s="1">
        <v>827763.76</v>
      </c>
      <c r="F672">
        <v>79780</v>
      </c>
      <c r="G672">
        <v>68</v>
      </c>
      <c r="H672" s="2">
        <v>0</v>
      </c>
      <c r="I672" t="s">
        <v>18</v>
      </c>
      <c r="J672" t="s">
        <v>19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21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18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21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18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5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18</v>
      </c>
      <c r="J675" t="s">
        <v>19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19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5</v>
      </c>
      <c r="C677" t="s">
        <v>21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19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21</v>
      </c>
      <c r="D678" t="s">
        <v>4</v>
      </c>
      <c r="E678" s="1">
        <v>259574.8</v>
      </c>
      <c r="F678">
        <v>47234</v>
      </c>
      <c r="G678">
        <v>65</v>
      </c>
      <c r="H678" s="2">
        <v>0</v>
      </c>
      <c r="I678" t="s">
        <v>18</v>
      </c>
      <c r="J678" t="s">
        <v>19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18</v>
      </c>
      <c r="J679" t="s">
        <v>19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4</v>
      </c>
      <c r="E680" s="1">
        <v>1453678.76</v>
      </c>
      <c r="F680">
        <v>25805</v>
      </c>
      <c r="G680">
        <v>66</v>
      </c>
      <c r="H680" s="2">
        <v>36557</v>
      </c>
      <c r="I680" t="s">
        <v>18</v>
      </c>
      <c r="J680" t="s">
        <v>19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4</v>
      </c>
      <c r="E681" s="1">
        <v>591330.59</v>
      </c>
      <c r="F681">
        <v>43676</v>
      </c>
      <c r="G681">
        <v>76</v>
      </c>
      <c r="H681" s="2">
        <v>0</v>
      </c>
      <c r="I681" t="s">
        <v>18</v>
      </c>
      <c r="J681" t="s">
        <v>19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5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18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5</v>
      </c>
      <c r="C683" t="s">
        <v>27</v>
      </c>
      <c r="D683" t="s">
        <v>2</v>
      </c>
      <c r="E683" s="1">
        <v>2919436.64</v>
      </c>
      <c r="F683">
        <v>35296</v>
      </c>
      <c r="G683">
        <v>126</v>
      </c>
      <c r="H683" s="2">
        <v>0</v>
      </c>
      <c r="I683" t="s">
        <v>18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21</v>
      </c>
      <c r="D684" t="s">
        <v>2</v>
      </c>
      <c r="E684" s="1">
        <v>988038.58</v>
      </c>
      <c r="F684">
        <v>36576</v>
      </c>
      <c r="G684">
        <v>125</v>
      </c>
      <c r="H684" s="2">
        <v>36526</v>
      </c>
      <c r="I684" t="s">
        <v>18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21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4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19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21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18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21</v>
      </c>
      <c r="D688" t="s">
        <v>4</v>
      </c>
      <c r="E688" s="1">
        <v>438118.42</v>
      </c>
      <c r="F688">
        <v>20597</v>
      </c>
      <c r="G688">
        <v>112</v>
      </c>
      <c r="H688" s="2">
        <v>0</v>
      </c>
      <c r="I688" t="s">
        <v>18</v>
      </c>
      <c r="J688" t="s">
        <v>19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5</v>
      </c>
      <c r="C689" t="s">
        <v>21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18</v>
      </c>
      <c r="J689" t="s">
        <v>19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4</v>
      </c>
      <c r="E690" s="1">
        <v>1143058.8500000001</v>
      </c>
      <c r="F690">
        <v>93210</v>
      </c>
      <c r="G690">
        <v>71</v>
      </c>
      <c r="H690" s="2">
        <v>0</v>
      </c>
      <c r="I690" t="s">
        <v>18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21</v>
      </c>
      <c r="D691" t="s">
        <v>4</v>
      </c>
      <c r="E691" s="1">
        <v>748248.61</v>
      </c>
      <c r="F691">
        <v>48992</v>
      </c>
      <c r="G691">
        <v>94</v>
      </c>
      <c r="H691" s="2">
        <v>36526</v>
      </c>
      <c r="I691" t="s">
        <v>18</v>
      </c>
      <c r="J691" t="s">
        <v>19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5</v>
      </c>
      <c r="C692" t="s">
        <v>21</v>
      </c>
      <c r="D692" t="s">
        <v>2</v>
      </c>
      <c r="E692" s="1">
        <v>859691.66</v>
      </c>
      <c r="F692">
        <v>53736</v>
      </c>
      <c r="G692">
        <v>71</v>
      </c>
      <c r="H692" s="2">
        <v>0</v>
      </c>
      <c r="I692" t="s">
        <v>18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5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18</v>
      </c>
      <c r="J693" t="s">
        <v>19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21</v>
      </c>
      <c r="D694" t="s">
        <v>4</v>
      </c>
      <c r="E694" s="1">
        <v>258240.85</v>
      </c>
      <c r="F694">
        <v>76731</v>
      </c>
      <c r="G694">
        <v>64</v>
      </c>
      <c r="H694" s="2">
        <v>0</v>
      </c>
      <c r="I694" t="s">
        <v>18</v>
      </c>
      <c r="J694" t="s">
        <v>19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3</v>
      </c>
      <c r="C695" t="s">
        <v>27</v>
      </c>
      <c r="D695" t="s">
        <v>2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21</v>
      </c>
      <c r="D696" t="s">
        <v>4</v>
      </c>
      <c r="E696" s="1">
        <v>411858.86</v>
      </c>
      <c r="F696">
        <v>69379</v>
      </c>
      <c r="G696">
        <v>103</v>
      </c>
      <c r="H696" s="2">
        <v>0</v>
      </c>
      <c r="I696" t="s">
        <v>18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18</v>
      </c>
      <c r="J697" t="s">
        <v>19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5</v>
      </c>
      <c r="C698" t="s">
        <v>27</v>
      </c>
      <c r="D698" t="s">
        <v>4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19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18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5</v>
      </c>
      <c r="C700" t="s">
        <v>21</v>
      </c>
      <c r="D700" t="s">
        <v>4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19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3</v>
      </c>
      <c r="C701" t="s">
        <v>21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18</v>
      </c>
      <c r="J701" t="s">
        <v>19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21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18</v>
      </c>
      <c r="J702" t="s">
        <v>19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5</v>
      </c>
      <c r="C703" t="s">
        <v>21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18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21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18</v>
      </c>
      <c r="J704" t="s">
        <v>19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19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21</v>
      </c>
      <c r="D706" t="s">
        <v>4</v>
      </c>
      <c r="E706" s="1">
        <v>1419536.03</v>
      </c>
      <c r="F706">
        <v>86355</v>
      </c>
      <c r="G706">
        <v>118</v>
      </c>
      <c r="H706" s="2">
        <v>0</v>
      </c>
      <c r="I706" t="s">
        <v>18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21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18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18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21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18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18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4</v>
      </c>
      <c r="E711" s="1">
        <v>402381.44</v>
      </c>
      <c r="F711">
        <v>41833</v>
      </c>
      <c r="G711">
        <v>103</v>
      </c>
      <c r="H711" s="2">
        <v>0</v>
      </c>
      <c r="I711" t="s">
        <v>18</v>
      </c>
      <c r="J711" t="s">
        <v>19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21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18</v>
      </c>
      <c r="J712" t="s">
        <v>19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4</v>
      </c>
      <c r="E713" s="1">
        <v>2142363.7200000002</v>
      </c>
      <c r="F713">
        <v>0</v>
      </c>
      <c r="G713">
        <v>65</v>
      </c>
      <c r="H713" s="2">
        <v>0</v>
      </c>
      <c r="I713" t="s">
        <v>18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5</v>
      </c>
      <c r="C714" t="s">
        <v>27</v>
      </c>
      <c r="D714" t="s">
        <v>4</v>
      </c>
      <c r="E714" s="1">
        <v>441620.62</v>
      </c>
      <c r="F714">
        <v>61953</v>
      </c>
      <c r="G714">
        <v>113</v>
      </c>
      <c r="H714" s="2">
        <v>0</v>
      </c>
      <c r="I714" t="s">
        <v>18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4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4</v>
      </c>
      <c r="E716" s="1">
        <v>486354.46</v>
      </c>
      <c r="F716">
        <v>0</v>
      </c>
      <c r="G716">
        <v>137</v>
      </c>
      <c r="H716" s="2">
        <v>0</v>
      </c>
      <c r="I716" t="s">
        <v>18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5</v>
      </c>
      <c r="C717" t="s">
        <v>21</v>
      </c>
      <c r="D717" t="s">
        <v>4</v>
      </c>
      <c r="E717" s="1">
        <v>2583090.98</v>
      </c>
      <c r="F717">
        <v>73760</v>
      </c>
      <c r="G717">
        <v>107</v>
      </c>
      <c r="H717" s="2">
        <v>36526</v>
      </c>
      <c r="I717" t="s">
        <v>18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21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19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18</v>
      </c>
      <c r="J719" t="s">
        <v>19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5</v>
      </c>
      <c r="C720" t="s">
        <v>21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3</v>
      </c>
      <c r="C721" t="s">
        <v>27</v>
      </c>
      <c r="D721" t="s">
        <v>2</v>
      </c>
      <c r="E721" s="1">
        <v>803240.19</v>
      </c>
      <c r="F721">
        <v>27658</v>
      </c>
      <c r="G721">
        <v>68</v>
      </c>
      <c r="H721" s="2">
        <v>0</v>
      </c>
      <c r="I721" t="s">
        <v>18</v>
      </c>
      <c r="J721" t="s">
        <v>19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4</v>
      </c>
      <c r="E723" s="1">
        <v>261275.67</v>
      </c>
      <c r="F723">
        <v>19003</v>
      </c>
      <c r="G723">
        <v>71</v>
      </c>
      <c r="H723" s="2">
        <v>0</v>
      </c>
      <c r="I723" t="s">
        <v>18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18</v>
      </c>
      <c r="J724" t="s">
        <v>19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4</v>
      </c>
      <c r="E725" s="1">
        <v>2412750.4</v>
      </c>
      <c r="F725">
        <v>14072</v>
      </c>
      <c r="G725">
        <v>71</v>
      </c>
      <c r="H725" s="2">
        <v>0</v>
      </c>
      <c r="I725" t="s">
        <v>18</v>
      </c>
      <c r="J725" t="s">
        <v>19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19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5</v>
      </c>
      <c r="C727" t="s">
        <v>27</v>
      </c>
      <c r="D727" t="s">
        <v>4</v>
      </c>
      <c r="E727" s="1">
        <v>230864.8</v>
      </c>
      <c r="F727">
        <v>20811</v>
      </c>
      <c r="G727">
        <v>61</v>
      </c>
      <c r="H727" s="2">
        <v>0</v>
      </c>
      <c r="I727" t="s">
        <v>18</v>
      </c>
      <c r="J727" t="s">
        <v>19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5</v>
      </c>
      <c r="C728" t="s">
        <v>21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18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21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19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19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2</v>
      </c>
      <c r="E732" s="1">
        <v>1055217</v>
      </c>
      <c r="F732">
        <v>47761</v>
      </c>
      <c r="G732">
        <v>131</v>
      </c>
      <c r="H732" s="2">
        <v>0</v>
      </c>
      <c r="I732" t="s">
        <v>18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3</v>
      </c>
      <c r="C733" t="s">
        <v>21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18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5</v>
      </c>
      <c r="C734" t="s">
        <v>27</v>
      </c>
      <c r="D734" t="s">
        <v>4</v>
      </c>
      <c r="E734" s="1">
        <v>873783.75</v>
      </c>
      <c r="F734">
        <v>61281</v>
      </c>
      <c r="G734">
        <v>110</v>
      </c>
      <c r="H734" s="2">
        <v>0</v>
      </c>
      <c r="I734" t="s">
        <v>18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4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5</v>
      </c>
      <c r="C736" t="s">
        <v>27</v>
      </c>
      <c r="D736" t="s">
        <v>4</v>
      </c>
      <c r="E736" s="1">
        <v>770528.33</v>
      </c>
      <c r="F736">
        <v>25290</v>
      </c>
      <c r="G736">
        <v>66</v>
      </c>
      <c r="H736" s="2">
        <v>0</v>
      </c>
      <c r="I736" t="s">
        <v>18</v>
      </c>
      <c r="J736" t="s">
        <v>19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5</v>
      </c>
      <c r="C737" t="s">
        <v>21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18</v>
      </c>
      <c r="J737" t="s">
        <v>19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4</v>
      </c>
      <c r="E738" s="1">
        <v>883808.56</v>
      </c>
      <c r="F738">
        <v>82664</v>
      </c>
      <c r="G738">
        <v>114</v>
      </c>
      <c r="H738" s="2">
        <v>36586</v>
      </c>
      <c r="I738" t="s">
        <v>18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5</v>
      </c>
      <c r="C739" t="s">
        <v>27</v>
      </c>
      <c r="D739" t="s">
        <v>4</v>
      </c>
      <c r="E739" s="1">
        <v>873352.73</v>
      </c>
      <c r="F739">
        <v>83210</v>
      </c>
      <c r="G739">
        <v>110</v>
      </c>
      <c r="H739" s="2">
        <v>0</v>
      </c>
      <c r="I739" t="s">
        <v>18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21</v>
      </c>
      <c r="D740" t="s">
        <v>4</v>
      </c>
      <c r="E740" s="1">
        <v>959747.48</v>
      </c>
      <c r="F740">
        <v>38736</v>
      </c>
      <c r="G740">
        <v>81</v>
      </c>
      <c r="H740" s="2">
        <v>0</v>
      </c>
      <c r="I740" t="s">
        <v>18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18</v>
      </c>
      <c r="J741" t="s">
        <v>19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18</v>
      </c>
      <c r="J742" t="s">
        <v>19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18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2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19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21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18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4</v>
      </c>
      <c r="E746" s="1">
        <v>289762.07</v>
      </c>
      <c r="F746">
        <v>54337</v>
      </c>
      <c r="G746">
        <v>72</v>
      </c>
      <c r="H746" s="2">
        <v>0</v>
      </c>
      <c r="I746" t="s">
        <v>18</v>
      </c>
      <c r="J746" t="s">
        <v>19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21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18</v>
      </c>
      <c r="J747" t="s">
        <v>19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21</v>
      </c>
      <c r="D748" t="s">
        <v>4</v>
      </c>
      <c r="E748" s="1">
        <v>1514793.06</v>
      </c>
      <c r="F748">
        <v>41082</v>
      </c>
      <c r="G748">
        <v>63</v>
      </c>
      <c r="H748" s="2">
        <v>0</v>
      </c>
      <c r="I748" t="s">
        <v>18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21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18</v>
      </c>
      <c r="J749" t="s">
        <v>19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21</v>
      </c>
      <c r="D750" t="s">
        <v>2</v>
      </c>
      <c r="E750" s="1">
        <v>272535.64</v>
      </c>
      <c r="F750">
        <v>36650</v>
      </c>
      <c r="G750">
        <v>69</v>
      </c>
      <c r="H750" s="2">
        <v>36526</v>
      </c>
      <c r="I750" t="s">
        <v>18</v>
      </c>
      <c r="J750" t="s">
        <v>19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21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18</v>
      </c>
      <c r="J752" t="s">
        <v>19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21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18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5</v>
      </c>
      <c r="C754" t="s">
        <v>21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18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21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19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21</v>
      </c>
      <c r="D756" t="s">
        <v>4</v>
      </c>
      <c r="E756" s="1">
        <v>708321.24</v>
      </c>
      <c r="F756">
        <v>41449</v>
      </c>
      <c r="G756">
        <v>89</v>
      </c>
      <c r="H756" s="2">
        <v>0</v>
      </c>
      <c r="I756" t="s">
        <v>18</v>
      </c>
      <c r="J756" t="s">
        <v>19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21</v>
      </c>
      <c r="D757" t="s">
        <v>4</v>
      </c>
      <c r="E757" s="1">
        <v>1017971.7</v>
      </c>
      <c r="F757">
        <v>14290</v>
      </c>
      <c r="G757">
        <v>271</v>
      </c>
      <c r="H757" s="2">
        <v>0</v>
      </c>
      <c r="I757" t="s">
        <v>18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21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18</v>
      </c>
      <c r="J758" t="s">
        <v>19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5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5</v>
      </c>
      <c r="C760" t="s">
        <v>21</v>
      </c>
      <c r="D760" t="s">
        <v>4</v>
      </c>
      <c r="E760" s="1">
        <v>528817.32999999996</v>
      </c>
      <c r="F760">
        <v>42621</v>
      </c>
      <c r="G760">
        <v>66</v>
      </c>
      <c r="H760" s="2">
        <v>0</v>
      </c>
      <c r="I760" t="s">
        <v>18</v>
      </c>
      <c r="J760" t="s">
        <v>19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18</v>
      </c>
      <c r="J761" t="s">
        <v>19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21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18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21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18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5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18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21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18</v>
      </c>
      <c r="J767" t="s">
        <v>19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21</v>
      </c>
      <c r="D768" t="s">
        <v>4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18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21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18</v>
      </c>
      <c r="J770" t="s">
        <v>19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4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19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21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18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21</v>
      </c>
      <c r="D773" t="s">
        <v>4</v>
      </c>
      <c r="E773" s="1">
        <v>411858.86</v>
      </c>
      <c r="F773">
        <v>69379</v>
      </c>
      <c r="G773">
        <v>103</v>
      </c>
      <c r="H773" s="2">
        <v>0</v>
      </c>
      <c r="I773" t="s">
        <v>18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21</v>
      </c>
      <c r="D774" t="s">
        <v>4</v>
      </c>
      <c r="E774" s="1">
        <v>483820.9</v>
      </c>
      <c r="F774">
        <v>73769</v>
      </c>
      <c r="G774">
        <v>61</v>
      </c>
      <c r="H774" s="2">
        <v>36557</v>
      </c>
      <c r="I774" t="s">
        <v>18</v>
      </c>
      <c r="J774" t="s">
        <v>19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21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18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5</v>
      </c>
      <c r="C776" t="s">
        <v>27</v>
      </c>
      <c r="D776" t="s">
        <v>4</v>
      </c>
      <c r="E776" s="1">
        <v>1404210.3</v>
      </c>
      <c r="F776">
        <v>88854</v>
      </c>
      <c r="G776">
        <v>118</v>
      </c>
      <c r="H776" s="2">
        <v>0</v>
      </c>
      <c r="I776" t="s">
        <v>18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4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21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18</v>
      </c>
      <c r="J778" t="s">
        <v>19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4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19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21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18</v>
      </c>
      <c r="J781" t="s">
        <v>19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4</v>
      </c>
      <c r="E782" s="1">
        <v>427636.36</v>
      </c>
      <c r="F782">
        <v>36692</v>
      </c>
      <c r="G782">
        <v>109</v>
      </c>
      <c r="H782" s="2">
        <v>36526</v>
      </c>
      <c r="I782" t="s">
        <v>18</v>
      </c>
      <c r="J782" t="s">
        <v>19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21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18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21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19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18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21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19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5</v>
      </c>
      <c r="C788" t="s">
        <v>21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19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21</v>
      </c>
      <c r="D789" t="s">
        <v>2</v>
      </c>
      <c r="E789" s="1">
        <v>1630196.76</v>
      </c>
      <c r="F789">
        <v>19614</v>
      </c>
      <c r="G789">
        <v>85</v>
      </c>
      <c r="H789" s="2">
        <v>0</v>
      </c>
      <c r="I789" t="s">
        <v>18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21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18</v>
      </c>
      <c r="J790" t="s">
        <v>19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5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19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18</v>
      </c>
      <c r="J792" t="s">
        <v>19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18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5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18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5</v>
      </c>
      <c r="C795" t="s">
        <v>21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18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5</v>
      </c>
      <c r="C796" t="s">
        <v>21</v>
      </c>
      <c r="D796" t="s">
        <v>2</v>
      </c>
      <c r="E796" s="1">
        <v>748263.95</v>
      </c>
      <c r="F796">
        <v>25666</v>
      </c>
      <c r="G796">
        <v>63</v>
      </c>
      <c r="H796" s="2">
        <v>36557</v>
      </c>
      <c r="I796" t="s">
        <v>18</v>
      </c>
      <c r="J796" t="s">
        <v>19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21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18</v>
      </c>
      <c r="J797" t="s">
        <v>19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21</v>
      </c>
      <c r="D798" t="s">
        <v>4</v>
      </c>
      <c r="E798" s="1">
        <v>237974.12</v>
      </c>
      <c r="F798">
        <v>0</v>
      </c>
      <c r="G798">
        <v>67</v>
      </c>
      <c r="H798" s="2">
        <v>0</v>
      </c>
      <c r="I798" t="s">
        <v>18</v>
      </c>
      <c r="J798" t="s">
        <v>19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21</v>
      </c>
      <c r="D799" t="s">
        <v>4</v>
      </c>
      <c r="E799" s="1">
        <v>828696.44</v>
      </c>
      <c r="F799">
        <v>40001</v>
      </c>
      <c r="G799">
        <v>70</v>
      </c>
      <c r="H799" s="2">
        <v>0</v>
      </c>
      <c r="I799" t="s">
        <v>18</v>
      </c>
      <c r="J799" t="s">
        <v>19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18</v>
      </c>
      <c r="J800" t="s">
        <v>19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18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21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18</v>
      </c>
      <c r="J802" t="s">
        <v>19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21</v>
      </c>
      <c r="D803" t="s">
        <v>4</v>
      </c>
      <c r="E803" s="1">
        <v>280391.67</v>
      </c>
      <c r="F803">
        <v>23220</v>
      </c>
      <c r="G803">
        <v>74</v>
      </c>
      <c r="H803" s="2">
        <v>0</v>
      </c>
      <c r="I803" t="s">
        <v>18</v>
      </c>
      <c r="J803" t="s">
        <v>19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21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18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21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19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21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19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21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18</v>
      </c>
      <c r="J808" t="s">
        <v>19</v>
      </c>
      <c r="K808">
        <v>312</v>
      </c>
      <c r="L808" s="2">
        <v>35312</v>
      </c>
    </row>
    <row r="809" spans="1:12" x14ac:dyDescent="0.35">
      <c r="A809" t="s">
        <v>848</v>
      </c>
      <c r="B809" t="s">
        <v>5</v>
      </c>
      <c r="C809" t="s">
        <v>27</v>
      </c>
      <c r="D809" t="s">
        <v>4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19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5</v>
      </c>
      <c r="C810" t="s">
        <v>21</v>
      </c>
      <c r="D810" t="s">
        <v>4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19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21</v>
      </c>
      <c r="D811" t="s">
        <v>4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19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4</v>
      </c>
      <c r="E812" s="1">
        <v>1836155.53</v>
      </c>
      <c r="F812">
        <v>0</v>
      </c>
      <c r="G812">
        <v>182</v>
      </c>
      <c r="H812" s="2">
        <v>0</v>
      </c>
      <c r="I812" t="s">
        <v>18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4</v>
      </c>
      <c r="E813" s="1">
        <v>864153</v>
      </c>
      <c r="F813">
        <v>78904</v>
      </c>
      <c r="G813">
        <v>109</v>
      </c>
      <c r="H813" s="2">
        <v>0</v>
      </c>
      <c r="I813" t="s">
        <v>18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5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18</v>
      </c>
      <c r="J814" t="s">
        <v>19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5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18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19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2</v>
      </c>
      <c r="E817" s="1">
        <v>1395556.96</v>
      </c>
      <c r="F817">
        <v>90279</v>
      </c>
      <c r="G817">
        <v>115</v>
      </c>
      <c r="H817" s="2">
        <v>0</v>
      </c>
      <c r="I817" t="s">
        <v>18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21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18</v>
      </c>
      <c r="J818" t="s">
        <v>19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4</v>
      </c>
      <c r="E819" s="1">
        <v>708283.04</v>
      </c>
      <c r="F819">
        <v>53310</v>
      </c>
      <c r="G819">
        <v>189</v>
      </c>
      <c r="H819" s="2">
        <v>36586</v>
      </c>
      <c r="I819" t="s">
        <v>18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18</v>
      </c>
      <c r="J820" t="s">
        <v>19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21</v>
      </c>
      <c r="D821" t="s">
        <v>4</v>
      </c>
      <c r="E821" s="1">
        <v>1255088.2</v>
      </c>
      <c r="F821">
        <v>22234</v>
      </c>
      <c r="G821">
        <v>160</v>
      </c>
      <c r="H821" s="2">
        <v>0</v>
      </c>
      <c r="I821" t="s">
        <v>18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21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18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21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18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4</v>
      </c>
      <c r="E824" s="1">
        <v>527231.97</v>
      </c>
      <c r="F824">
        <v>0</v>
      </c>
      <c r="G824">
        <v>80</v>
      </c>
      <c r="H824" s="2">
        <v>0</v>
      </c>
      <c r="I824" t="s">
        <v>18</v>
      </c>
      <c r="J824" t="s">
        <v>19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21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18</v>
      </c>
      <c r="J825" t="s">
        <v>19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21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19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4</v>
      </c>
      <c r="E827" s="1">
        <v>278742.37</v>
      </c>
      <c r="F827">
        <v>38667</v>
      </c>
      <c r="G827">
        <v>72</v>
      </c>
      <c r="H827" s="2">
        <v>0</v>
      </c>
      <c r="I827" t="s">
        <v>18</v>
      </c>
      <c r="J827" t="s">
        <v>19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21</v>
      </c>
      <c r="D828" t="s">
        <v>2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21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18</v>
      </c>
      <c r="J829" t="s">
        <v>19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19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21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19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21</v>
      </c>
      <c r="D832" t="s">
        <v>2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21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18</v>
      </c>
      <c r="J833" t="s">
        <v>19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18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18</v>
      </c>
      <c r="J835" t="s">
        <v>19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18</v>
      </c>
      <c r="J836" t="s">
        <v>19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5</v>
      </c>
      <c r="C837" t="s">
        <v>27</v>
      </c>
      <c r="D837" t="s">
        <v>2</v>
      </c>
      <c r="E837" s="1">
        <v>575744.23</v>
      </c>
      <c r="F837">
        <v>88997</v>
      </c>
      <c r="G837">
        <v>72</v>
      </c>
      <c r="H837" s="2">
        <v>0</v>
      </c>
      <c r="I837" t="s">
        <v>18</v>
      </c>
      <c r="J837" t="s">
        <v>19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5</v>
      </c>
      <c r="C838" t="s">
        <v>27</v>
      </c>
      <c r="D838" t="s">
        <v>2</v>
      </c>
      <c r="E838" s="1">
        <v>4022401.36</v>
      </c>
      <c r="F838">
        <v>48587</v>
      </c>
      <c r="G838">
        <v>111</v>
      </c>
      <c r="H838" s="2">
        <v>0</v>
      </c>
      <c r="I838" t="s">
        <v>18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5</v>
      </c>
      <c r="C839" t="s">
        <v>21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18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4</v>
      </c>
      <c r="E840" s="1">
        <v>371243.05</v>
      </c>
      <c r="F840">
        <v>73205</v>
      </c>
      <c r="G840">
        <v>92</v>
      </c>
      <c r="H840" s="2">
        <v>0</v>
      </c>
      <c r="I840" t="s">
        <v>18</v>
      </c>
      <c r="J840" t="s">
        <v>19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21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18</v>
      </c>
      <c r="J841" t="s">
        <v>19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18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21</v>
      </c>
      <c r="D843" t="s">
        <v>4</v>
      </c>
      <c r="E843" s="1">
        <v>823703.79</v>
      </c>
      <c r="F843">
        <v>23940</v>
      </c>
      <c r="G843">
        <v>107</v>
      </c>
      <c r="H843" s="2">
        <v>0</v>
      </c>
      <c r="I843" t="s">
        <v>18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21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18</v>
      </c>
      <c r="J844" t="s">
        <v>19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4</v>
      </c>
      <c r="E845" s="1">
        <v>843446.41</v>
      </c>
      <c r="F845">
        <v>44216</v>
      </c>
      <c r="G845">
        <v>71</v>
      </c>
      <c r="H845" s="2">
        <v>0</v>
      </c>
      <c r="I845" t="s">
        <v>18</v>
      </c>
      <c r="J845" t="s">
        <v>19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19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5</v>
      </c>
      <c r="C847" t="s">
        <v>21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18</v>
      </c>
      <c r="J847" t="s">
        <v>19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21</v>
      </c>
      <c r="D848" t="s">
        <v>2</v>
      </c>
      <c r="E848" s="1">
        <v>264144.61</v>
      </c>
      <c r="F848">
        <v>29305</v>
      </c>
      <c r="G848">
        <v>66</v>
      </c>
      <c r="H848" s="2">
        <v>0</v>
      </c>
      <c r="I848" t="s">
        <v>18</v>
      </c>
      <c r="J848" t="s">
        <v>19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21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18</v>
      </c>
      <c r="J849" t="s">
        <v>19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18</v>
      </c>
      <c r="J850" t="s">
        <v>19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21</v>
      </c>
      <c r="D851" t="s">
        <v>4</v>
      </c>
      <c r="E851" s="1">
        <v>757953.27</v>
      </c>
      <c r="F851">
        <v>33906</v>
      </c>
      <c r="G851">
        <v>64</v>
      </c>
      <c r="H851" s="2">
        <v>0</v>
      </c>
      <c r="I851" t="s">
        <v>18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4</v>
      </c>
      <c r="E852" s="1">
        <v>1097878.03</v>
      </c>
      <c r="F852">
        <v>68158</v>
      </c>
      <c r="G852">
        <v>139</v>
      </c>
      <c r="H852" s="2">
        <v>36526</v>
      </c>
      <c r="I852" t="s">
        <v>18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18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18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18</v>
      </c>
      <c r="J856" t="s">
        <v>19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4</v>
      </c>
      <c r="E857" s="1">
        <v>258218.53</v>
      </c>
      <c r="F857">
        <v>68074</v>
      </c>
      <c r="G857">
        <v>65</v>
      </c>
      <c r="H857" s="2">
        <v>0</v>
      </c>
      <c r="I857" t="s">
        <v>18</v>
      </c>
      <c r="J857" t="s">
        <v>19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3</v>
      </c>
      <c r="C858" t="s">
        <v>21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19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21</v>
      </c>
      <c r="D859" t="s">
        <v>2</v>
      </c>
      <c r="E859" s="1">
        <v>739628.37</v>
      </c>
      <c r="F859">
        <v>71135</v>
      </c>
      <c r="G859">
        <v>92</v>
      </c>
      <c r="H859" s="2">
        <v>36526</v>
      </c>
      <c r="I859" t="s">
        <v>18</v>
      </c>
      <c r="J859" t="s">
        <v>19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21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18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2</v>
      </c>
      <c r="E861" s="1">
        <v>907576.82</v>
      </c>
      <c r="F861">
        <v>37722</v>
      </c>
      <c r="G861">
        <v>116</v>
      </c>
      <c r="H861" s="2">
        <v>0</v>
      </c>
      <c r="I861" t="s">
        <v>18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5</v>
      </c>
      <c r="C862" t="s">
        <v>21</v>
      </c>
      <c r="D862" t="s">
        <v>4</v>
      </c>
      <c r="E862" s="1">
        <v>1463545.16</v>
      </c>
      <c r="F862">
        <v>0</v>
      </c>
      <c r="G862">
        <v>139</v>
      </c>
      <c r="H862" s="2">
        <v>0</v>
      </c>
      <c r="I862" t="s">
        <v>18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18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21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18</v>
      </c>
      <c r="J864" t="s">
        <v>19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21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18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18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19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5</v>
      </c>
      <c r="C868" t="s">
        <v>27</v>
      </c>
      <c r="D868" t="s">
        <v>4</v>
      </c>
      <c r="E868" s="1">
        <v>332309.25</v>
      </c>
      <c r="F868">
        <v>70410</v>
      </c>
      <c r="G868">
        <v>83</v>
      </c>
      <c r="H868" s="2">
        <v>0</v>
      </c>
      <c r="I868" t="s">
        <v>18</v>
      </c>
      <c r="J868" t="s">
        <v>19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21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18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21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18</v>
      </c>
      <c r="J870" t="s">
        <v>19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3</v>
      </c>
      <c r="C871" t="s">
        <v>21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18</v>
      </c>
      <c r="J871" t="s">
        <v>19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2</v>
      </c>
      <c r="E872" s="1">
        <v>255122.67</v>
      </c>
      <c r="F872">
        <v>79751</v>
      </c>
      <c r="G872">
        <v>63</v>
      </c>
      <c r="H872" s="2">
        <v>0</v>
      </c>
      <c r="I872" t="s">
        <v>18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5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18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5</v>
      </c>
      <c r="C874" t="s">
        <v>27</v>
      </c>
      <c r="D874" t="s">
        <v>4</v>
      </c>
      <c r="E874" s="1">
        <v>453884.78</v>
      </c>
      <c r="F874">
        <v>82297</v>
      </c>
      <c r="G874">
        <v>116</v>
      </c>
      <c r="H874" s="2">
        <v>0</v>
      </c>
      <c r="I874" t="s">
        <v>18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18</v>
      </c>
      <c r="J876" t="s">
        <v>19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18</v>
      </c>
      <c r="J877" t="s">
        <v>19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18</v>
      </c>
      <c r="J878" t="s">
        <v>19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5</v>
      </c>
      <c r="C879" t="s">
        <v>27</v>
      </c>
      <c r="D879" t="s">
        <v>2</v>
      </c>
      <c r="E879" s="1">
        <v>463716.4</v>
      </c>
      <c r="F879">
        <v>25816</v>
      </c>
      <c r="G879">
        <v>119</v>
      </c>
      <c r="H879" s="2">
        <v>0</v>
      </c>
      <c r="I879" t="s">
        <v>18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4</v>
      </c>
      <c r="E880" s="1">
        <v>535719.27</v>
      </c>
      <c r="F880">
        <v>0</v>
      </c>
      <c r="G880">
        <v>73</v>
      </c>
      <c r="H880" s="2">
        <v>0</v>
      </c>
      <c r="I880" t="s">
        <v>18</v>
      </c>
      <c r="J880" t="s">
        <v>19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21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19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5</v>
      </c>
      <c r="C882" t="s">
        <v>27</v>
      </c>
      <c r="D882" t="s">
        <v>4</v>
      </c>
      <c r="E882" s="1">
        <v>369414.05</v>
      </c>
      <c r="F882">
        <v>96170</v>
      </c>
      <c r="G882">
        <v>92</v>
      </c>
      <c r="H882" s="2">
        <v>0</v>
      </c>
      <c r="I882" t="s">
        <v>18</v>
      </c>
      <c r="J882" t="s">
        <v>19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5</v>
      </c>
      <c r="C883" t="s">
        <v>21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18</v>
      </c>
      <c r="J883" t="s">
        <v>19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5</v>
      </c>
      <c r="C884" t="s">
        <v>21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18</v>
      </c>
      <c r="J884" t="s">
        <v>19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18</v>
      </c>
      <c r="J885" t="s">
        <v>19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3</v>
      </c>
      <c r="C886" t="s">
        <v>21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21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5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18</v>
      </c>
      <c r="J888" t="s">
        <v>19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19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5</v>
      </c>
      <c r="C890" t="s">
        <v>27</v>
      </c>
      <c r="D890" t="s">
        <v>4</v>
      </c>
      <c r="E890" s="1">
        <v>858127.87</v>
      </c>
      <c r="F890">
        <v>27689</v>
      </c>
      <c r="G890">
        <v>239</v>
      </c>
      <c r="H890" s="2">
        <v>36557</v>
      </c>
      <c r="I890" t="s">
        <v>18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21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21</v>
      </c>
      <c r="D892" t="s">
        <v>4</v>
      </c>
      <c r="E892" s="1">
        <v>1344100.64</v>
      </c>
      <c r="F892">
        <v>80744</v>
      </c>
      <c r="G892">
        <v>111</v>
      </c>
      <c r="H892" s="2">
        <v>0</v>
      </c>
      <c r="I892" t="s">
        <v>18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21</v>
      </c>
      <c r="D893" t="s">
        <v>4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5</v>
      </c>
      <c r="C894" t="s">
        <v>21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18</v>
      </c>
      <c r="J894" t="s">
        <v>19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5</v>
      </c>
      <c r="C895" t="s">
        <v>27</v>
      </c>
      <c r="D895" t="s">
        <v>4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19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4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19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18</v>
      </c>
      <c r="J897" t="s">
        <v>19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3</v>
      </c>
      <c r="C898" t="s">
        <v>27</v>
      </c>
      <c r="D898" t="s">
        <v>4</v>
      </c>
      <c r="E898" s="1">
        <v>1168137.43</v>
      </c>
      <c r="F898">
        <v>70930</v>
      </c>
      <c r="G898">
        <v>99</v>
      </c>
      <c r="H898" s="2">
        <v>0</v>
      </c>
      <c r="I898" t="s">
        <v>18</v>
      </c>
      <c r="J898" t="s">
        <v>19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3</v>
      </c>
      <c r="C899" t="s">
        <v>21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19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21</v>
      </c>
      <c r="D900" t="s">
        <v>2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21</v>
      </c>
      <c r="D901" t="s">
        <v>4</v>
      </c>
      <c r="E901" s="1">
        <v>492318.17</v>
      </c>
      <c r="F901">
        <v>61469</v>
      </c>
      <c r="G901">
        <v>63</v>
      </c>
      <c r="H901" s="2">
        <v>36647</v>
      </c>
      <c r="I901" t="s">
        <v>18</v>
      </c>
      <c r="J901" t="s">
        <v>19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5</v>
      </c>
      <c r="C902" t="s">
        <v>21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19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21</v>
      </c>
      <c r="D903" t="s">
        <v>4</v>
      </c>
      <c r="E903" s="1">
        <v>1489539.8</v>
      </c>
      <c r="F903">
        <v>48081</v>
      </c>
      <c r="G903">
        <v>188</v>
      </c>
      <c r="H903" s="2">
        <v>0</v>
      </c>
      <c r="I903" t="s">
        <v>18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18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21</v>
      </c>
      <c r="D905" t="s">
        <v>4</v>
      </c>
      <c r="E905" s="1">
        <v>942297.41</v>
      </c>
      <c r="F905">
        <v>34115</v>
      </c>
      <c r="G905">
        <v>119</v>
      </c>
      <c r="H905" s="2">
        <v>0</v>
      </c>
      <c r="I905" t="s">
        <v>18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5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18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18</v>
      </c>
      <c r="J907" t="s">
        <v>19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5</v>
      </c>
      <c r="C908" t="s">
        <v>21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19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21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18</v>
      </c>
      <c r="J909" t="s">
        <v>19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5</v>
      </c>
      <c r="C910" t="s">
        <v>21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18</v>
      </c>
      <c r="J910" t="s">
        <v>19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21</v>
      </c>
      <c r="D911" t="s">
        <v>4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19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4</v>
      </c>
      <c r="E912" s="1">
        <v>1216874.49</v>
      </c>
      <c r="F912">
        <v>14973</v>
      </c>
      <c r="G912">
        <v>115</v>
      </c>
      <c r="H912" s="2">
        <v>0</v>
      </c>
      <c r="I912" t="s">
        <v>18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5</v>
      </c>
      <c r="C913" t="s">
        <v>21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19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5</v>
      </c>
      <c r="C914" t="s">
        <v>21</v>
      </c>
      <c r="D914" t="s">
        <v>4</v>
      </c>
      <c r="E914" s="1">
        <v>508583.66</v>
      </c>
      <c r="F914">
        <v>31546</v>
      </c>
      <c r="G914">
        <v>65</v>
      </c>
      <c r="H914" s="2">
        <v>0</v>
      </c>
      <c r="I914" t="s">
        <v>18</v>
      </c>
      <c r="J914" t="s">
        <v>19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21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18</v>
      </c>
      <c r="J915" t="s">
        <v>19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3</v>
      </c>
      <c r="C916" t="s">
        <v>21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19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19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21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19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5</v>
      </c>
      <c r="C919" t="s">
        <v>21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19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3</v>
      </c>
      <c r="C920" t="s">
        <v>21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18</v>
      </c>
      <c r="J920" t="s">
        <v>19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21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18</v>
      </c>
      <c r="J921" t="s">
        <v>19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4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18</v>
      </c>
      <c r="J923" t="s">
        <v>19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18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5</v>
      </c>
      <c r="C925" t="s">
        <v>21</v>
      </c>
      <c r="D925" t="s">
        <v>4</v>
      </c>
      <c r="E925" s="1">
        <v>275574.8</v>
      </c>
      <c r="F925">
        <v>49648</v>
      </c>
      <c r="G925">
        <v>70</v>
      </c>
      <c r="H925" s="2">
        <v>0</v>
      </c>
      <c r="I925" t="s">
        <v>18</v>
      </c>
      <c r="J925" t="s">
        <v>19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5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18</v>
      </c>
      <c r="J926" t="s">
        <v>19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21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21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18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18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21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18</v>
      </c>
      <c r="J931" t="s">
        <v>19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21</v>
      </c>
      <c r="D932" t="s">
        <v>4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19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21</v>
      </c>
      <c r="D933" t="s">
        <v>2</v>
      </c>
      <c r="E933" s="1">
        <v>257402.04</v>
      </c>
      <c r="F933">
        <v>34990</v>
      </c>
      <c r="G933">
        <v>65</v>
      </c>
      <c r="H933" s="2">
        <v>0</v>
      </c>
      <c r="I933" t="s">
        <v>18</v>
      </c>
      <c r="J933" t="s">
        <v>19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4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19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3</v>
      </c>
      <c r="C935" t="s">
        <v>27</v>
      </c>
      <c r="D935" t="s">
        <v>2</v>
      </c>
      <c r="E935" s="1">
        <v>367914.21</v>
      </c>
      <c r="F935">
        <v>60804</v>
      </c>
      <c r="G935">
        <v>92</v>
      </c>
      <c r="H935" s="2">
        <v>0</v>
      </c>
      <c r="I935" t="s">
        <v>18</v>
      </c>
      <c r="J935" t="s">
        <v>19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4</v>
      </c>
      <c r="E936" s="1">
        <v>274451.96000000002</v>
      </c>
      <c r="F936">
        <v>94648</v>
      </c>
      <c r="G936">
        <v>69</v>
      </c>
      <c r="H936" s="2">
        <v>0</v>
      </c>
      <c r="I936" t="s">
        <v>18</v>
      </c>
      <c r="J936" t="s">
        <v>19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21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18</v>
      </c>
      <c r="J937" t="s">
        <v>19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5</v>
      </c>
      <c r="C938" t="s">
        <v>27</v>
      </c>
      <c r="D938" t="s">
        <v>4</v>
      </c>
      <c r="E938" s="1">
        <v>1687038.82</v>
      </c>
      <c r="F938">
        <v>61063</v>
      </c>
      <c r="G938">
        <v>85</v>
      </c>
      <c r="H938" s="2">
        <v>0</v>
      </c>
      <c r="I938" t="s">
        <v>18</v>
      </c>
      <c r="J938" t="s">
        <v>19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2</v>
      </c>
      <c r="E939" s="1">
        <v>273800.2</v>
      </c>
      <c r="F939">
        <v>0</v>
      </c>
      <c r="G939">
        <v>74</v>
      </c>
      <c r="H939" s="2">
        <v>0</v>
      </c>
      <c r="I939" t="s">
        <v>18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4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19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21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18</v>
      </c>
      <c r="J941" t="s">
        <v>19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5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21</v>
      </c>
      <c r="D943" t="s">
        <v>4</v>
      </c>
      <c r="E943" s="1">
        <v>238760.61</v>
      </c>
      <c r="F943">
        <v>27592</v>
      </c>
      <c r="G943">
        <v>62</v>
      </c>
      <c r="H943" s="2">
        <v>0</v>
      </c>
      <c r="I943" t="s">
        <v>18</v>
      </c>
      <c r="J943" t="s">
        <v>19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3</v>
      </c>
      <c r="C944" t="s">
        <v>21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18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5</v>
      </c>
      <c r="C945" t="s">
        <v>21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18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5</v>
      </c>
      <c r="C946" t="s">
        <v>21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4</v>
      </c>
      <c r="E947" s="1">
        <v>911226.66</v>
      </c>
      <c r="F947">
        <v>0</v>
      </c>
      <c r="G947">
        <v>90</v>
      </c>
      <c r="H947" s="2">
        <v>0</v>
      </c>
      <c r="I947" t="s">
        <v>18</v>
      </c>
      <c r="J947" t="s">
        <v>19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21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18</v>
      </c>
      <c r="J948" t="s">
        <v>19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5</v>
      </c>
      <c r="C949" t="s">
        <v>27</v>
      </c>
      <c r="D949" t="s">
        <v>4</v>
      </c>
      <c r="E949" s="1">
        <v>265998.06</v>
      </c>
      <c r="F949">
        <v>21297</v>
      </c>
      <c r="G949">
        <v>71</v>
      </c>
      <c r="H949" s="2">
        <v>0</v>
      </c>
      <c r="I949" t="s">
        <v>18</v>
      </c>
      <c r="J949" t="s">
        <v>19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5</v>
      </c>
      <c r="C950" t="s">
        <v>21</v>
      </c>
      <c r="D950" t="s">
        <v>2</v>
      </c>
      <c r="E950" s="1">
        <v>1198659.21</v>
      </c>
      <c r="F950">
        <v>87560</v>
      </c>
      <c r="G950">
        <v>98</v>
      </c>
      <c r="H950" s="2">
        <v>36526</v>
      </c>
      <c r="I950" t="s">
        <v>18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21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18</v>
      </c>
      <c r="J951" t="s">
        <v>19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21</v>
      </c>
      <c r="D952" t="s">
        <v>4</v>
      </c>
      <c r="E952" s="1">
        <v>289424.39</v>
      </c>
      <c r="F952">
        <v>0</v>
      </c>
      <c r="G952">
        <v>85</v>
      </c>
      <c r="H952" s="2">
        <v>0</v>
      </c>
      <c r="I952" t="s">
        <v>18</v>
      </c>
      <c r="J952" t="s">
        <v>19</v>
      </c>
      <c r="K952">
        <v>408</v>
      </c>
      <c r="L952" s="2">
        <v>35408</v>
      </c>
    </row>
    <row r="953" spans="1:12" x14ac:dyDescent="0.35">
      <c r="A953" t="s">
        <v>992</v>
      </c>
      <c r="B953" t="s">
        <v>5</v>
      </c>
      <c r="C953" t="s">
        <v>21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18</v>
      </c>
      <c r="J953" t="s">
        <v>19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21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19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21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18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18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5</v>
      </c>
      <c r="C957" t="s">
        <v>21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18</v>
      </c>
      <c r="J957" t="s">
        <v>19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21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18</v>
      </c>
      <c r="J958" t="s">
        <v>19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3</v>
      </c>
      <c r="C959" t="s">
        <v>21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18</v>
      </c>
      <c r="J959" t="s">
        <v>19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5</v>
      </c>
      <c r="C960" t="s">
        <v>27</v>
      </c>
      <c r="D960" t="s">
        <v>4</v>
      </c>
      <c r="E960" s="1">
        <v>452536.58</v>
      </c>
      <c r="F960">
        <v>10269</v>
      </c>
      <c r="G960">
        <v>65</v>
      </c>
      <c r="H960" s="2">
        <v>0</v>
      </c>
      <c r="I960" t="s">
        <v>18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18</v>
      </c>
      <c r="J961" t="s">
        <v>19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18</v>
      </c>
      <c r="J963" t="s">
        <v>19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21</v>
      </c>
      <c r="D964" t="s">
        <v>4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21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18</v>
      </c>
      <c r="J965" t="s">
        <v>19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21</v>
      </c>
      <c r="D967" t="s">
        <v>2</v>
      </c>
      <c r="E967" s="1">
        <v>795615.01</v>
      </c>
      <c r="F967">
        <v>44818</v>
      </c>
      <c r="G967">
        <v>67</v>
      </c>
      <c r="H967" s="2">
        <v>36526</v>
      </c>
      <c r="I967" t="s">
        <v>18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5</v>
      </c>
      <c r="C968" t="s">
        <v>27</v>
      </c>
      <c r="D968" t="s">
        <v>4</v>
      </c>
      <c r="E968" s="1">
        <v>445811.34</v>
      </c>
      <c r="F968">
        <v>17622</v>
      </c>
      <c r="G968">
        <v>65</v>
      </c>
      <c r="H968" s="2">
        <v>36526</v>
      </c>
      <c r="I968" t="s">
        <v>18</v>
      </c>
      <c r="J968" t="s">
        <v>19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21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18</v>
      </c>
      <c r="J969" t="s">
        <v>19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4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3</v>
      </c>
      <c r="C971" t="s">
        <v>21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18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21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18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5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18</v>
      </c>
      <c r="J973" t="s">
        <v>19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4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21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19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5</v>
      </c>
      <c r="C976" t="s">
        <v>21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21</v>
      </c>
      <c r="D977" t="s">
        <v>4</v>
      </c>
      <c r="E977" s="1">
        <v>903430.58</v>
      </c>
      <c r="F977">
        <v>18846</v>
      </c>
      <c r="G977">
        <v>115</v>
      </c>
      <c r="H977" s="2">
        <v>0</v>
      </c>
      <c r="I977" t="s">
        <v>18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5</v>
      </c>
      <c r="C978" t="s">
        <v>21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18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4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21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19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5</v>
      </c>
      <c r="C983" t="s">
        <v>21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18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4</v>
      </c>
      <c r="E984" s="1">
        <v>832307.4</v>
      </c>
      <c r="F984">
        <v>97245</v>
      </c>
      <c r="G984">
        <v>70</v>
      </c>
      <c r="H984" s="2">
        <v>0</v>
      </c>
      <c r="I984" t="s">
        <v>18</v>
      </c>
      <c r="J984" t="s">
        <v>19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21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18</v>
      </c>
      <c r="J985" t="s">
        <v>19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4</v>
      </c>
      <c r="E986" s="1">
        <v>804487.24</v>
      </c>
      <c r="F986">
        <v>71391</v>
      </c>
      <c r="G986">
        <v>67</v>
      </c>
      <c r="H986" s="2">
        <v>0</v>
      </c>
      <c r="I986" t="s">
        <v>18</v>
      </c>
      <c r="J986" t="s">
        <v>19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18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5</v>
      </c>
      <c r="C988" t="s">
        <v>27</v>
      </c>
      <c r="D988" t="s">
        <v>4</v>
      </c>
      <c r="E988" s="1">
        <v>694752.4</v>
      </c>
      <c r="F988">
        <v>0</v>
      </c>
      <c r="G988">
        <v>100</v>
      </c>
      <c r="H988" s="2">
        <v>0</v>
      </c>
      <c r="I988" t="s">
        <v>18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21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19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18</v>
      </c>
      <c r="J990" t="s">
        <v>19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21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5</v>
      </c>
      <c r="C992" t="s">
        <v>21</v>
      </c>
      <c r="D992" t="s">
        <v>2</v>
      </c>
      <c r="E992" s="1">
        <v>279022.8</v>
      </c>
      <c r="F992">
        <v>22974</v>
      </c>
      <c r="G992">
        <v>71</v>
      </c>
      <c r="H992" s="2">
        <v>0</v>
      </c>
      <c r="I992" t="s">
        <v>18</v>
      </c>
      <c r="J992" t="s">
        <v>19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21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18</v>
      </c>
      <c r="J993" t="s">
        <v>19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5</v>
      </c>
      <c r="C994" t="s">
        <v>27</v>
      </c>
      <c r="D994" t="s">
        <v>4</v>
      </c>
      <c r="E994" s="1">
        <v>1262283.27</v>
      </c>
      <c r="F994">
        <v>61844</v>
      </c>
      <c r="G994">
        <v>106</v>
      </c>
      <c r="H994" s="2">
        <v>0</v>
      </c>
      <c r="I994" t="s">
        <v>18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5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18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21</v>
      </c>
      <c r="D996" t="s">
        <v>4</v>
      </c>
      <c r="E996" s="1">
        <v>1646436.59</v>
      </c>
      <c r="F996">
        <v>27760</v>
      </c>
      <c r="G996">
        <v>104</v>
      </c>
      <c r="H996" s="2">
        <v>0</v>
      </c>
      <c r="I996" t="s">
        <v>18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21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18</v>
      </c>
      <c r="J997" t="s">
        <v>19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21</v>
      </c>
      <c r="D998" t="s">
        <v>2</v>
      </c>
      <c r="E998" s="1">
        <v>417068.73</v>
      </c>
      <c r="F998">
        <v>29462</v>
      </c>
      <c r="G998">
        <v>107</v>
      </c>
      <c r="H998" s="2">
        <v>36526</v>
      </c>
      <c r="I998" t="s">
        <v>18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5</v>
      </c>
      <c r="C999" t="s">
        <v>21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4</v>
      </c>
      <c r="E1000" s="1">
        <v>709891.41</v>
      </c>
      <c r="F1000">
        <v>0</v>
      </c>
      <c r="G1000">
        <v>70</v>
      </c>
      <c r="H1000" s="2">
        <v>0</v>
      </c>
      <c r="I1000" t="s">
        <v>18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4</v>
      </c>
      <c r="E1002" s="1">
        <v>552821.28</v>
      </c>
      <c r="F1002">
        <v>36088</v>
      </c>
      <c r="G1002">
        <v>72</v>
      </c>
      <c r="H1002" s="2">
        <v>0</v>
      </c>
      <c r="I1002" t="s">
        <v>18</v>
      </c>
      <c r="J1002" t="s">
        <v>19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21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18</v>
      </c>
      <c r="J1003" t="s">
        <v>19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18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4</v>
      </c>
      <c r="E1005" s="1">
        <v>544855.52</v>
      </c>
      <c r="F1005">
        <v>85296</v>
      </c>
      <c r="G1005">
        <v>68</v>
      </c>
      <c r="H1005" s="2">
        <v>0</v>
      </c>
      <c r="I1005" t="s">
        <v>18</v>
      </c>
      <c r="J1005" t="s">
        <v>19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5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18</v>
      </c>
      <c r="J1006" t="s">
        <v>19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4</v>
      </c>
      <c r="E1007" s="1">
        <v>618509.65</v>
      </c>
      <c r="F1007">
        <v>0</v>
      </c>
      <c r="G1007">
        <v>92</v>
      </c>
      <c r="H1007" s="2">
        <v>0</v>
      </c>
      <c r="I1007" t="s">
        <v>18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18</v>
      </c>
      <c r="J1008" t="s">
        <v>19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5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18</v>
      </c>
      <c r="J1009" t="s">
        <v>19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21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4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21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21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18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5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18</v>
      </c>
      <c r="J1014" t="s">
        <v>19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21</v>
      </c>
      <c r="D1015" t="s">
        <v>4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19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21</v>
      </c>
      <c r="D1016" t="s">
        <v>4</v>
      </c>
      <c r="E1016" s="1">
        <v>2839332.99</v>
      </c>
      <c r="F1016">
        <v>38772</v>
      </c>
      <c r="G1016">
        <v>90</v>
      </c>
      <c r="H1016" s="2">
        <v>0</v>
      </c>
      <c r="I1016" t="s">
        <v>18</v>
      </c>
      <c r="J1016" t="s">
        <v>19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21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18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4</v>
      </c>
      <c r="E1018" s="1">
        <v>2156933.73</v>
      </c>
      <c r="F1018">
        <v>23909</v>
      </c>
      <c r="G1018">
        <v>119</v>
      </c>
      <c r="H1018" s="2">
        <v>0</v>
      </c>
      <c r="I1018" t="s">
        <v>18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18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4</v>
      </c>
      <c r="E1021" s="1">
        <v>386477.68</v>
      </c>
      <c r="F1021">
        <v>24204</v>
      </c>
      <c r="G1021">
        <v>99</v>
      </c>
      <c r="H1021" s="2">
        <v>36526</v>
      </c>
      <c r="I1021" t="s">
        <v>18</v>
      </c>
      <c r="J1021" t="s">
        <v>19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18</v>
      </c>
      <c r="J1023" t="s">
        <v>19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18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21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19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5</v>
      </c>
      <c r="C1026" t="s">
        <v>27</v>
      </c>
      <c r="D1026" t="s">
        <v>4</v>
      </c>
      <c r="E1026" s="1">
        <v>1456726.84</v>
      </c>
      <c r="F1026">
        <v>0</v>
      </c>
      <c r="G1026">
        <v>148</v>
      </c>
      <c r="H1026" s="2">
        <v>0</v>
      </c>
      <c r="I1026" t="s">
        <v>18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4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19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21</v>
      </c>
      <c r="D1028" t="s">
        <v>4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19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21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19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3</v>
      </c>
      <c r="C1030" t="s">
        <v>21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18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21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18</v>
      </c>
      <c r="J1031" t="s">
        <v>19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21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18</v>
      </c>
      <c r="J1032" t="s">
        <v>19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4</v>
      </c>
      <c r="E1033" s="1">
        <v>445811.34</v>
      </c>
      <c r="F1033">
        <v>17622</v>
      </c>
      <c r="G1033">
        <v>65</v>
      </c>
      <c r="H1033" s="2">
        <v>36526</v>
      </c>
      <c r="I1033" t="s">
        <v>18</v>
      </c>
      <c r="J1033" t="s">
        <v>19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21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21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18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21</v>
      </c>
      <c r="D1036" t="s">
        <v>4</v>
      </c>
      <c r="E1036" s="1">
        <v>452527.65</v>
      </c>
      <c r="F1036">
        <v>32802</v>
      </c>
      <c r="G1036">
        <v>114</v>
      </c>
      <c r="H1036" s="2">
        <v>0</v>
      </c>
      <c r="I1036" t="s">
        <v>18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3</v>
      </c>
      <c r="C1037" t="s">
        <v>21</v>
      </c>
      <c r="D1037" t="s">
        <v>2</v>
      </c>
      <c r="E1037" s="1">
        <v>558176.13</v>
      </c>
      <c r="F1037">
        <v>62739</v>
      </c>
      <c r="G1037">
        <v>70</v>
      </c>
      <c r="H1037" s="2">
        <v>0</v>
      </c>
      <c r="I1037" t="s">
        <v>18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21</v>
      </c>
      <c r="D1038" t="s">
        <v>4</v>
      </c>
      <c r="E1038" s="1">
        <v>1413434.74</v>
      </c>
      <c r="F1038">
        <v>90844</v>
      </c>
      <c r="G1038">
        <v>118</v>
      </c>
      <c r="H1038" s="2">
        <v>0</v>
      </c>
      <c r="I1038" t="s">
        <v>18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21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18</v>
      </c>
      <c r="J1039" t="s">
        <v>19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21</v>
      </c>
      <c r="D1040" t="s">
        <v>4</v>
      </c>
      <c r="E1040" s="1">
        <v>283806.78000000003</v>
      </c>
      <c r="F1040">
        <v>0</v>
      </c>
      <c r="G1040">
        <v>80</v>
      </c>
      <c r="H1040" s="2">
        <v>0</v>
      </c>
      <c r="I1040" t="s">
        <v>18</v>
      </c>
      <c r="J1040" t="s">
        <v>19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21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19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4</v>
      </c>
      <c r="E1042" s="1">
        <v>1950447.39</v>
      </c>
      <c r="F1042">
        <v>0</v>
      </c>
      <c r="G1042">
        <v>72</v>
      </c>
      <c r="H1042" s="2">
        <v>0</v>
      </c>
      <c r="I1042" t="s">
        <v>18</v>
      </c>
      <c r="J1042" t="s">
        <v>19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3</v>
      </c>
      <c r="C1043" t="s">
        <v>21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5</v>
      </c>
      <c r="C1044" t="s">
        <v>21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18</v>
      </c>
      <c r="J1044" t="s">
        <v>19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5</v>
      </c>
      <c r="C1045" t="s">
        <v>21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18</v>
      </c>
      <c r="J1045" t="s">
        <v>19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5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18</v>
      </c>
      <c r="J1046" t="s">
        <v>19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21</v>
      </c>
      <c r="D1047" t="s">
        <v>4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21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18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21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18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5</v>
      </c>
      <c r="C1050" t="s">
        <v>21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18</v>
      </c>
      <c r="J1050" t="s">
        <v>19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21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18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5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19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21</v>
      </c>
      <c r="D1053" t="s">
        <v>4</v>
      </c>
      <c r="E1053" s="1">
        <v>853479.28</v>
      </c>
      <c r="F1053">
        <v>47325</v>
      </c>
      <c r="G1053">
        <v>107</v>
      </c>
      <c r="H1053" s="2">
        <v>0</v>
      </c>
      <c r="I1053" t="s">
        <v>18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21</v>
      </c>
      <c r="D1055" t="s">
        <v>4</v>
      </c>
      <c r="E1055" s="1">
        <v>224844.96</v>
      </c>
      <c r="F1055">
        <v>24910</v>
      </c>
      <c r="G1055">
        <v>63</v>
      </c>
      <c r="H1055" s="2">
        <v>36526</v>
      </c>
      <c r="I1055" t="s">
        <v>18</v>
      </c>
      <c r="J1055" t="s">
        <v>19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3</v>
      </c>
      <c r="C1056" t="s">
        <v>21</v>
      </c>
      <c r="D1056" t="s">
        <v>4</v>
      </c>
      <c r="E1056" s="1">
        <v>1230276.24</v>
      </c>
      <c r="F1056">
        <v>43817</v>
      </c>
      <c r="G1056">
        <v>62</v>
      </c>
      <c r="H1056" s="2">
        <v>36526</v>
      </c>
      <c r="I1056" t="s">
        <v>18</v>
      </c>
      <c r="J1056" t="s">
        <v>19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18</v>
      </c>
      <c r="J1057" t="s">
        <v>19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21</v>
      </c>
      <c r="D1058" t="s">
        <v>4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19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18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18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18</v>
      </c>
      <c r="J1062" t="s">
        <v>19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21</v>
      </c>
      <c r="D1063" t="s">
        <v>4</v>
      </c>
      <c r="E1063" s="1">
        <v>1050677.17</v>
      </c>
      <c r="F1063">
        <v>0</v>
      </c>
      <c r="G1063">
        <v>92</v>
      </c>
      <c r="H1063" s="2">
        <v>0</v>
      </c>
      <c r="I1063" t="s">
        <v>18</v>
      </c>
      <c r="J1063" t="s">
        <v>19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5</v>
      </c>
      <c r="C1064" t="s">
        <v>21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18</v>
      </c>
      <c r="J1064" t="s">
        <v>19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18</v>
      </c>
      <c r="J1065" t="s">
        <v>19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3</v>
      </c>
      <c r="C1066" t="s">
        <v>21</v>
      </c>
      <c r="D1066" t="s">
        <v>4</v>
      </c>
      <c r="E1066" s="1">
        <v>544142.01</v>
      </c>
      <c r="F1066">
        <v>85702</v>
      </c>
      <c r="G1066">
        <v>67</v>
      </c>
      <c r="H1066" s="2">
        <v>0</v>
      </c>
      <c r="I1066" t="s">
        <v>18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4</v>
      </c>
      <c r="E1067" s="1">
        <v>284226.69</v>
      </c>
      <c r="F1067">
        <v>69417</v>
      </c>
      <c r="G1067">
        <v>73</v>
      </c>
      <c r="H1067" s="2">
        <v>36526</v>
      </c>
      <c r="I1067" t="s">
        <v>18</v>
      </c>
      <c r="J1067" t="s">
        <v>19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2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18</v>
      </c>
      <c r="J1068" t="s">
        <v>19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21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18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5</v>
      </c>
      <c r="C1070" t="s">
        <v>21</v>
      </c>
      <c r="D1070" t="s">
        <v>4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18</v>
      </c>
      <c r="J1070" t="s">
        <v>19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21</v>
      </c>
      <c r="D1071" t="s">
        <v>2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21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18</v>
      </c>
      <c r="J1072" t="s">
        <v>24</v>
      </c>
      <c r="K1072">
        <v>537.6</v>
      </c>
      <c r="L1072" s="2">
        <v>35537.599999999999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BA4B16-8EB1-46D6-AEA2-EEC5E1436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5DEFF-09CA-44FC-B4E3-1FAD1C775E88}">
  <ds:schemaRefs>
    <ds:schemaRef ds:uri="http://schemas.microsoft.com/office/2006/metadata/properties"/>
    <ds:schemaRef ds:uri="http://schemas.microsoft.com/office/infopath/2007/PartnerControls"/>
    <ds:schemaRef ds:uri="435196a9-e1ec-4f32-9f97-45387cec9cdf"/>
  </ds:schemaRefs>
</ds:datastoreItem>
</file>

<file path=customXml/itemProps3.xml><?xml version="1.0" encoding="utf-8"?>
<ds:datastoreItem xmlns:ds="http://schemas.openxmlformats.org/officeDocument/2006/customXml" ds:itemID="{7DB38263-BD3F-49CE-B9BE-B74A15A02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Mathematical Functions</vt:lpstr>
      <vt:lpstr>Logical Functions</vt:lpstr>
      <vt:lpstr>Text Functions</vt:lpstr>
      <vt:lpstr>Date Functions</vt:lpstr>
      <vt:lpstr>LOOKUP</vt:lpstr>
      <vt:lpstr>Assurance data</vt:lpstr>
      <vt:lpstr>Nested Functions</vt:lpstr>
      <vt:lpstr>AssuranceTable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Beltran Beltran</dc:creator>
  <cp:keywords/>
  <dc:description/>
  <cp:lastModifiedBy>Laia Estopañan Moreno</cp:lastModifiedBy>
  <cp:revision/>
  <dcterms:created xsi:type="dcterms:W3CDTF">2015-06-05T18:17:20Z</dcterms:created>
  <dcterms:modified xsi:type="dcterms:W3CDTF">2026-09-10T13:13:09Z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