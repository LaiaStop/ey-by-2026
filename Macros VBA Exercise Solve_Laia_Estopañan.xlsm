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mc:AlternateContent xmlns:mc="http://schemas.openxmlformats.org/markup-compatibility/2006">
    <mc:Choice Requires="x15">
      <x15ac:absPath xmlns:x15ac="http://schemas.microsoft.com/office/spreadsheetml/2010/11/ac" url="https://people.ey.com/personal/laia_estopanan_moreno_es_ey_com/Documents/Desktop/IRONHACK/Dia 6/"/>
    </mc:Choice>
  </mc:AlternateContent>
  <xr:revisionPtr revIDLastSave="0" documentId="8_{F7DB6CCC-2C23-4D29-9648-27D808F8DCC3}" xr6:coauthVersionLast="47" xr6:coauthVersionMax="47" xr10:uidLastSave="{00000000-0000-0000-0000-000000000000}"/>
  <bookViews>
    <workbookView xWindow="-110" yWindow="-110" windowWidth="19420" windowHeight="10300" activeTab="2" xr2:uid="{00000000-000D-0000-FFFF-FFFF00000000}"/>
  </bookViews>
  <sheets>
    <sheet name="Exercises" sheetId="1" r:id="rId1"/>
    <sheet name="Solver data" sheetId="5" r:id="rId2"/>
    <sheet name="Scenario Summary" sheetId="8" r:id="rId3"/>
    <sheet name="Scenario Manager" sheetId="6" r:id="rId4"/>
    <sheet name="penguins" sheetId="3" r:id="rId5"/>
    <sheet name="Mushrooms" sheetId="2" r:id="rId6"/>
  </sheets>
  <definedNames>
    <definedName name="DataMushrooms">Mushrooms!$A$1:$X$8126</definedName>
    <definedName name="Demand">'Solver data'!$C$15:$E$15</definedName>
    <definedName name="Shipments">'Solver data'!$C$3:$E$5</definedName>
    <definedName name="Slicer_species">#N/A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data'!$C$3:$E$5</definedName>
    <definedName name="solver_lhs2" localSheetId="1" hidden="1">'Solver data'!$C$13:$E$13</definedName>
    <definedName name="solver_lhs3"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3</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3</definedName>
    <definedName name="solver_rel2" localSheetId="1" hidden="1">2</definedName>
    <definedName name="solver_rel3" localSheetId="1" hidden="1">2</definedName>
    <definedName name="solver_rhs1" localSheetId="1" hidden="1">0</definedName>
    <definedName name="solver_rhs2" localSheetId="1" hidden="1">Demand</definedName>
    <definedName name="solver_rhs3" localSheetId="1" hidden="1">Supply</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Supply">'Solver data'!$I$3:$I$5</definedName>
    <definedName name="TotalIn">'Solver data'!$C$13:$E$13</definedName>
    <definedName name="TotalOut">'Solver data'!$G$3:$G$5</definedName>
    <definedName name="UnitCost">'Solver data'!$C$8:$E$10</definedName>
  </definedNames>
  <calcPr calcId="191029"/>
  <pivotCaches>
    <pivotCache cacheId="14"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<sst xmlns="http://schemas.openxmlformats.org/spreadsheetml/2006/main" count="187990" uniqueCount="127">
  <si>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</si>
  <si>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</si>
  <si>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</si>
  <si>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</si>
  <si>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</si>
  <si>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</si>
  <si>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</si>
  <si>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</si>
  <si>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</si>
  <si>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</si>
  <si>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</si>
  <si>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</si>
  <si>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</si>
  <si>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</si>
  <si>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</si>
  <si>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</si>
  <si>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</si>
  <si>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</si>
  <si>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</si>
  <si>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</si>
  <si>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</si>
  <si>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</si>
  <si>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</si>
  <si>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</si>
  <si>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</si>
  <si>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</si>
  <si>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</si>
  <si>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</si>
  <si>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</si>
  <si>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</si>
  <si>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</si>
  <si>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</si>
  <si>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</si>
  <si>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</si>
  <si>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</si>
  <si>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</si>
  <si>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</si>
  <si>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</si>
  <si>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</si>
  <si>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</si>
  <si>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</si>
  <si>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</si>
  <si>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</si>
  <si>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</si>
  <si>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</si>
  <si>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</si>
  <si>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</si>
  <si>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</si>
  <si>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</si>
  <si>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</si>
  <si>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</si>
  <si>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</si>
  <si>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</si>
  <si>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</si>
  <si>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</si>
  <si>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</si>
  <si>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</si>
  <si>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</si>
  <si>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</si>
  <si>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</si>
  <si>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</si>
  <si>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</si>
  <si>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</si>
  <si>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</si>
  <si>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</si>
  <si>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</si>
  <si>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</si>
  <si>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</si>
  <si>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</si>
  <si>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</si>
  <si>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</si>
  <si>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</si>
  <si>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</si>
  <si>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</si>
  <si>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</si>
  <si>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</si>
  <si>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</si>
  <si>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</si>
  <si>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</si>
  <si>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</si>
  <si>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</si>
  <si>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</si>
  <si>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</si>
  <si>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</si>
  <si>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</si>
  <si>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</si>
  <si>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</si>
  <si>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</si>
  <si>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</si>
  <si>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</si>
  <si>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</si>
  <si>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</si>
  <si>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</si>
  <si>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</si>
  <si>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</si>
  <si>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gill-attttttttachmentttt</t>
  </si>
  <si>
    <t>sttttalk-shape</t>
  </si>
  <si>
    <t>sttttalk-rootttt</t>
  </si>
  <si>
    <t>sttttalk-surface-above-ring</t>
  </si>
  <si>
    <t>sttttalk-surface-below-ring</t>
  </si>
  <si>
    <t>sttttalk-color-above-ring</t>
  </si>
  <si>
    <t>sttttalk-color-below-ring</t>
  </si>
  <si>
    <t>veil-ttttype</t>
  </si>
  <si>
    <t>ring-ttttype</t>
  </si>
  <si>
    <t>spore-printttt-color</t>
  </si>
  <si>
    <t>populattttion</t>
  </si>
  <si>
    <t>habittttatttt</t>
  </si>
  <si>
    <t>alttttittttude</t>
  </si>
  <si>
    <t>tttt</t>
  </si>
  <si>
    <t>Row Labels</t>
  </si>
  <si>
    <t>Grand Total</t>
  </si>
  <si>
    <t>Column Labels</t>
  </si>
  <si>
    <t>Sum of bill_length_mm</t>
  </si>
  <si>
    <t>(All)</t>
  </si>
  <si>
    <t>$C$3</t>
  </si>
  <si>
    <t>$C$10</t>
  </si>
  <si>
    <t>10km</t>
  </si>
  <si>
    <t>Created by Laia Estopañan Moreno on 16/09/2026</t>
  </si>
  <si>
    <t>15km</t>
  </si>
  <si>
    <t>20km</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</si>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</sst>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11">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79998168889431442"/>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0">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top style="medium">
        <color indexed="64"/>
      </top>
      <bottom/>
      <diagonal/>
    </border>
    <border>
      <left/>
      <right/>
      <top/>
      <bottom style="medium">
        <color indexed="64"/>
      </bottom>
      <diagonal/>
    </border>
  </borders>
  <cellStyleXfs count="2">
    <xf numFmtId="0" fontId="0" fillId="0" borderId="0"/>
    <xf numFmtId="0" fontId="1" fillId="2" borderId="1" applyNumberFormat="0" applyFont="0" applyAlignment="0" applyProtection="0"/>
  </cellStyleXfs>
  <cellXfs count="48">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xf numFmtId="0" fontId="0" fillId="0" borderId="0" xfId="0" applyNumberFormat="1"/>
    <xf numFmtId="0" fontId="0" fillId="0" borderId="0" xfId="0" applyFill="1" applyBorder="1" applyAlignment="1"/>
    <xf numFmtId="0" fontId="0" fillId="0" borderId="19" xfId="0" applyFill="1" applyBorder="1" applyAlignment="1"/>
    <xf numFmtId="0" fontId="5" fillId="8" borderId="10" xfId="0" applyFont="1" applyFill="1" applyBorder="1" applyAlignment="1">
      <alignment horizontal="left"/>
    </xf>
    <xf numFmtId="0" fontId="5" fillId="8" borderId="18" xfId="0" applyFont="1" applyFill="1" applyBorder="1" applyAlignment="1">
      <alignment horizontal="left"/>
    </xf>
    <xf numFmtId="0" fontId="0" fillId="0" borderId="14" xfId="0" applyFill="1" applyBorder="1" applyAlignment="1"/>
    <xf numFmtId="0" fontId="6" fillId="9" borderId="0" xfId="0" applyFont="1" applyFill="1" applyBorder="1" applyAlignment="1">
      <alignment horizontal="left"/>
    </xf>
    <xf numFmtId="0" fontId="7" fillId="9" borderId="14" xfId="0" applyFont="1" applyFill="1" applyBorder="1" applyAlignment="1">
      <alignment horizontal="left"/>
    </xf>
    <xf numFmtId="0" fontId="6" fillId="9" borderId="19" xfId="0" applyFont="1" applyFill="1" applyBorder="1" applyAlignment="1">
      <alignment horizontal="left"/>
    </xf>
    <xf numFmtId="0" fontId="8" fillId="8" borderId="18" xfId="0" applyFont="1" applyFill="1" applyBorder="1" applyAlignment="1">
      <alignment horizontal="right"/>
    </xf>
    <xf numFmtId="0" fontId="8" fillId="8" borderId="10" xfId="0" applyFont="1" applyFill="1" applyBorder="1" applyAlignment="1">
      <alignment horizontal="right"/>
    </xf>
    <xf numFmtId="0" fontId="0" fillId="10" borderId="0" xfId="0" applyFill="1" applyBorder="1" applyAlignment="1"/>
    <xf numFmtId="0" fontId="9" fillId="0" borderId="0" xfId="0" applyFont="1" applyFill="1" applyBorder="1" applyAlignment="1">
      <alignment vertical="top" wrapText="1"/>
    </xf>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16</xdr:col>
      <xdr:colOff>349250</xdr:colOff>
      <xdr:row>3</xdr:row>
      <xdr:rowOff>1</xdr:rowOff>
    </xdr:from>
    <xdr:to>
      <xdr:col>19</xdr:col>
      <xdr:colOff>368300</xdr:colOff>
      <xdr:row>9</xdr:row>
      <xdr:rowOff>88901</xdr:rowOff>
    </xdr:to>
    <mc:AlternateContent xmlns:mc="http://schemas.openxmlformats.org/markup-compatibility/2006">
      <mc:Choice xmlns:a14="http://schemas.microsoft.com/office/drawing/2010/main" Requires="a14">
        <xdr:graphicFrame macro="">
          <xdr:nvGraphicFramePr>
            <xdr:cNvPr id="2" name="species">
              <a:extLst>
                <a:ext uri="{FF2B5EF4-FFF2-40B4-BE49-F238E27FC236}">
                  <a16:creationId xmlns:a16="http://schemas.microsoft.com/office/drawing/2014/main" id="{3FC1C6CA-DEC6-543E-D3AE-8B54E4355620}"/>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dr:sp macro="" textlink="">
          <xdr:nvSpPr>
            <xdr:cNvPr id="0" name=""/>
            <xdr:cNvSpPr>
              <a:spLocks noTextEdit="1"/>
            </xdr:cNvSpPr>
          </xdr:nvSpPr>
          <xdr:spPr>
            <a:xfrm>
              <a:off x="11918950" y="552451"/>
              <a:ext cx="1847850" cy="11938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4</xdr:row>
          <xdr:rowOff>133350</xdr:rowOff>
        </xdr:from>
        <xdr:to>
          <xdr:col>10</xdr:col>
          <xdr:colOff>215900</xdr:colOff>
          <xdr:row>7</xdr:row>
          <xdr:rowOff>120650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MacroMushrooms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ia Estopañan Moreno" refreshedDate="46281.755414004627" createdVersion="8" refreshedVersion="8" minRefreshableVersion="3" recordCount="333" xr:uid="{7B2E568E-F552-4E4E-94C8-D6D29C69FA4D}">
  <cacheSource type="worksheet">
    <worksheetSource ref="A1:I334" sheet="penguins"/>
  </cacheSource>
  <cacheFields count="9">
    <cacheField name="id" numFmtId="0">
      <sharedItems containsSemiMixedTypes="0" containsString="0" containsNumber="1" containsInteger="1" minValue="1" maxValue="344" count="333">
        <n v="1"/>
        <n v="2"/>
        <n v="3"/>
        <n v="5"/>
        <n v="6"/>
        <n v="7"/>
        <n v="8"/>
        <n v="13"/>
        <n v="14"/>
        <n v="15"/>
        <n v="16"/>
        <n v="17"/>
        <n v="18"/>
        <n v="19"/>
        <n v="20"/>
        <n v="21"/>
        <n v="22"/>
        <n v="23"/>
        <n v="24"/>
        <n v="25"/>
        <n v="26"/>
        <n v="27"/>
        <n v="28"/>
        <n v="29"/>
        <n v="30"/>
        <n v="31"/>
        <n v="32"/>
        <n v="33"/>
        <n v="34"/>
        <n v="35"/>
        <n v="36"/>
        <n v="37"/>
        <n v="38"/>
        <n v="39"/>
        <n v="40"/>
        <n v="41"/>
        <n v="42"/>
        <n v="43"/>
        <n v="44"/>
        <n v="45"/>
        <n v="46"/>
        <n v="47"/>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80"/>
        <n v="181"/>
        <n v="182"/>
        <n v="183"/>
        <n v="184"/>
        <n v="185"/>
        <n v="186"/>
        <n v="187"/>
        <n v="188"/>
        <n v="189"/>
        <n v="190"/>
        <n v="191"/>
        <n v="192"/>
        <n v="193"/>
        <n v="194"/>
        <n v="195"/>
        <n v="196"/>
        <n v="197"/>
        <n v="198"/>
        <n v="199"/>
        <n v="200"/>
        <n v="201"/>
        <n v="202"/>
        <n v="203"/>
        <n v="204"/>
        <n v="205"/>
        <n v="206"/>
        <n v="207"/>
        <n v="208"/>
        <n v="209"/>
        <n v="210"/>
        <n v="211"/>
        <n v="212"/>
        <n v="213"/>
        <n v="214"/>
        <n v="215"/>
        <n v="216"/>
        <n v="217"/>
        <n v="218"/>
        <n v="220"/>
        <n v="221"/>
        <n v="222"/>
        <n v="223"/>
        <n v="224"/>
        <n v="225"/>
        <n v="226"/>
        <n v="227"/>
        <n v="228"/>
        <n v="229"/>
        <n v="230"/>
        <n v="231"/>
        <n v="232"/>
        <n v="233"/>
        <n v="234"/>
        <n v="235"/>
        <n v="236"/>
        <n v="237"/>
        <n v="238"/>
        <n v="239"/>
        <n v="240"/>
        <n v="241"/>
        <n v="242"/>
        <n v="243"/>
        <n v="244"/>
        <n v="245"/>
        <n v="246"/>
        <n v="247"/>
        <n v="248"/>
        <n v="249"/>
        <n v="250"/>
        <n v="251"/>
        <n v="252"/>
        <n v="253"/>
        <n v="254"/>
        <n v="255"/>
        <n v="256"/>
        <n v="258"/>
        <n v="259"/>
        <n v="260"/>
        <n v="261"/>
        <n v="262"/>
        <n v="263"/>
        <n v="264"/>
        <n v="265"/>
        <n v="266"/>
        <n v="267"/>
        <n v="268"/>
        <n v="270"/>
        <n v="271"/>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sharedItems>
    </cacheField>
    <cacheField name="species" numFmtId="0">
      <sharedItems count="3">
        <s v="Adelie"/>
        <s v="Gentoo"/>
        <s v="Chinstrap"/>
      </sharedItems>
    </cacheField>
    <cacheField name="island" numFmtId="0">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7480894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x v="0"/>
    <x v="0"/>
    <s v="Torgersen"/>
    <n v="39.1"/>
    <n v="18.7"/>
    <n v="181"/>
    <n v="3750"/>
    <x v="0"/>
    <n v="2007"/>
  </r>
  <r>
    <x v="1"/>
    <x v="0"/>
    <s v="Torgersen"/>
    <n v="39.5"/>
    <n v="17.399999999999999"/>
    <n v="186"/>
    <n v="3800"/>
    <x v="1"/>
    <n v="2007"/>
  </r>
  <r>
    <x v="2"/>
    <x v="0"/>
    <s v="Torgersen"/>
    <n v="40.299999999999997"/>
    <n v="18"/>
    <n v="195"/>
    <n v="3250"/>
    <x v="1"/>
    <n v="2007"/>
  </r>
  <r>
    <x v="3"/>
    <x v="0"/>
    <s v="Torgersen"/>
    <n v="36.700000000000003"/>
    <n v="19.3"/>
    <n v="193"/>
    <n v="3450"/>
    <x v="1"/>
    <n v="2007"/>
  </r>
  <r>
    <x v="4"/>
    <x v="0"/>
    <s v="Torgersen"/>
    <n v="39.299999999999997"/>
    <n v="20.6"/>
    <n v="190"/>
    <n v="3650"/>
    <x v="0"/>
    <n v="2007"/>
  </r>
  <r>
    <x v="5"/>
    <x v="0"/>
    <s v="Torgersen"/>
    <n v="38.9"/>
    <n v="17.8"/>
    <n v="181"/>
    <n v="3625"/>
    <x v="1"/>
    <n v="2007"/>
  </r>
  <r>
    <x v="6"/>
    <x v="0"/>
    <s v="Torgersen"/>
    <n v="39.200000000000003"/>
    <n v="19.600000000000001"/>
    <n v="195"/>
    <n v="4675"/>
    <x v="0"/>
    <n v="2007"/>
  </r>
  <r>
    <x v="7"/>
    <x v="0"/>
    <s v="Torgersen"/>
    <n v="41.1"/>
    <n v="17.600000000000001"/>
    <n v="182"/>
    <n v="3200"/>
    <x v="1"/>
    <n v="2007"/>
  </r>
  <r>
    <x v="8"/>
    <x v="0"/>
    <s v="Torgersen"/>
    <n v="38.6"/>
    <n v="21.2"/>
    <n v="191"/>
    <n v="3800"/>
    <x v="0"/>
    <n v="2007"/>
  </r>
  <r>
    <x v="9"/>
    <x v="0"/>
    <s v="Torgersen"/>
    <n v="34.6"/>
    <n v="21.1"/>
    <n v="198"/>
    <n v="4400"/>
    <x v="0"/>
    <n v="2007"/>
  </r>
  <r>
    <x v="10"/>
    <x v="0"/>
    <s v="Torgersen"/>
    <n v="36.6"/>
    <n v="17.8"/>
    <n v="185"/>
    <n v="3700"/>
    <x v="1"/>
    <n v="2007"/>
  </r>
  <r>
    <x v="11"/>
    <x v="0"/>
    <s v="Torgersen"/>
    <n v="38.700000000000003"/>
    <n v="19"/>
    <n v="195"/>
    <n v="3450"/>
    <x v="1"/>
    <n v="2007"/>
  </r>
  <r>
    <x v="12"/>
    <x v="0"/>
    <s v="Torgersen"/>
    <n v="42.5"/>
    <n v="20.7"/>
    <n v="197"/>
    <n v="4500"/>
    <x v="0"/>
    <n v="2007"/>
  </r>
  <r>
    <x v="13"/>
    <x v="0"/>
    <s v="Torgersen"/>
    <n v="34.4"/>
    <n v="18.399999999999999"/>
    <n v="184"/>
    <n v="3325"/>
    <x v="1"/>
    <n v="2007"/>
  </r>
  <r>
    <x v="14"/>
    <x v="0"/>
    <s v="Torgersen"/>
    <n v="46"/>
    <n v="21.5"/>
    <n v="194"/>
    <n v="4200"/>
    <x v="0"/>
    <n v="2007"/>
  </r>
  <r>
    <x v="15"/>
    <x v="0"/>
    <s v="Biscoe"/>
    <n v="37.799999999999997"/>
    <n v="18.3"/>
    <n v="174"/>
    <n v="3400"/>
    <x v="1"/>
    <n v="2007"/>
  </r>
  <r>
    <x v="16"/>
    <x v="0"/>
    <s v="Biscoe"/>
    <n v="37.700000000000003"/>
    <n v="18.7"/>
    <n v="180"/>
    <n v="3600"/>
    <x v="0"/>
    <n v="2007"/>
  </r>
  <r>
    <x v="17"/>
    <x v="0"/>
    <s v="Biscoe"/>
    <n v="35.9"/>
    <n v="19.2"/>
    <n v="189"/>
    <n v="3800"/>
    <x v="1"/>
    <n v="2007"/>
  </r>
  <r>
    <x v="18"/>
    <x v="0"/>
    <s v="Biscoe"/>
    <n v="38.200000000000003"/>
    <n v="18.100000000000001"/>
    <n v="185"/>
    <n v="3950"/>
    <x v="0"/>
    <n v="2007"/>
  </r>
  <r>
    <x v="19"/>
    <x v="0"/>
    <s v="Biscoe"/>
    <n v="38.799999999999997"/>
    <n v="17.2"/>
    <n v="180"/>
    <n v="3800"/>
    <x v="0"/>
    <n v="2007"/>
  </r>
  <r>
    <x v="20"/>
    <x v="0"/>
    <s v="Biscoe"/>
    <n v="35.299999999999997"/>
    <n v="18.899999999999999"/>
    <n v="187"/>
    <n v="3800"/>
    <x v="1"/>
    <n v="2007"/>
  </r>
  <r>
    <x v="21"/>
    <x v="0"/>
    <s v="Biscoe"/>
    <n v="40.6"/>
    <n v="18.600000000000001"/>
    <n v="183"/>
    <n v="3550"/>
    <x v="0"/>
    <n v="2007"/>
  </r>
  <r>
    <x v="22"/>
    <x v="0"/>
    <s v="Biscoe"/>
    <n v="40.5"/>
    <n v="17.899999999999999"/>
    <n v="187"/>
    <n v="3200"/>
    <x v="1"/>
    <n v="2007"/>
  </r>
  <r>
    <x v="23"/>
    <x v="0"/>
    <s v="Biscoe"/>
    <n v="37.9"/>
    <n v="18.600000000000001"/>
    <n v="172"/>
    <n v="3150"/>
    <x v="1"/>
    <n v="2007"/>
  </r>
  <r>
    <x v="24"/>
    <x v="0"/>
    <s v="Biscoe"/>
    <n v="40.5"/>
    <n v="18.899999999999999"/>
    <n v="180"/>
    <n v="3950"/>
    <x v="0"/>
    <n v="2007"/>
  </r>
  <r>
    <x v="25"/>
    <x v="0"/>
    <s v="Dream"/>
    <n v="39.5"/>
    <n v="16.7"/>
    <n v="178"/>
    <n v="3250"/>
    <x v="1"/>
    <n v="2007"/>
  </r>
  <r>
    <x v="26"/>
    <x v="0"/>
    <s v="Dream"/>
    <n v="37.200000000000003"/>
    <n v="18.100000000000001"/>
    <n v="178"/>
    <n v="3900"/>
    <x v="0"/>
    <n v="2007"/>
  </r>
  <r>
    <x v="27"/>
    <x v="0"/>
    <s v="Dream"/>
    <n v="39.5"/>
    <n v="17.8"/>
    <n v="188"/>
    <n v="3300"/>
    <x v="1"/>
    <n v="2007"/>
  </r>
  <r>
    <x v="28"/>
    <x v="0"/>
    <s v="Dream"/>
    <n v="40.9"/>
    <n v="18.899999999999999"/>
    <n v="184"/>
    <n v="3900"/>
    <x v="0"/>
    <n v="2007"/>
  </r>
  <r>
    <x v="29"/>
    <x v="0"/>
    <s v="Dream"/>
    <n v="36.4"/>
    <n v="17"/>
    <n v="195"/>
    <n v="3325"/>
    <x v="1"/>
    <n v="2007"/>
  </r>
  <r>
    <x v="30"/>
    <x v="0"/>
    <s v="Dream"/>
    <n v="39.200000000000003"/>
    <n v="21.1"/>
    <n v="196"/>
    <n v="4150"/>
    <x v="0"/>
    <n v="2007"/>
  </r>
  <r>
    <x v="31"/>
    <x v="0"/>
    <s v="Dream"/>
    <n v="38.799999999999997"/>
    <n v="20"/>
    <n v="190"/>
    <n v="3950"/>
    <x v="0"/>
    <n v="2007"/>
  </r>
  <r>
    <x v="32"/>
    <x v="0"/>
    <s v="Dream"/>
    <n v="42.2"/>
    <n v="18.5"/>
    <n v="180"/>
    <n v="3550"/>
    <x v="1"/>
    <n v="2007"/>
  </r>
  <r>
    <x v="33"/>
    <x v="0"/>
    <s v="Dream"/>
    <n v="37.6"/>
    <n v="19.3"/>
    <n v="181"/>
    <n v="3300"/>
    <x v="1"/>
    <n v="2007"/>
  </r>
  <r>
    <x v="34"/>
    <x v="0"/>
    <s v="Dream"/>
    <n v="39.799999999999997"/>
    <n v="19.100000000000001"/>
    <n v="184"/>
    <n v="4650"/>
    <x v="0"/>
    <n v="2007"/>
  </r>
  <r>
    <x v="35"/>
    <x v="0"/>
    <s v="Dream"/>
    <n v="36.5"/>
    <n v="18"/>
    <n v="182"/>
    <n v="3150"/>
    <x v="1"/>
    <n v="2007"/>
  </r>
  <r>
    <x v="36"/>
    <x v="0"/>
    <s v="Dream"/>
    <n v="40.799999999999997"/>
    <n v="18.399999999999999"/>
    <n v="195"/>
    <n v="3900"/>
    <x v="0"/>
    <n v="2007"/>
  </r>
  <r>
    <x v="37"/>
    <x v="0"/>
    <s v="Dream"/>
    <n v="36"/>
    <n v="18.5"/>
    <n v="186"/>
    <n v="3100"/>
    <x v="1"/>
    <n v="2007"/>
  </r>
  <r>
    <x v="38"/>
    <x v="0"/>
    <s v="Dream"/>
    <n v="44.1"/>
    <n v="19.7"/>
    <n v="196"/>
    <n v="4400"/>
    <x v="0"/>
    <n v="2007"/>
  </r>
  <r>
    <x v="39"/>
    <x v="0"/>
    <s v="Dream"/>
    <n v="37"/>
    <n v="16.899999999999999"/>
    <n v="185"/>
    <n v="3000"/>
    <x v="1"/>
    <n v="2007"/>
  </r>
  <r>
    <x v="40"/>
    <x v="0"/>
    <s v="Dream"/>
    <n v="39.6"/>
    <n v="18.8"/>
    <n v="190"/>
    <n v="4600"/>
    <x v="0"/>
    <n v="2007"/>
  </r>
  <r>
    <x v="41"/>
    <x v="0"/>
    <s v="Dream"/>
    <n v="41.1"/>
    <n v="19"/>
    <n v="182"/>
    <n v="3425"/>
    <x v="0"/>
    <n v="2007"/>
  </r>
  <r>
    <x v="42"/>
    <x v="0"/>
    <s v="Dream"/>
    <n v="36"/>
    <n v="17.899999999999999"/>
    <n v="190"/>
    <n v="3450"/>
    <x v="1"/>
    <n v="2007"/>
  </r>
  <r>
    <x v="43"/>
    <x v="0"/>
    <s v="Dream"/>
    <n v="42.3"/>
    <n v="21.2"/>
    <n v="191"/>
    <n v="4150"/>
    <x v="0"/>
    <n v="2007"/>
  </r>
  <r>
    <x v="44"/>
    <x v="0"/>
    <s v="Biscoe"/>
    <n v="39.6"/>
    <n v="17.7"/>
    <n v="186"/>
    <n v="3500"/>
    <x v="1"/>
    <n v="2008"/>
  </r>
  <r>
    <x v="45"/>
    <x v="0"/>
    <s v="Biscoe"/>
    <n v="40.1"/>
    <n v="18.899999999999999"/>
    <n v="188"/>
    <n v="4300"/>
    <x v="0"/>
    <n v="2008"/>
  </r>
  <r>
    <x v="46"/>
    <x v="0"/>
    <s v="Biscoe"/>
    <n v="35"/>
    <n v="17.899999999999999"/>
    <n v="190"/>
    <n v="3450"/>
    <x v="1"/>
    <n v="2008"/>
  </r>
  <r>
    <x v="47"/>
    <x v="0"/>
    <s v="Biscoe"/>
    <n v="42"/>
    <n v="19.5"/>
    <n v="200"/>
    <n v="4050"/>
    <x v="0"/>
    <n v="2008"/>
  </r>
  <r>
    <x v="48"/>
    <x v="0"/>
    <s v="Biscoe"/>
    <n v="34.5"/>
    <n v="18.100000000000001"/>
    <n v="187"/>
    <n v="2900"/>
    <x v="1"/>
    <n v="2008"/>
  </r>
  <r>
    <x v="49"/>
    <x v="0"/>
    <s v="Biscoe"/>
    <n v="41.4"/>
    <n v="18.600000000000001"/>
    <n v="191"/>
    <n v="3700"/>
    <x v="0"/>
    <n v="2008"/>
  </r>
  <r>
    <x v="50"/>
    <x v="0"/>
    <s v="Biscoe"/>
    <n v="39"/>
    <n v="17.5"/>
    <n v="186"/>
    <n v="3550"/>
    <x v="1"/>
    <n v="2008"/>
  </r>
  <r>
    <x v="51"/>
    <x v="0"/>
    <s v="Biscoe"/>
    <n v="40.6"/>
    <n v="18.8"/>
    <n v="193"/>
    <n v="3800"/>
    <x v="0"/>
    <n v="2008"/>
  </r>
  <r>
    <x v="52"/>
    <x v="0"/>
    <s v="Biscoe"/>
    <n v="36.5"/>
    <n v="16.600000000000001"/>
    <n v="181"/>
    <n v="2850"/>
    <x v="1"/>
    <n v="2008"/>
  </r>
  <r>
    <x v="53"/>
    <x v="0"/>
    <s v="Biscoe"/>
    <n v="37.6"/>
    <n v="19.100000000000001"/>
    <n v="194"/>
    <n v="3750"/>
    <x v="0"/>
    <n v="2008"/>
  </r>
  <r>
    <x v="54"/>
    <x v="0"/>
    <s v="Biscoe"/>
    <n v="35.700000000000003"/>
    <n v="16.899999999999999"/>
    <n v="185"/>
    <n v="3150"/>
    <x v="1"/>
    <n v="2008"/>
  </r>
  <r>
    <x v="55"/>
    <x v="0"/>
    <s v="Biscoe"/>
    <n v="41.3"/>
    <n v="21.1"/>
    <n v="195"/>
    <n v="4400"/>
    <x v="0"/>
    <n v="2008"/>
  </r>
  <r>
    <x v="56"/>
    <x v="0"/>
    <s v="Biscoe"/>
    <n v="37.6"/>
    <n v="17"/>
    <n v="185"/>
    <n v="3600"/>
    <x v="1"/>
    <n v="2008"/>
  </r>
  <r>
    <x v="57"/>
    <x v="0"/>
    <s v="Biscoe"/>
    <n v="41.1"/>
    <n v="18.2"/>
    <n v="192"/>
    <n v="4050"/>
    <x v="0"/>
    <n v="2008"/>
  </r>
  <r>
    <x v="58"/>
    <x v="0"/>
    <s v="Biscoe"/>
    <n v="36.4"/>
    <n v="17.100000000000001"/>
    <n v="184"/>
    <n v="2850"/>
    <x v="1"/>
    <n v="2008"/>
  </r>
  <r>
    <x v="59"/>
    <x v="0"/>
    <s v="Biscoe"/>
    <n v="41.6"/>
    <n v="18"/>
    <n v="192"/>
    <n v="3950"/>
    <x v="0"/>
    <n v="2008"/>
  </r>
  <r>
    <x v="60"/>
    <x v="0"/>
    <s v="Biscoe"/>
    <n v="35.5"/>
    <n v="16.2"/>
    <n v="195"/>
    <n v="3350"/>
    <x v="1"/>
    <n v="2008"/>
  </r>
  <r>
    <x v="61"/>
    <x v="0"/>
    <s v="Biscoe"/>
    <n v="41.1"/>
    <n v="19.100000000000001"/>
    <n v="188"/>
    <n v="4100"/>
    <x v="0"/>
    <n v="2008"/>
  </r>
  <r>
    <x v="62"/>
    <x v="0"/>
    <s v="Torgersen"/>
    <n v="35.9"/>
    <n v="16.600000000000001"/>
    <n v="190"/>
    <n v="3050"/>
    <x v="1"/>
    <n v="2008"/>
  </r>
  <r>
    <x v="63"/>
    <x v="0"/>
    <s v="Torgersen"/>
    <n v="41.8"/>
    <n v="19.399999999999999"/>
    <n v="198"/>
    <n v="4450"/>
    <x v="0"/>
    <n v="2008"/>
  </r>
  <r>
    <x v="64"/>
    <x v="0"/>
    <s v="Torgersen"/>
    <n v="33.5"/>
    <n v="19"/>
    <n v="190"/>
    <n v="3600"/>
    <x v="1"/>
    <n v="2008"/>
  </r>
  <r>
    <x v="65"/>
    <x v="0"/>
    <s v="Torgersen"/>
    <n v="39.700000000000003"/>
    <n v="18.399999999999999"/>
    <n v="190"/>
    <n v="3900"/>
    <x v="0"/>
    <n v="2008"/>
  </r>
  <r>
    <x v="66"/>
    <x v="0"/>
    <s v="Torgersen"/>
    <n v="39.6"/>
    <n v="17.2"/>
    <n v="196"/>
    <n v="3550"/>
    <x v="1"/>
    <n v="2008"/>
  </r>
  <r>
    <x v="67"/>
    <x v="0"/>
    <s v="Torgersen"/>
    <n v="45.8"/>
    <n v="18.899999999999999"/>
    <n v="197"/>
    <n v="4150"/>
    <x v="0"/>
    <n v="2008"/>
  </r>
  <r>
    <x v="68"/>
    <x v="0"/>
    <s v="Torgersen"/>
    <n v="35.5"/>
    <n v="17.5"/>
    <n v="190"/>
    <n v="3700"/>
    <x v="1"/>
    <n v="2008"/>
  </r>
  <r>
    <x v="69"/>
    <x v="0"/>
    <s v="Torgersen"/>
    <n v="42.8"/>
    <n v="18.5"/>
    <n v="195"/>
    <n v="4250"/>
    <x v="0"/>
    <n v="2008"/>
  </r>
  <r>
    <x v="70"/>
    <x v="0"/>
    <s v="Torgersen"/>
    <n v="40.9"/>
    <n v="16.8"/>
    <n v="191"/>
    <n v="3700"/>
    <x v="1"/>
    <n v="2008"/>
  </r>
  <r>
    <x v="71"/>
    <x v="0"/>
    <s v="Torgersen"/>
    <n v="37.200000000000003"/>
    <n v="19.399999999999999"/>
    <n v="184"/>
    <n v="3900"/>
    <x v="0"/>
    <n v="2008"/>
  </r>
  <r>
    <x v="72"/>
    <x v="0"/>
    <s v="Torgersen"/>
    <n v="36.200000000000003"/>
    <n v="16.100000000000001"/>
    <n v="187"/>
    <n v="3550"/>
    <x v="1"/>
    <n v="2008"/>
  </r>
  <r>
    <x v="73"/>
    <x v="0"/>
    <s v="Torgersen"/>
    <n v="42.1"/>
    <n v="19.100000000000001"/>
    <n v="195"/>
    <n v="4000"/>
    <x v="0"/>
    <n v="2008"/>
  </r>
  <r>
    <x v="74"/>
    <x v="0"/>
    <s v="Torgersen"/>
    <n v="34.6"/>
    <n v="17.2"/>
    <n v="189"/>
    <n v="3200"/>
    <x v="1"/>
    <n v="2008"/>
  </r>
  <r>
    <x v="75"/>
    <x v="0"/>
    <s v="Torgersen"/>
    <n v="42.9"/>
    <n v="17.600000000000001"/>
    <n v="196"/>
    <n v="4700"/>
    <x v="0"/>
    <n v="2008"/>
  </r>
  <r>
    <x v="76"/>
    <x v="0"/>
    <s v="Torgersen"/>
    <n v="36.700000000000003"/>
    <n v="18.8"/>
    <n v="187"/>
    <n v="3800"/>
    <x v="1"/>
    <n v="2008"/>
  </r>
  <r>
    <x v="77"/>
    <x v="0"/>
    <s v="Torgersen"/>
    <n v="35.1"/>
    <n v="19.399999999999999"/>
    <n v="193"/>
    <n v="4200"/>
    <x v="0"/>
    <n v="2008"/>
  </r>
  <r>
    <x v="78"/>
    <x v="0"/>
    <s v="Dream"/>
    <n v="37.299999999999997"/>
    <n v="17.8"/>
    <n v="191"/>
    <n v="3350"/>
    <x v="1"/>
    <n v="2008"/>
  </r>
  <r>
    <x v="79"/>
    <x v="0"/>
    <s v="Dream"/>
    <n v="41.3"/>
    <n v="20.3"/>
    <n v="194"/>
    <n v="3550"/>
    <x v="0"/>
    <n v="2008"/>
  </r>
  <r>
    <x v="80"/>
    <x v="0"/>
    <s v="Dream"/>
    <n v="36.299999999999997"/>
    <n v="19.5"/>
    <n v="190"/>
    <n v="3800"/>
    <x v="0"/>
    <n v="2008"/>
  </r>
  <r>
    <x v="81"/>
    <x v="0"/>
    <s v="Dream"/>
    <n v="36.9"/>
    <n v="18.600000000000001"/>
    <n v="189"/>
    <n v="3500"/>
    <x v="1"/>
    <n v="2008"/>
  </r>
  <r>
    <x v="82"/>
    <x v="0"/>
    <s v="Dream"/>
    <n v="38.299999999999997"/>
    <n v="19.2"/>
    <n v="189"/>
    <n v="3950"/>
    <x v="0"/>
    <n v="2008"/>
  </r>
  <r>
    <x v="83"/>
    <x v="0"/>
    <s v="Dream"/>
    <n v="38.9"/>
    <n v="18.8"/>
    <n v="190"/>
    <n v="3600"/>
    <x v="1"/>
    <n v="2008"/>
  </r>
  <r>
    <x v="84"/>
    <x v="0"/>
    <s v="Dream"/>
    <n v="35.700000000000003"/>
    <n v="18"/>
    <n v="202"/>
    <n v="3550"/>
    <x v="1"/>
    <n v="2008"/>
  </r>
  <r>
    <x v="85"/>
    <x v="0"/>
    <s v="Dream"/>
    <n v="41.1"/>
    <n v="18.100000000000001"/>
    <n v="205"/>
    <n v="4300"/>
    <x v="0"/>
    <n v="2008"/>
  </r>
  <r>
    <x v="86"/>
    <x v="0"/>
    <s v="Dream"/>
    <n v="34"/>
    <n v="17.100000000000001"/>
    <n v="185"/>
    <n v="3400"/>
    <x v="1"/>
    <n v="2008"/>
  </r>
  <r>
    <x v="87"/>
    <x v="0"/>
    <s v="Dream"/>
    <n v="39.6"/>
    <n v="18.100000000000001"/>
    <n v="186"/>
    <n v="4450"/>
    <x v="0"/>
    <n v="2008"/>
  </r>
  <r>
    <x v="88"/>
    <x v="0"/>
    <s v="Dream"/>
    <n v="36.200000000000003"/>
    <n v="17.3"/>
    <n v="187"/>
    <n v="3300"/>
    <x v="1"/>
    <n v="2008"/>
  </r>
  <r>
    <x v="89"/>
    <x v="0"/>
    <s v="Dream"/>
    <n v="40.799999999999997"/>
    <n v="18.899999999999999"/>
    <n v="208"/>
    <n v="4300"/>
    <x v="0"/>
    <n v="2008"/>
  </r>
  <r>
    <x v="90"/>
    <x v="0"/>
    <s v="Dream"/>
    <n v="38.1"/>
    <n v="18.600000000000001"/>
    <n v="190"/>
    <n v="3700"/>
    <x v="1"/>
    <n v="2008"/>
  </r>
  <r>
    <x v="91"/>
    <x v="0"/>
    <s v="Dream"/>
    <n v="40.299999999999997"/>
    <n v="18.5"/>
    <n v="196"/>
    <n v="4350"/>
    <x v="0"/>
    <n v="2008"/>
  </r>
  <r>
    <x v="92"/>
    <x v="0"/>
    <s v="Dream"/>
    <n v="33.1"/>
    <n v="16.100000000000001"/>
    <n v="178"/>
    <n v="2900"/>
    <x v="1"/>
    <n v="2008"/>
  </r>
  <r>
    <x v="93"/>
    <x v="0"/>
    <s v="Dream"/>
    <n v="43.2"/>
    <n v="18.5"/>
    <n v="192"/>
    <n v="4100"/>
    <x v="0"/>
    <n v="2008"/>
  </r>
  <r>
    <x v="94"/>
    <x v="0"/>
    <s v="Biscoe"/>
    <n v="35"/>
    <n v="17.899999999999999"/>
    <n v="192"/>
    <n v="3725"/>
    <x v="1"/>
    <n v="2009"/>
  </r>
  <r>
    <x v="95"/>
    <x v="0"/>
    <s v="Biscoe"/>
    <n v="41"/>
    <n v="20"/>
    <n v="203"/>
    <n v="4725"/>
    <x v="0"/>
    <n v="2009"/>
  </r>
  <r>
    <x v="96"/>
    <x v="0"/>
    <s v="Biscoe"/>
    <n v="37.700000000000003"/>
    <n v="16"/>
    <n v="183"/>
    <n v="3075"/>
    <x v="1"/>
    <n v="2009"/>
  </r>
  <r>
    <x v="97"/>
    <x v="0"/>
    <s v="Biscoe"/>
    <n v="37.799999999999997"/>
    <n v="20"/>
    <n v="190"/>
    <n v="4250"/>
    <x v="0"/>
    <n v="2009"/>
  </r>
  <r>
    <x v="98"/>
    <x v="0"/>
    <s v="Biscoe"/>
    <n v="37.9"/>
    <n v="18.600000000000001"/>
    <n v="193"/>
    <n v="2925"/>
    <x v="1"/>
    <n v="2009"/>
  </r>
  <r>
    <x v="99"/>
    <x v="0"/>
    <s v="Biscoe"/>
    <n v="39.700000000000003"/>
    <n v="18.899999999999999"/>
    <n v="184"/>
    <n v="3550"/>
    <x v="0"/>
    <n v="2009"/>
  </r>
  <r>
    <x v="100"/>
    <x v="0"/>
    <s v="Biscoe"/>
    <n v="38.6"/>
    <n v="17.2"/>
    <n v="199"/>
    <n v="3750"/>
    <x v="1"/>
    <n v="2009"/>
  </r>
  <r>
    <x v="101"/>
    <x v="0"/>
    <s v="Biscoe"/>
    <n v="38.200000000000003"/>
    <n v="20"/>
    <n v="190"/>
    <n v="3900"/>
    <x v="0"/>
    <n v="2009"/>
  </r>
  <r>
    <x v="102"/>
    <x v="0"/>
    <s v="Biscoe"/>
    <n v="38.1"/>
    <n v="17"/>
    <n v="181"/>
    <n v="3175"/>
    <x v="1"/>
    <n v="2009"/>
  </r>
  <r>
    <x v="103"/>
    <x v="0"/>
    <s v="Biscoe"/>
    <n v="43.2"/>
    <n v="19"/>
    <n v="197"/>
    <n v="4775"/>
    <x v="0"/>
    <n v="2009"/>
  </r>
  <r>
    <x v="104"/>
    <x v="0"/>
    <s v="Biscoe"/>
    <n v="38.1"/>
    <n v="16.5"/>
    <n v="198"/>
    <n v="3825"/>
    <x v="1"/>
    <n v="2009"/>
  </r>
  <r>
    <x v="105"/>
    <x v="0"/>
    <s v="Biscoe"/>
    <n v="45.6"/>
    <n v="20.3"/>
    <n v="191"/>
    <n v="4600"/>
    <x v="0"/>
    <n v="2009"/>
  </r>
  <r>
    <x v="106"/>
    <x v="0"/>
    <s v="Biscoe"/>
    <n v="39.700000000000003"/>
    <n v="17.7"/>
    <n v="193"/>
    <n v="3200"/>
    <x v="1"/>
    <n v="2009"/>
  </r>
  <r>
    <x v="107"/>
    <x v="0"/>
    <s v="Biscoe"/>
    <n v="42.2"/>
    <n v="19.5"/>
    <n v="197"/>
    <n v="4275"/>
    <x v="0"/>
    <n v="2009"/>
  </r>
  <r>
    <x v="108"/>
    <x v="0"/>
    <s v="Biscoe"/>
    <n v="39.6"/>
    <n v="20.7"/>
    <n v="191"/>
    <n v="3900"/>
    <x v="1"/>
    <n v="2009"/>
  </r>
  <r>
    <x v="109"/>
    <x v="0"/>
    <s v="Biscoe"/>
    <n v="42.7"/>
    <n v="18.3"/>
    <n v="196"/>
    <n v="4075"/>
    <x v="0"/>
    <n v="2009"/>
  </r>
  <r>
    <x v="110"/>
    <x v="0"/>
    <s v="Torgersen"/>
    <n v="38.6"/>
    <n v="17"/>
    <n v="188"/>
    <n v="2900"/>
    <x v="1"/>
    <n v="2009"/>
  </r>
  <r>
    <x v="111"/>
    <x v="0"/>
    <s v="Torgersen"/>
    <n v="37.299999999999997"/>
    <n v="20.5"/>
    <n v="199"/>
    <n v="3775"/>
    <x v="0"/>
    <n v="2009"/>
  </r>
  <r>
    <x v="112"/>
    <x v="0"/>
    <s v="Torgersen"/>
    <n v="35.700000000000003"/>
    <n v="17"/>
    <n v="189"/>
    <n v="3350"/>
    <x v="1"/>
    <n v="2009"/>
  </r>
  <r>
    <x v="113"/>
    <x v="0"/>
    <s v="Torgersen"/>
    <n v="41.1"/>
    <n v="18.600000000000001"/>
    <n v="189"/>
    <n v="3325"/>
    <x v="0"/>
    <n v="2009"/>
  </r>
  <r>
    <x v="114"/>
    <x v="0"/>
    <s v="Torgersen"/>
    <n v="36.200000000000003"/>
    <n v="17.2"/>
    <n v="187"/>
    <n v="3150"/>
    <x v="1"/>
    <n v="2009"/>
  </r>
  <r>
    <x v="115"/>
    <x v="0"/>
    <s v="Torgersen"/>
    <n v="37.700000000000003"/>
    <n v="19.8"/>
    <n v="198"/>
    <n v="3500"/>
    <x v="0"/>
    <n v="2009"/>
  </r>
  <r>
    <x v="116"/>
    <x v="0"/>
    <s v="Torgersen"/>
    <n v="40.200000000000003"/>
    <n v="17"/>
    <n v="176"/>
    <n v="3450"/>
    <x v="1"/>
    <n v="2009"/>
  </r>
  <r>
    <x v="117"/>
    <x v="0"/>
    <s v="Torgersen"/>
    <n v="41.4"/>
    <n v="18.5"/>
    <n v="202"/>
    <n v="3875"/>
    <x v="0"/>
    <n v="2009"/>
  </r>
  <r>
    <x v="118"/>
    <x v="0"/>
    <s v="Torgersen"/>
    <n v="35.200000000000003"/>
    <n v="15.9"/>
    <n v="186"/>
    <n v="3050"/>
    <x v="1"/>
    <n v="2009"/>
  </r>
  <r>
    <x v="119"/>
    <x v="0"/>
    <s v="Torgersen"/>
    <n v="40.6"/>
    <n v="19"/>
    <n v="199"/>
    <n v="4000"/>
    <x v="0"/>
    <n v="2009"/>
  </r>
  <r>
    <x v="120"/>
    <x v="0"/>
    <s v="Torgersen"/>
    <n v="38.799999999999997"/>
    <n v="17.600000000000001"/>
    <n v="191"/>
    <n v="3275"/>
    <x v="1"/>
    <n v="2009"/>
  </r>
  <r>
    <x v="121"/>
    <x v="0"/>
    <s v="Torgersen"/>
    <n v="41.5"/>
    <n v="18.3"/>
    <n v="195"/>
    <n v="4300"/>
    <x v="0"/>
    <n v="2009"/>
  </r>
  <r>
    <x v="122"/>
    <x v="0"/>
    <s v="Torgersen"/>
    <n v="39"/>
    <n v="17.100000000000001"/>
    <n v="191"/>
    <n v="3050"/>
    <x v="1"/>
    <n v="2009"/>
  </r>
  <r>
    <x v="123"/>
    <x v="0"/>
    <s v="Torgersen"/>
    <n v="44.1"/>
    <n v="18"/>
    <n v="210"/>
    <n v="4000"/>
    <x v="0"/>
    <n v="2009"/>
  </r>
  <r>
    <x v="124"/>
    <x v="0"/>
    <s v="Torgersen"/>
    <n v="38.5"/>
    <n v="17.899999999999999"/>
    <n v="190"/>
    <n v="3325"/>
    <x v="1"/>
    <n v="2009"/>
  </r>
  <r>
    <x v="125"/>
    <x v="0"/>
    <s v="Torgersen"/>
    <n v="43.1"/>
    <n v="19.2"/>
    <n v="197"/>
    <n v="3500"/>
    <x v="0"/>
    <n v="2009"/>
  </r>
  <r>
    <x v="126"/>
    <x v="0"/>
    <s v="Dream"/>
    <n v="36.799999999999997"/>
    <n v="18.5"/>
    <n v="193"/>
    <n v="3500"/>
    <x v="1"/>
    <n v="2009"/>
  </r>
  <r>
    <x v="127"/>
    <x v="0"/>
    <s v="Dream"/>
    <n v="37.5"/>
    <n v="18.5"/>
    <n v="199"/>
    <n v="4475"/>
    <x v="0"/>
    <n v="2009"/>
  </r>
  <r>
    <x v="128"/>
    <x v="0"/>
    <s v="Dream"/>
    <n v="38.1"/>
    <n v="17.600000000000001"/>
    <n v="187"/>
    <n v="3425"/>
    <x v="1"/>
    <n v="2009"/>
  </r>
  <r>
    <x v="129"/>
    <x v="0"/>
    <s v="Dream"/>
    <n v="41.1"/>
    <n v="17.5"/>
    <n v="190"/>
    <n v="3900"/>
    <x v="0"/>
    <n v="2009"/>
  </r>
  <r>
    <x v="130"/>
    <x v="0"/>
    <s v="Dream"/>
    <n v="35.6"/>
    <n v="17.5"/>
    <n v="191"/>
    <n v="3175"/>
    <x v="1"/>
    <n v="2009"/>
  </r>
  <r>
    <x v="131"/>
    <x v="0"/>
    <s v="Dream"/>
    <n v="40.200000000000003"/>
    <n v="20.100000000000001"/>
    <n v="200"/>
    <n v="3975"/>
    <x v="0"/>
    <n v="2009"/>
  </r>
  <r>
    <x v="132"/>
    <x v="0"/>
    <s v="Dream"/>
    <n v="37"/>
    <n v="16.5"/>
    <n v="185"/>
    <n v="3400"/>
    <x v="1"/>
    <n v="2009"/>
  </r>
  <r>
    <x v="133"/>
    <x v="0"/>
    <s v="Dream"/>
    <n v="39.700000000000003"/>
    <n v="17.899999999999999"/>
    <n v="193"/>
    <n v="4250"/>
    <x v="0"/>
    <n v="2009"/>
  </r>
  <r>
    <x v="134"/>
    <x v="0"/>
    <s v="Dream"/>
    <n v="40.200000000000003"/>
    <n v="17.100000000000001"/>
    <n v="193"/>
    <n v="3400"/>
    <x v="1"/>
    <n v="2009"/>
  </r>
  <r>
    <x v="135"/>
    <x v="0"/>
    <s v="Dream"/>
    <n v="40.6"/>
    <n v="17.2"/>
    <n v="187"/>
    <n v="3475"/>
    <x v="0"/>
    <n v="2009"/>
  </r>
  <r>
    <x v="136"/>
    <x v="0"/>
    <s v="Dream"/>
    <n v="32.1"/>
    <n v="15.5"/>
    <n v="188"/>
    <n v="3050"/>
    <x v="1"/>
    <n v="2009"/>
  </r>
  <r>
    <x v="137"/>
    <x v="0"/>
    <s v="Dream"/>
    <n v="40.700000000000003"/>
    <n v="17"/>
    <n v="190"/>
    <n v="3725"/>
    <x v="0"/>
    <n v="2009"/>
  </r>
  <r>
    <x v="138"/>
    <x v="0"/>
    <s v="Dream"/>
    <n v="37.299999999999997"/>
    <n v="16.8"/>
    <n v="192"/>
    <n v="3000"/>
    <x v="1"/>
    <n v="2009"/>
  </r>
  <r>
    <x v="139"/>
    <x v="0"/>
    <s v="Dream"/>
    <n v="39"/>
    <n v="18.7"/>
    <n v="185"/>
    <n v="3650"/>
    <x v="0"/>
    <n v="2009"/>
  </r>
  <r>
    <x v="140"/>
    <x v="0"/>
    <s v="Dream"/>
    <n v="39.200000000000003"/>
    <n v="18.600000000000001"/>
    <n v="190"/>
    <n v="4250"/>
    <x v="0"/>
    <n v="2009"/>
  </r>
  <r>
    <x v="141"/>
    <x v="0"/>
    <s v="Dream"/>
    <n v="36.6"/>
    <n v="18.399999999999999"/>
    <n v="184"/>
    <n v="3475"/>
    <x v="1"/>
    <n v="2009"/>
  </r>
  <r>
    <x v="142"/>
    <x v="0"/>
    <s v="Dream"/>
    <n v="36"/>
    <n v="17.8"/>
    <n v="195"/>
    <n v="3450"/>
    <x v="1"/>
    <n v="2009"/>
  </r>
  <r>
    <x v="143"/>
    <x v="0"/>
    <s v="Dream"/>
    <n v="37.799999999999997"/>
    <n v="18.100000000000001"/>
    <n v="193"/>
    <n v="3750"/>
    <x v="0"/>
    <n v="2009"/>
  </r>
  <r>
    <x v="144"/>
    <x v="0"/>
    <s v="Dream"/>
    <n v="36"/>
    <n v="17.100000000000001"/>
    <n v="187"/>
    <n v="3700"/>
    <x v="1"/>
    <n v="2009"/>
  </r>
  <r>
    <x v="145"/>
    <x v="0"/>
    <s v="Dream"/>
    <n v="41.5"/>
    <n v="18.5"/>
    <n v="201"/>
    <n v="4000"/>
    <x v="0"/>
    <n v="2009"/>
  </r>
  <r>
    <x v="146"/>
    <x v="1"/>
    <s v="Biscoe"/>
    <n v="46.1"/>
    <n v="13.2"/>
    <n v="211"/>
    <n v="4500"/>
    <x v="1"/>
    <n v="2007"/>
  </r>
  <r>
    <x v="147"/>
    <x v="1"/>
    <s v="Biscoe"/>
    <n v="50"/>
    <n v="16.3"/>
    <n v="230"/>
    <n v="5700"/>
    <x v="0"/>
    <n v="2007"/>
  </r>
  <r>
    <x v="148"/>
    <x v="1"/>
    <s v="Biscoe"/>
    <n v="48.7"/>
    <n v="14.1"/>
    <n v="210"/>
    <n v="4450"/>
    <x v="1"/>
    <n v="2007"/>
  </r>
  <r>
    <x v="149"/>
    <x v="1"/>
    <s v="Biscoe"/>
    <n v="50"/>
    <n v="15.2"/>
    <n v="218"/>
    <n v="5700"/>
    <x v="0"/>
    <n v="2007"/>
  </r>
  <r>
    <x v="150"/>
    <x v="1"/>
    <s v="Biscoe"/>
    <n v="47.6"/>
    <n v="14.5"/>
    <n v="215"/>
    <n v="5400"/>
    <x v="0"/>
    <n v="2007"/>
  </r>
  <r>
    <x v="151"/>
    <x v="1"/>
    <s v="Biscoe"/>
    <n v="46.5"/>
    <n v="13.5"/>
    <n v="210"/>
    <n v="4550"/>
    <x v="1"/>
    <n v="2007"/>
  </r>
  <r>
    <x v="152"/>
    <x v="1"/>
    <s v="Biscoe"/>
    <n v="45.4"/>
    <n v="14.6"/>
    <n v="211"/>
    <n v="4800"/>
    <x v="1"/>
    <n v="2007"/>
  </r>
  <r>
    <x v="153"/>
    <x v="1"/>
    <s v="Biscoe"/>
    <n v="46.7"/>
    <n v="15.3"/>
    <n v="219"/>
    <n v="5200"/>
    <x v="0"/>
    <n v="2007"/>
  </r>
  <r>
    <x v="154"/>
    <x v="1"/>
    <s v="Biscoe"/>
    <n v="43.3"/>
    <n v="13.4"/>
    <n v="209"/>
    <n v="4400"/>
    <x v="1"/>
    <n v="2007"/>
  </r>
  <r>
    <x v="155"/>
    <x v="1"/>
    <s v="Biscoe"/>
    <n v="46.8"/>
    <n v="15.4"/>
    <n v="215"/>
    <n v="5150"/>
    <x v="0"/>
    <n v="2007"/>
  </r>
  <r>
    <x v="156"/>
    <x v="1"/>
    <s v="Biscoe"/>
    <n v="40.9"/>
    <n v="13.7"/>
    <n v="214"/>
    <n v="4650"/>
    <x v="1"/>
    <n v="2007"/>
  </r>
  <r>
    <x v="157"/>
    <x v="1"/>
    <s v="Biscoe"/>
    <n v="49"/>
    <n v="16.100000000000001"/>
    <n v="216"/>
    <n v="5550"/>
    <x v="0"/>
    <n v="2007"/>
  </r>
  <r>
    <x v="158"/>
    <x v="1"/>
    <s v="Biscoe"/>
    <n v="45.5"/>
    <n v="13.7"/>
    <n v="214"/>
    <n v="4650"/>
    <x v="1"/>
    <n v="2007"/>
  </r>
  <r>
    <x v="159"/>
    <x v="1"/>
    <s v="Biscoe"/>
    <n v="48.4"/>
    <n v="14.6"/>
    <n v="213"/>
    <n v="5850"/>
    <x v="0"/>
    <n v="2007"/>
  </r>
  <r>
    <x v="160"/>
    <x v="1"/>
    <s v="Biscoe"/>
    <n v="45.8"/>
    <n v="14.6"/>
    <n v="210"/>
    <n v="4200"/>
    <x v="1"/>
    <n v="2007"/>
  </r>
  <r>
    <x v="161"/>
    <x v="1"/>
    <s v="Biscoe"/>
    <n v="49.3"/>
    <n v="15.7"/>
    <n v="217"/>
    <n v="5850"/>
    <x v="0"/>
    <n v="2007"/>
  </r>
  <r>
    <x v="162"/>
    <x v="1"/>
    <s v="Biscoe"/>
    <n v="42"/>
    <n v="13.5"/>
    <n v="210"/>
    <n v="4150"/>
    <x v="1"/>
    <n v="2007"/>
  </r>
  <r>
    <x v="163"/>
    <x v="1"/>
    <s v="Biscoe"/>
    <n v="49.2"/>
    <n v="15.2"/>
    <n v="221"/>
    <n v="6300"/>
    <x v="0"/>
    <n v="2007"/>
  </r>
  <r>
    <x v="164"/>
    <x v="1"/>
    <s v="Biscoe"/>
    <n v="46.2"/>
    <n v="14.5"/>
    <n v="209"/>
    <n v="4800"/>
    <x v="1"/>
    <n v="2007"/>
  </r>
  <r>
    <x v="165"/>
    <x v="1"/>
    <s v="Biscoe"/>
    <n v="48.7"/>
    <n v="15.1"/>
    <n v="222"/>
    <n v="5350"/>
    <x v="0"/>
    <n v="2007"/>
  </r>
  <r>
    <x v="166"/>
    <x v="1"/>
    <s v="Biscoe"/>
    <n v="50.2"/>
    <n v="14.3"/>
    <n v="218"/>
    <n v="5700"/>
    <x v="0"/>
    <n v="2007"/>
  </r>
  <r>
    <x v="167"/>
    <x v="1"/>
    <s v="Biscoe"/>
    <n v="45.1"/>
    <n v="14.5"/>
    <n v="215"/>
    <n v="5000"/>
    <x v="1"/>
    <n v="2007"/>
  </r>
  <r>
    <x v="168"/>
    <x v="1"/>
    <s v="Biscoe"/>
    <n v="46.5"/>
    <n v="14.5"/>
    <n v="213"/>
    <n v="4400"/>
    <x v="1"/>
    <n v="2007"/>
  </r>
  <r>
    <x v="169"/>
    <x v="1"/>
    <s v="Biscoe"/>
    <n v="46.3"/>
    <n v="15.8"/>
    <n v="215"/>
    <n v="5050"/>
    <x v="0"/>
    <n v="2007"/>
  </r>
  <r>
    <x v="170"/>
    <x v="1"/>
    <s v="Biscoe"/>
    <n v="42.9"/>
    <n v="13.1"/>
    <n v="215"/>
    <n v="5000"/>
    <x v="1"/>
    <n v="2007"/>
  </r>
  <r>
    <x v="171"/>
    <x v="1"/>
    <s v="Biscoe"/>
    <n v="46.1"/>
    <n v="15.1"/>
    <n v="215"/>
    <n v="5100"/>
    <x v="0"/>
    <n v="2007"/>
  </r>
  <r>
    <x v="172"/>
    <x v="1"/>
    <s v="Biscoe"/>
    <n v="47.8"/>
    <n v="15"/>
    <n v="215"/>
    <n v="5650"/>
    <x v="0"/>
    <n v="2007"/>
  </r>
  <r>
    <x v="173"/>
    <x v="1"/>
    <s v="Biscoe"/>
    <n v="48.2"/>
    <n v="14.3"/>
    <n v="210"/>
    <n v="4600"/>
    <x v="1"/>
    <n v="2007"/>
  </r>
  <r>
    <x v="174"/>
    <x v="1"/>
    <s v="Biscoe"/>
    <n v="50"/>
    <n v="15.3"/>
    <n v="220"/>
    <n v="5550"/>
    <x v="0"/>
    <n v="2007"/>
  </r>
  <r>
    <x v="175"/>
    <x v="1"/>
    <s v="Biscoe"/>
    <n v="47.3"/>
    <n v="15.3"/>
    <n v="222"/>
    <n v="5250"/>
    <x v="0"/>
    <n v="2007"/>
  </r>
  <r>
    <x v="176"/>
    <x v="1"/>
    <s v="Biscoe"/>
    <n v="42.8"/>
    <n v="14.2"/>
    <n v="209"/>
    <n v="4700"/>
    <x v="1"/>
    <n v="2007"/>
  </r>
  <r>
    <x v="177"/>
    <x v="1"/>
    <s v="Biscoe"/>
    <n v="45.1"/>
    <n v="14.5"/>
    <n v="207"/>
    <n v="5050"/>
    <x v="1"/>
    <n v="2007"/>
  </r>
  <r>
    <x v="178"/>
    <x v="1"/>
    <s v="Biscoe"/>
    <n v="59.6"/>
    <n v="17"/>
    <n v="230"/>
    <n v="6050"/>
    <x v="0"/>
    <n v="2007"/>
  </r>
  <r>
    <x v="179"/>
    <x v="1"/>
    <s v="Biscoe"/>
    <n v="49.1"/>
    <n v="14.8"/>
    <n v="220"/>
    <n v="5150"/>
    <x v="1"/>
    <n v="2008"/>
  </r>
  <r>
    <x v="180"/>
    <x v="1"/>
    <s v="Biscoe"/>
    <n v="48.4"/>
    <n v="16.3"/>
    <n v="220"/>
    <n v="5400"/>
    <x v="0"/>
    <n v="2008"/>
  </r>
  <r>
    <x v="181"/>
    <x v="1"/>
    <s v="Biscoe"/>
    <n v="42.6"/>
    <n v="13.7"/>
    <n v="213"/>
    <n v="4950"/>
    <x v="1"/>
    <n v="2008"/>
  </r>
  <r>
    <x v="182"/>
    <x v="1"/>
    <s v="Biscoe"/>
    <n v="44.4"/>
    <n v="17.3"/>
    <n v="219"/>
    <n v="5250"/>
    <x v="0"/>
    <n v="2008"/>
  </r>
  <r>
    <x v="183"/>
    <x v="1"/>
    <s v="Biscoe"/>
    <n v="44"/>
    <n v="13.6"/>
    <n v="208"/>
    <n v="4350"/>
    <x v="1"/>
    <n v="2008"/>
  </r>
  <r>
    <x v="184"/>
    <x v="1"/>
    <s v="Biscoe"/>
    <n v="48.7"/>
    <n v="15.7"/>
    <n v="208"/>
    <n v="5350"/>
    <x v="0"/>
    <n v="2008"/>
  </r>
  <r>
    <x v="185"/>
    <x v="1"/>
    <s v="Biscoe"/>
    <n v="42.7"/>
    <n v="13.7"/>
    <n v="208"/>
    <n v="3950"/>
    <x v="1"/>
    <n v="2008"/>
  </r>
  <r>
    <x v="186"/>
    <x v="1"/>
    <s v="Biscoe"/>
    <n v="49.6"/>
    <n v="16"/>
    <n v="225"/>
    <n v="5700"/>
    <x v="0"/>
    <n v="2008"/>
  </r>
  <r>
    <x v="187"/>
    <x v="1"/>
    <s v="Biscoe"/>
    <n v="45.3"/>
    <n v="13.7"/>
    <n v="210"/>
    <n v="4300"/>
    <x v="1"/>
    <n v="2008"/>
  </r>
  <r>
    <x v="188"/>
    <x v="1"/>
    <s v="Biscoe"/>
    <n v="49.6"/>
    <n v="15"/>
    <n v="216"/>
    <n v="4750"/>
    <x v="0"/>
    <n v="2008"/>
  </r>
  <r>
    <x v="189"/>
    <x v="1"/>
    <s v="Biscoe"/>
    <n v="50.5"/>
    <n v="15.9"/>
    <n v="222"/>
    <n v="5550"/>
    <x v="0"/>
    <n v="2008"/>
  </r>
  <r>
    <x v="190"/>
    <x v="1"/>
    <s v="Biscoe"/>
    <n v="43.6"/>
    <n v="13.9"/>
    <n v="217"/>
    <n v="4900"/>
    <x v="1"/>
    <n v="2008"/>
  </r>
  <r>
    <x v="191"/>
    <x v="1"/>
    <s v="Biscoe"/>
    <n v="45.5"/>
    <n v="13.9"/>
    <n v="210"/>
    <n v="4200"/>
    <x v="1"/>
    <n v="2008"/>
  </r>
  <r>
    <x v="192"/>
    <x v="1"/>
    <s v="Biscoe"/>
    <n v="50.5"/>
    <n v="15.9"/>
    <n v="225"/>
    <n v="5400"/>
    <x v="0"/>
    <n v="2008"/>
  </r>
  <r>
    <x v="193"/>
    <x v="1"/>
    <s v="Biscoe"/>
    <n v="44.9"/>
    <n v="13.3"/>
    <n v="213"/>
    <n v="5100"/>
    <x v="1"/>
    <n v="2008"/>
  </r>
  <r>
    <x v="194"/>
    <x v="1"/>
    <s v="Biscoe"/>
    <n v="45.2"/>
    <n v="15.8"/>
    <n v="215"/>
    <n v="5300"/>
    <x v="0"/>
    <n v="2008"/>
  </r>
  <r>
    <x v="195"/>
    <x v="1"/>
    <s v="Biscoe"/>
    <n v="46.6"/>
    <n v="14.2"/>
    <n v="210"/>
    <n v="4850"/>
    <x v="1"/>
    <n v="2008"/>
  </r>
  <r>
    <x v="196"/>
    <x v="1"/>
    <s v="Biscoe"/>
    <n v="48.5"/>
    <n v="14.1"/>
    <n v="220"/>
    <n v="5300"/>
    <x v="0"/>
    <n v="2008"/>
  </r>
  <r>
    <x v="197"/>
    <x v="1"/>
    <s v="Biscoe"/>
    <n v="45.1"/>
    <n v="14.4"/>
    <n v="210"/>
    <n v="4400"/>
    <x v="1"/>
    <n v="2008"/>
  </r>
  <r>
    <x v="198"/>
    <x v="1"/>
    <s v="Biscoe"/>
    <n v="50.1"/>
    <n v="15"/>
    <n v="225"/>
    <n v="5000"/>
    <x v="0"/>
    <n v="2008"/>
  </r>
  <r>
    <x v="199"/>
    <x v="1"/>
    <s v="Biscoe"/>
    <n v="46.5"/>
    <n v="14.4"/>
    <n v="217"/>
    <n v="4900"/>
    <x v="1"/>
    <n v="2008"/>
  </r>
  <r>
    <x v="200"/>
    <x v="1"/>
    <s v="Biscoe"/>
    <n v="45"/>
    <n v="15.4"/>
    <n v="220"/>
    <n v="5050"/>
    <x v="0"/>
    <n v="2008"/>
  </r>
  <r>
    <x v="201"/>
    <x v="1"/>
    <s v="Biscoe"/>
    <n v="43.8"/>
    <n v="13.9"/>
    <n v="208"/>
    <n v="4300"/>
    <x v="1"/>
    <n v="2008"/>
  </r>
  <r>
    <x v="202"/>
    <x v="1"/>
    <s v="Biscoe"/>
    <n v="45.5"/>
    <n v="15"/>
    <n v="220"/>
    <n v="5000"/>
    <x v="0"/>
    <n v="2008"/>
  </r>
  <r>
    <x v="203"/>
    <x v="1"/>
    <s v="Biscoe"/>
    <n v="43.2"/>
    <n v="14.5"/>
    <n v="208"/>
    <n v="4450"/>
    <x v="1"/>
    <n v="2008"/>
  </r>
  <r>
    <x v="204"/>
    <x v="1"/>
    <s v="Biscoe"/>
    <n v="50.4"/>
    <n v="15.3"/>
    <n v="224"/>
    <n v="5550"/>
    <x v="0"/>
    <n v="2008"/>
  </r>
  <r>
    <x v="205"/>
    <x v="1"/>
    <s v="Biscoe"/>
    <n v="45.3"/>
    <n v="13.8"/>
    <n v="208"/>
    <n v="4200"/>
    <x v="1"/>
    <n v="2008"/>
  </r>
  <r>
    <x v="206"/>
    <x v="1"/>
    <s v="Biscoe"/>
    <n v="46.2"/>
    <n v="14.9"/>
    <n v="221"/>
    <n v="5300"/>
    <x v="0"/>
    <n v="2008"/>
  </r>
  <r>
    <x v="207"/>
    <x v="1"/>
    <s v="Biscoe"/>
    <n v="45.7"/>
    <n v="13.9"/>
    <n v="214"/>
    <n v="4400"/>
    <x v="1"/>
    <n v="2008"/>
  </r>
  <r>
    <x v="208"/>
    <x v="1"/>
    <s v="Biscoe"/>
    <n v="54.3"/>
    <n v="15.7"/>
    <n v="231"/>
    <n v="5650"/>
    <x v="0"/>
    <n v="2008"/>
  </r>
  <r>
    <x v="209"/>
    <x v="1"/>
    <s v="Biscoe"/>
    <n v="45.8"/>
    <n v="14.2"/>
    <n v="219"/>
    <n v="4700"/>
    <x v="1"/>
    <n v="2008"/>
  </r>
  <r>
    <x v="210"/>
    <x v="1"/>
    <s v="Biscoe"/>
    <n v="49.8"/>
    <n v="16.8"/>
    <n v="230"/>
    <n v="5700"/>
    <x v="0"/>
    <n v="2008"/>
  </r>
  <r>
    <x v="211"/>
    <x v="1"/>
    <s v="Biscoe"/>
    <n v="49.5"/>
    <n v="16.2"/>
    <n v="229"/>
    <n v="5800"/>
    <x v="0"/>
    <n v="2008"/>
  </r>
  <r>
    <x v="212"/>
    <x v="1"/>
    <s v="Biscoe"/>
    <n v="43.5"/>
    <n v="14.2"/>
    <n v="220"/>
    <n v="4700"/>
    <x v="1"/>
    <n v="2008"/>
  </r>
  <r>
    <x v="213"/>
    <x v="1"/>
    <s v="Biscoe"/>
    <n v="50.7"/>
    <n v="15"/>
    <n v="223"/>
    <n v="5550"/>
    <x v="0"/>
    <n v="2008"/>
  </r>
  <r>
    <x v="214"/>
    <x v="1"/>
    <s v="Biscoe"/>
    <n v="47.7"/>
    <n v="15"/>
    <n v="216"/>
    <n v="4750"/>
    <x v="1"/>
    <n v="2008"/>
  </r>
  <r>
    <x v="215"/>
    <x v="1"/>
    <s v="Biscoe"/>
    <n v="46.4"/>
    <n v="15.6"/>
    <n v="221"/>
    <n v="5000"/>
    <x v="0"/>
    <n v="2008"/>
  </r>
  <r>
    <x v="216"/>
    <x v="1"/>
    <s v="Biscoe"/>
    <n v="48.2"/>
    <n v="15.6"/>
    <n v="221"/>
    <n v="5100"/>
    <x v="0"/>
    <n v="2008"/>
  </r>
  <r>
    <x v="217"/>
    <x v="1"/>
    <s v="Biscoe"/>
    <n v="46.5"/>
    <n v="14.8"/>
    <n v="217"/>
    <n v="5200"/>
    <x v="1"/>
    <n v="2008"/>
  </r>
  <r>
    <x v="218"/>
    <x v="1"/>
    <s v="Biscoe"/>
    <n v="46.4"/>
    <n v="15"/>
    <n v="216"/>
    <n v="4700"/>
    <x v="1"/>
    <n v="2008"/>
  </r>
  <r>
    <x v="219"/>
    <x v="1"/>
    <s v="Biscoe"/>
    <n v="48.6"/>
    <n v="16"/>
    <n v="230"/>
    <n v="5800"/>
    <x v="0"/>
    <n v="2008"/>
  </r>
  <r>
    <x v="220"/>
    <x v="1"/>
    <s v="Biscoe"/>
    <n v="47.5"/>
    <n v="14.2"/>
    <n v="209"/>
    <n v="4600"/>
    <x v="1"/>
    <n v="2008"/>
  </r>
  <r>
    <x v="221"/>
    <x v="1"/>
    <s v="Biscoe"/>
    <n v="51.1"/>
    <n v="16.3"/>
    <n v="220"/>
    <n v="6000"/>
    <x v="0"/>
    <n v="2008"/>
  </r>
  <r>
    <x v="222"/>
    <x v="1"/>
    <s v="Biscoe"/>
    <n v="45.2"/>
    <n v="13.8"/>
    <n v="215"/>
    <n v="4750"/>
    <x v="1"/>
    <n v="2008"/>
  </r>
  <r>
    <x v="223"/>
    <x v="1"/>
    <s v="Biscoe"/>
    <n v="45.2"/>
    <n v="16.399999999999999"/>
    <n v="223"/>
    <n v="5950"/>
    <x v="0"/>
    <n v="2008"/>
  </r>
  <r>
    <x v="224"/>
    <x v="1"/>
    <s v="Biscoe"/>
    <n v="49.1"/>
    <n v="14.5"/>
    <n v="212"/>
    <n v="4625"/>
    <x v="1"/>
    <n v="2009"/>
  </r>
  <r>
    <x v="225"/>
    <x v="1"/>
    <s v="Biscoe"/>
    <n v="52.5"/>
    <n v="15.6"/>
    <n v="221"/>
    <n v="5450"/>
    <x v="0"/>
    <n v="2009"/>
  </r>
  <r>
    <x v="226"/>
    <x v="1"/>
    <s v="Biscoe"/>
    <n v="47.4"/>
    <n v="14.6"/>
    <n v="212"/>
    <n v="4725"/>
    <x v="1"/>
    <n v="2009"/>
  </r>
  <r>
    <x v="227"/>
    <x v="1"/>
    <s v="Biscoe"/>
    <n v="50"/>
    <n v="15.9"/>
    <n v="224"/>
    <n v="5350"/>
    <x v="0"/>
    <n v="2009"/>
  </r>
  <r>
    <x v="228"/>
    <x v="1"/>
    <s v="Biscoe"/>
    <n v="44.9"/>
    <n v="13.8"/>
    <n v="212"/>
    <n v="4750"/>
    <x v="1"/>
    <n v="2009"/>
  </r>
  <r>
    <x v="229"/>
    <x v="1"/>
    <s v="Biscoe"/>
    <n v="50.8"/>
    <n v="17.3"/>
    <n v="228"/>
    <n v="5600"/>
    <x v="0"/>
    <n v="2009"/>
  </r>
  <r>
    <x v="230"/>
    <x v="1"/>
    <s v="Biscoe"/>
    <n v="43.4"/>
    <n v="14.4"/>
    <n v="218"/>
    <n v="4600"/>
    <x v="1"/>
    <n v="2009"/>
  </r>
  <r>
    <x v="231"/>
    <x v="1"/>
    <s v="Biscoe"/>
    <n v="51.3"/>
    <n v="14.2"/>
    <n v="218"/>
    <n v="5300"/>
    <x v="0"/>
    <n v="2009"/>
  </r>
  <r>
    <x v="232"/>
    <x v="1"/>
    <s v="Biscoe"/>
    <n v="47.5"/>
    <n v="14"/>
    <n v="212"/>
    <n v="4875"/>
    <x v="1"/>
    <n v="2009"/>
  </r>
  <r>
    <x v="233"/>
    <x v="1"/>
    <s v="Biscoe"/>
    <n v="52.1"/>
    <n v="17"/>
    <n v="230"/>
    <n v="5550"/>
    <x v="0"/>
    <n v="2009"/>
  </r>
  <r>
    <x v="234"/>
    <x v="1"/>
    <s v="Biscoe"/>
    <n v="47.5"/>
    <n v="15"/>
    <n v="218"/>
    <n v="4950"/>
    <x v="1"/>
    <n v="2009"/>
  </r>
  <r>
    <x v="235"/>
    <x v="1"/>
    <s v="Biscoe"/>
    <n v="52.2"/>
    <n v="17.100000000000001"/>
    <n v="228"/>
    <n v="5400"/>
    <x v="0"/>
    <n v="2009"/>
  </r>
  <r>
    <x v="236"/>
    <x v="1"/>
    <s v="Biscoe"/>
    <n v="45.5"/>
    <n v="14.5"/>
    <n v="212"/>
    <n v="4750"/>
    <x v="1"/>
    <n v="2009"/>
  </r>
  <r>
    <x v="237"/>
    <x v="1"/>
    <s v="Biscoe"/>
    <n v="49.5"/>
    <n v="16.100000000000001"/>
    <n v="224"/>
    <n v="5650"/>
    <x v="0"/>
    <n v="2009"/>
  </r>
  <r>
    <x v="238"/>
    <x v="1"/>
    <s v="Biscoe"/>
    <n v="44.5"/>
    <n v="14.7"/>
    <n v="214"/>
    <n v="4850"/>
    <x v="1"/>
    <n v="2009"/>
  </r>
  <r>
    <x v="239"/>
    <x v="1"/>
    <s v="Biscoe"/>
    <n v="50.8"/>
    <n v="15.7"/>
    <n v="226"/>
    <n v="5200"/>
    <x v="0"/>
    <n v="2009"/>
  </r>
  <r>
    <x v="240"/>
    <x v="1"/>
    <s v="Biscoe"/>
    <n v="49.4"/>
    <n v="15.8"/>
    <n v="216"/>
    <n v="4925"/>
    <x v="0"/>
    <n v="2009"/>
  </r>
  <r>
    <x v="241"/>
    <x v="1"/>
    <s v="Biscoe"/>
    <n v="46.9"/>
    <n v="14.6"/>
    <n v="222"/>
    <n v="4875"/>
    <x v="1"/>
    <n v="2009"/>
  </r>
  <r>
    <x v="242"/>
    <x v="1"/>
    <s v="Biscoe"/>
    <n v="48.4"/>
    <n v="14.4"/>
    <n v="203"/>
    <n v="4625"/>
    <x v="1"/>
    <n v="2009"/>
  </r>
  <r>
    <x v="243"/>
    <x v="1"/>
    <s v="Biscoe"/>
    <n v="51.1"/>
    <n v="16.5"/>
    <n v="225"/>
    <n v="5250"/>
    <x v="0"/>
    <n v="2009"/>
  </r>
  <r>
    <x v="244"/>
    <x v="1"/>
    <s v="Biscoe"/>
    <n v="48.5"/>
    <n v="15"/>
    <n v="219"/>
    <n v="4850"/>
    <x v="1"/>
    <n v="2009"/>
  </r>
  <r>
    <x v="245"/>
    <x v="1"/>
    <s v="Biscoe"/>
    <n v="55.9"/>
    <n v="17"/>
    <n v="228"/>
    <n v="5600"/>
    <x v="0"/>
    <n v="2009"/>
  </r>
  <r>
    <x v="246"/>
    <x v="1"/>
    <s v="Biscoe"/>
    <n v="47.2"/>
    <n v="15.5"/>
    <n v="215"/>
    <n v="4975"/>
    <x v="1"/>
    <n v="2009"/>
  </r>
  <r>
    <x v="247"/>
    <x v="1"/>
    <s v="Biscoe"/>
    <n v="49.1"/>
    <n v="15"/>
    <n v="228"/>
    <n v="5500"/>
    <x v="0"/>
    <n v="2009"/>
  </r>
  <r>
    <x v="248"/>
    <x v="1"/>
    <s v="Biscoe"/>
    <n v="46.8"/>
    <n v="16.100000000000001"/>
    <n v="215"/>
    <n v="5500"/>
    <x v="0"/>
    <n v="2009"/>
  </r>
  <r>
    <x v="249"/>
    <x v="1"/>
    <s v="Biscoe"/>
    <n v="41.7"/>
    <n v="14.7"/>
    <n v="210"/>
    <n v="4700"/>
    <x v="1"/>
    <n v="2009"/>
  </r>
  <r>
    <x v="250"/>
    <x v="1"/>
    <s v="Biscoe"/>
    <n v="53.4"/>
    <n v="15.8"/>
    <n v="219"/>
    <n v="5500"/>
    <x v="0"/>
    <n v="2009"/>
  </r>
  <r>
    <x v="251"/>
    <x v="1"/>
    <s v="Biscoe"/>
    <n v="43.3"/>
    <n v="14"/>
    <n v="208"/>
    <n v="4575"/>
    <x v="1"/>
    <n v="2009"/>
  </r>
  <r>
    <x v="252"/>
    <x v="1"/>
    <s v="Biscoe"/>
    <n v="48.1"/>
    <n v="15.1"/>
    <n v="209"/>
    <n v="5500"/>
    <x v="0"/>
    <n v="2009"/>
  </r>
  <r>
    <x v="253"/>
    <x v="1"/>
    <s v="Biscoe"/>
    <n v="50.5"/>
    <n v="15.2"/>
    <n v="216"/>
    <n v="5000"/>
    <x v="1"/>
    <n v="2009"/>
  </r>
  <r>
    <x v="254"/>
    <x v="1"/>
    <s v="Biscoe"/>
    <n v="49.8"/>
    <n v="15.9"/>
    <n v="229"/>
    <n v="5950"/>
    <x v="0"/>
    <n v="2009"/>
  </r>
  <r>
    <x v="255"/>
    <x v="1"/>
    <s v="Biscoe"/>
    <n v="43.5"/>
    <n v="15.2"/>
    <n v="213"/>
    <n v="4650"/>
    <x v="1"/>
    <n v="2009"/>
  </r>
  <r>
    <x v="256"/>
    <x v="1"/>
    <s v="Biscoe"/>
    <n v="51.5"/>
    <n v="16.3"/>
    <n v="230"/>
    <n v="5500"/>
    <x v="0"/>
    <n v="2009"/>
  </r>
  <r>
    <x v="257"/>
    <x v="1"/>
    <s v="Biscoe"/>
    <n v="46.2"/>
    <n v="14.1"/>
    <n v="217"/>
    <n v="4375"/>
    <x v="1"/>
    <n v="2009"/>
  </r>
  <r>
    <x v="258"/>
    <x v="1"/>
    <s v="Biscoe"/>
    <n v="55.1"/>
    <n v="16"/>
    <n v="230"/>
    <n v="5850"/>
    <x v="0"/>
    <n v="2009"/>
  </r>
  <r>
    <x v="259"/>
    <x v="1"/>
    <s v="Biscoe"/>
    <n v="48.8"/>
    <n v="16.2"/>
    <n v="222"/>
    <n v="6000"/>
    <x v="0"/>
    <n v="2009"/>
  </r>
  <r>
    <x v="260"/>
    <x v="1"/>
    <s v="Biscoe"/>
    <n v="47.2"/>
    <n v="13.7"/>
    <n v="214"/>
    <n v="4925"/>
    <x v="1"/>
    <n v="2009"/>
  </r>
  <r>
    <x v="261"/>
    <x v="1"/>
    <s v="Biscoe"/>
    <n v="46.8"/>
    <n v="14.3"/>
    <n v="215"/>
    <n v="4850"/>
    <x v="1"/>
    <n v="2009"/>
  </r>
  <r>
    <x v="262"/>
    <x v="1"/>
    <s v="Biscoe"/>
    <n v="50.4"/>
    <n v="15.7"/>
    <n v="222"/>
    <n v="5750"/>
    <x v="0"/>
    <n v="2009"/>
  </r>
  <r>
    <x v="263"/>
    <x v="1"/>
    <s v="Biscoe"/>
    <n v="45.2"/>
    <n v="14.8"/>
    <n v="212"/>
    <n v="5200"/>
    <x v="1"/>
    <n v="2009"/>
  </r>
  <r>
    <x v="264"/>
    <x v="1"/>
    <s v="Biscoe"/>
    <n v="49.9"/>
    <n v="16.100000000000001"/>
    <n v="213"/>
    <n v="5400"/>
    <x v="0"/>
    <n v="2009"/>
  </r>
  <r>
    <x v="265"/>
    <x v="2"/>
    <s v="Dream"/>
    <n v="46.5"/>
    <n v="17.899999999999999"/>
    <n v="192"/>
    <n v="3500"/>
    <x v="1"/>
    <n v="2007"/>
  </r>
  <r>
    <x v="266"/>
    <x v="2"/>
    <s v="Dream"/>
    <n v="50"/>
    <n v="19.5"/>
    <n v="196"/>
    <n v="3900"/>
    <x v="0"/>
    <n v="2007"/>
  </r>
  <r>
    <x v="267"/>
    <x v="2"/>
    <s v="Dream"/>
    <n v="51.3"/>
    <n v="19.2"/>
    <n v="193"/>
    <n v="3650"/>
    <x v="0"/>
    <n v="2007"/>
  </r>
  <r>
    <x v="268"/>
    <x v="2"/>
    <s v="Dream"/>
    <n v="45.4"/>
    <n v="18.7"/>
    <n v="188"/>
    <n v="3525"/>
    <x v="1"/>
    <n v="2007"/>
  </r>
  <r>
    <x v="269"/>
    <x v="2"/>
    <s v="Dream"/>
    <n v="52.7"/>
    <n v="19.8"/>
    <n v="197"/>
    <n v="3725"/>
    <x v="0"/>
    <n v="2007"/>
  </r>
  <r>
    <x v="270"/>
    <x v="2"/>
    <s v="Dream"/>
    <n v="45.2"/>
    <n v="17.8"/>
    <n v="198"/>
    <n v="3950"/>
    <x v="1"/>
    <n v="2007"/>
  </r>
  <r>
    <x v="271"/>
    <x v="2"/>
    <s v="Dream"/>
    <n v="46.1"/>
    <n v="18.2"/>
    <n v="178"/>
    <n v="3250"/>
    <x v="1"/>
    <n v="2007"/>
  </r>
  <r>
    <x v="272"/>
    <x v="2"/>
    <s v="Dream"/>
    <n v="51.3"/>
    <n v="18.2"/>
    <n v="197"/>
    <n v="3750"/>
    <x v="0"/>
    <n v="2007"/>
  </r>
  <r>
    <x v="273"/>
    <x v="2"/>
    <s v="Dream"/>
    <n v="46"/>
    <n v="18.899999999999999"/>
    <n v="195"/>
    <n v="4150"/>
    <x v="1"/>
    <n v="2007"/>
  </r>
  <r>
    <x v="274"/>
    <x v="2"/>
    <s v="Dream"/>
    <n v="51.3"/>
    <n v="19.899999999999999"/>
    <n v="198"/>
    <n v="3700"/>
    <x v="0"/>
    <n v="2007"/>
  </r>
  <r>
    <x v="275"/>
    <x v="2"/>
    <s v="Dream"/>
    <n v="46.6"/>
    <n v="17.8"/>
    <n v="193"/>
    <n v="3800"/>
    <x v="1"/>
    <n v="2007"/>
  </r>
  <r>
    <x v="276"/>
    <x v="2"/>
    <s v="Dream"/>
    <n v="51.7"/>
    <n v="20.3"/>
    <n v="194"/>
    <n v="3775"/>
    <x v="0"/>
    <n v="2007"/>
  </r>
  <r>
    <x v="277"/>
    <x v="2"/>
    <s v="Dream"/>
    <n v="47"/>
    <n v="17.3"/>
    <n v="185"/>
    <n v="3700"/>
    <x v="1"/>
    <n v="2007"/>
  </r>
  <r>
    <x v="278"/>
    <x v="2"/>
    <s v="Dream"/>
    <n v="52"/>
    <n v="18.100000000000001"/>
    <n v="201"/>
    <n v="4050"/>
    <x v="0"/>
    <n v="2007"/>
  </r>
  <r>
    <x v="279"/>
    <x v="2"/>
    <s v="Dream"/>
    <n v="45.9"/>
    <n v="17.100000000000001"/>
    <n v="190"/>
    <n v="3575"/>
    <x v="1"/>
    <n v="2007"/>
  </r>
  <r>
    <x v="280"/>
    <x v="2"/>
    <s v="Dream"/>
    <n v="50.5"/>
    <n v="19.600000000000001"/>
    <n v="201"/>
    <n v="4050"/>
    <x v="0"/>
    <n v="2007"/>
  </r>
  <r>
    <x v="281"/>
    <x v="2"/>
    <s v="Dream"/>
    <n v="50.3"/>
    <n v="20"/>
    <n v="197"/>
    <n v="3300"/>
    <x v="0"/>
    <n v="2007"/>
  </r>
  <r>
    <x v="282"/>
    <x v="2"/>
    <s v="Dream"/>
    <n v="58"/>
    <n v="17.8"/>
    <n v="181"/>
    <n v="3700"/>
    <x v="1"/>
    <n v="2007"/>
  </r>
  <r>
    <x v="283"/>
    <x v="2"/>
    <s v="Dream"/>
    <n v="46.4"/>
    <n v="18.600000000000001"/>
    <n v="190"/>
    <n v="3450"/>
    <x v="1"/>
    <n v="2007"/>
  </r>
  <r>
    <x v="284"/>
    <x v="2"/>
    <s v="Dream"/>
    <n v="49.2"/>
    <n v="18.2"/>
    <n v="195"/>
    <n v="4400"/>
    <x v="0"/>
    <n v="2007"/>
  </r>
  <r>
    <x v="285"/>
    <x v="2"/>
    <s v="Dream"/>
    <n v="42.4"/>
    <n v="17.3"/>
    <n v="181"/>
    <n v="3600"/>
    <x v="1"/>
    <n v="2007"/>
  </r>
  <r>
    <x v="286"/>
    <x v="2"/>
    <s v="Dream"/>
    <n v="48.5"/>
    <n v="17.5"/>
    <n v="191"/>
    <n v="3400"/>
    <x v="0"/>
    <n v="2007"/>
  </r>
  <r>
    <x v="287"/>
    <x v="2"/>
    <s v="Dream"/>
    <n v="43.2"/>
    <n v="16.600000000000001"/>
    <n v="187"/>
    <n v="2900"/>
    <x v="1"/>
    <n v="2007"/>
  </r>
  <r>
    <x v="288"/>
    <x v="2"/>
    <s v="Dream"/>
    <n v="50.6"/>
    <n v="19.399999999999999"/>
    <n v="193"/>
    <n v="3800"/>
    <x v="0"/>
    <n v="2007"/>
  </r>
  <r>
    <x v="289"/>
    <x v="2"/>
    <s v="Dream"/>
    <n v="46.7"/>
    <n v="17.899999999999999"/>
    <n v="195"/>
    <n v="3300"/>
    <x v="1"/>
    <n v="2007"/>
  </r>
  <r>
    <x v="290"/>
    <x v="2"/>
    <s v="Dream"/>
    <n v="52"/>
    <n v="19"/>
    <n v="197"/>
    <n v="4150"/>
    <x v="0"/>
    <n v="2007"/>
  </r>
  <r>
    <x v="291"/>
    <x v="2"/>
    <s v="Dream"/>
    <n v="50.5"/>
    <n v="18.399999999999999"/>
    <n v="200"/>
    <n v="3400"/>
    <x v="1"/>
    <n v="2008"/>
  </r>
  <r>
    <x v="292"/>
    <x v="2"/>
    <s v="Dream"/>
    <n v="49.5"/>
    <n v="19"/>
    <n v="200"/>
    <n v="3800"/>
    <x v="0"/>
    <n v="2008"/>
  </r>
  <r>
    <x v="293"/>
    <x v="2"/>
    <s v="Dream"/>
    <n v="46.4"/>
    <n v="17.8"/>
    <n v="191"/>
    <n v="3700"/>
    <x v="1"/>
    <n v="2008"/>
  </r>
  <r>
    <x v="294"/>
    <x v="2"/>
    <s v="Dream"/>
    <n v="52.8"/>
    <n v="20"/>
    <n v="205"/>
    <n v="4550"/>
    <x v="0"/>
    <n v="2008"/>
  </r>
  <r>
    <x v="295"/>
    <x v="2"/>
    <s v="Dream"/>
    <n v="40.9"/>
    <n v="16.600000000000001"/>
    <n v="187"/>
    <n v="3200"/>
    <x v="1"/>
    <n v="2008"/>
  </r>
  <r>
    <x v="296"/>
    <x v="2"/>
    <s v="Dream"/>
    <n v="54.2"/>
    <n v="20.8"/>
    <n v="201"/>
    <n v="4300"/>
    <x v="0"/>
    <n v="2008"/>
  </r>
  <r>
    <x v="297"/>
    <x v="2"/>
    <s v="Dream"/>
    <n v="42.5"/>
    <n v="16.7"/>
    <n v="187"/>
    <n v="3350"/>
    <x v="1"/>
    <n v="2008"/>
  </r>
  <r>
    <x v="298"/>
    <x v="2"/>
    <s v="Dream"/>
    <n v="51"/>
    <n v="18.8"/>
    <n v="203"/>
    <n v="4100"/>
    <x v="0"/>
    <n v="2008"/>
  </r>
  <r>
    <x v="299"/>
    <x v="2"/>
    <s v="Dream"/>
    <n v="49.7"/>
    <n v="18.600000000000001"/>
    <n v="195"/>
    <n v="3600"/>
    <x v="0"/>
    <n v="2008"/>
  </r>
  <r>
    <x v="300"/>
    <x v="2"/>
    <s v="Dream"/>
    <n v="47.5"/>
    <n v="16.8"/>
    <n v="199"/>
    <n v="3900"/>
    <x v="1"/>
    <n v="2008"/>
  </r>
  <r>
    <x v="301"/>
    <x v="2"/>
    <s v="Dream"/>
    <n v="47.6"/>
    <n v="18.3"/>
    <n v="195"/>
    <n v="3850"/>
    <x v="1"/>
    <n v="2008"/>
  </r>
  <r>
    <x v="302"/>
    <x v="2"/>
    <s v="Dream"/>
    <n v="52"/>
    <n v="20.7"/>
    <n v="210"/>
    <n v="4800"/>
    <x v="0"/>
    <n v="2008"/>
  </r>
  <r>
    <x v="303"/>
    <x v="2"/>
    <s v="Dream"/>
    <n v="46.9"/>
    <n v="16.600000000000001"/>
    <n v="192"/>
    <n v="2700"/>
    <x v="1"/>
    <n v="2008"/>
  </r>
  <r>
    <x v="304"/>
    <x v="2"/>
    <s v="Dream"/>
    <n v="53.5"/>
    <n v="19.899999999999999"/>
    <n v="205"/>
    <n v="4500"/>
    <x v="0"/>
    <n v="2008"/>
  </r>
  <r>
    <x v="305"/>
    <x v="2"/>
    <s v="Dream"/>
    <n v="49"/>
    <n v="19.5"/>
    <n v="210"/>
    <n v="3950"/>
    <x v="0"/>
    <n v="2008"/>
  </r>
  <r>
    <x v="306"/>
    <x v="2"/>
    <s v="Dream"/>
    <n v="46.2"/>
    <n v="17.5"/>
    <n v="187"/>
    <n v="3650"/>
    <x v="1"/>
    <n v="2008"/>
  </r>
  <r>
    <x v="307"/>
    <x v="2"/>
    <s v="Dream"/>
    <n v="50.9"/>
    <n v="19.100000000000001"/>
    <n v="196"/>
    <n v="3550"/>
    <x v="0"/>
    <n v="2008"/>
  </r>
  <r>
    <x v="308"/>
    <x v="2"/>
    <s v="Dream"/>
    <n v="45.5"/>
    <n v="17"/>
    <n v="196"/>
    <n v="3500"/>
    <x v="1"/>
    <n v="2008"/>
  </r>
  <r>
    <x v="309"/>
    <x v="2"/>
    <s v="Dream"/>
    <n v="50.9"/>
    <n v="17.899999999999999"/>
    <n v="196"/>
    <n v="3675"/>
    <x v="1"/>
    <n v="2009"/>
  </r>
  <r>
    <x v="310"/>
    <x v="2"/>
    <s v="Dream"/>
    <n v="50.8"/>
    <n v="18.5"/>
    <n v="201"/>
    <n v="4450"/>
    <x v="0"/>
    <n v="2009"/>
  </r>
  <r>
    <x v="311"/>
    <x v="2"/>
    <s v="Dream"/>
    <n v="50.1"/>
    <n v="17.899999999999999"/>
    <n v="190"/>
    <n v="3400"/>
    <x v="1"/>
    <n v="2009"/>
  </r>
  <r>
    <x v="312"/>
    <x v="2"/>
    <s v="Dream"/>
    <n v="49"/>
    <n v="19.600000000000001"/>
    <n v="212"/>
    <n v="4300"/>
    <x v="0"/>
    <n v="2009"/>
  </r>
  <r>
    <x v="313"/>
    <x v="2"/>
    <s v="Dream"/>
    <n v="51.5"/>
    <n v="18.7"/>
    <n v="187"/>
    <n v="3250"/>
    <x v="0"/>
    <n v="2009"/>
  </r>
  <r>
    <x v="314"/>
    <x v="2"/>
    <s v="Dream"/>
    <n v="49.8"/>
    <n v="17.3"/>
    <n v="198"/>
    <n v="3675"/>
    <x v="1"/>
    <n v="2009"/>
  </r>
  <r>
    <x v="315"/>
    <x v="2"/>
    <s v="Dream"/>
    <n v="48.1"/>
    <n v="16.399999999999999"/>
    <n v="199"/>
    <n v="3325"/>
    <x v="1"/>
    <n v="2009"/>
  </r>
  <r>
    <x v="316"/>
    <x v="2"/>
    <s v="Dream"/>
    <n v="51.4"/>
    <n v="19"/>
    <n v="201"/>
    <n v="3950"/>
    <x v="0"/>
    <n v="2009"/>
  </r>
  <r>
    <x v="317"/>
    <x v="2"/>
    <s v="Dream"/>
    <n v="45.7"/>
    <n v="17.3"/>
    <n v="193"/>
    <n v="3600"/>
    <x v="1"/>
    <n v="2009"/>
  </r>
  <r>
    <x v="318"/>
    <x v="2"/>
    <s v="Dream"/>
    <n v="50.7"/>
    <n v="19.7"/>
    <n v="203"/>
    <n v="4050"/>
    <x v="0"/>
    <n v="2009"/>
  </r>
  <r>
    <x v="319"/>
    <x v="2"/>
    <s v="Dream"/>
    <n v="42.5"/>
    <n v="17.3"/>
    <n v="187"/>
    <n v="3350"/>
    <x v="1"/>
    <n v="2009"/>
  </r>
  <r>
    <x v="320"/>
    <x v="2"/>
    <s v="Dream"/>
    <n v="52.2"/>
    <n v="18.8"/>
    <n v="197"/>
    <n v="3450"/>
    <x v="0"/>
    <n v="2009"/>
  </r>
  <r>
    <x v="321"/>
    <x v="2"/>
    <s v="Dream"/>
    <n v="45.2"/>
    <n v="16.600000000000001"/>
    <n v="191"/>
    <n v="3250"/>
    <x v="1"/>
    <n v="2009"/>
  </r>
  <r>
    <x v="322"/>
    <x v="2"/>
    <s v="Dream"/>
    <n v="49.3"/>
    <n v="19.899999999999999"/>
    <n v="203"/>
    <n v="4050"/>
    <x v="0"/>
    <n v="2009"/>
  </r>
  <r>
    <x v="323"/>
    <x v="2"/>
    <s v="Dream"/>
    <n v="50.2"/>
    <n v="18.8"/>
    <n v="202"/>
    <n v="3800"/>
    <x v="0"/>
    <n v="2009"/>
  </r>
  <r>
    <x v="324"/>
    <x v="2"/>
    <s v="Dream"/>
    <n v="45.6"/>
    <n v="19.399999999999999"/>
    <n v="194"/>
    <n v="3525"/>
    <x v="1"/>
    <n v="2009"/>
  </r>
  <r>
    <x v="325"/>
    <x v="2"/>
    <s v="Dream"/>
    <n v="51.9"/>
    <n v="19.5"/>
    <n v="206"/>
    <n v="3950"/>
    <x v="0"/>
    <n v="2009"/>
  </r>
  <r>
    <x v="326"/>
    <x v="2"/>
    <s v="Dream"/>
    <n v="46.8"/>
    <n v="16.5"/>
    <n v="189"/>
    <n v="3650"/>
    <x v="1"/>
    <n v="2009"/>
  </r>
  <r>
    <x v="327"/>
    <x v="2"/>
    <s v="Dream"/>
    <n v="45.7"/>
    <n v="17"/>
    <n v="195"/>
    <n v="3650"/>
    <x v="1"/>
    <n v="2009"/>
  </r>
  <r>
    <x v="328"/>
    <x v="2"/>
    <s v="Dream"/>
    <n v="55.8"/>
    <n v="19.8"/>
    <n v="207"/>
    <n v="4000"/>
    <x v="0"/>
    <n v="2009"/>
  </r>
  <r>
    <x v="329"/>
    <x v="2"/>
    <s v="Dream"/>
    <n v="43.5"/>
    <n v="18.100000000000001"/>
    <n v="202"/>
    <n v="3400"/>
    <x v="1"/>
    <n v="2009"/>
  </r>
  <r>
    <x v="330"/>
    <x v="2"/>
    <s v="Dream"/>
    <n v="49.6"/>
    <n v="18.2"/>
    <n v="193"/>
    <n v="3775"/>
    <x v="0"/>
    <n v="2009"/>
  </r>
  <r>
    <x v="331"/>
    <x v="2"/>
    <s v="Dream"/>
    <n v="50.8"/>
    <n v="19"/>
    <n v="210"/>
    <n v="4100"/>
    <x v="0"/>
    <n v="2009"/>
  </r>
  <r>
    <x v="332"/>
    <x v="2"/>
    <s v="Dream"/>
    <n v="50.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A0719F-FCD0-4DD7-8973-94A826FE31CF}" name="PivotTable1"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5:P340" firstHeaderRow="1" firstDataRow="2" firstDataCol="1" rowPageCount="1" colPageCount="1"/>
  <pivotFields count="9">
    <pivotField axis="axisRow" showAll="0">
      <items count="3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t="default"/>
      </items>
    </pivotField>
    <pivotField axis="axisCol" showAll="0">
      <items count="4">
        <item x="0"/>
        <item x="2"/>
        <item x="1"/>
        <item t="default"/>
      </items>
    </pivotField>
    <pivotField showAll="0"/>
    <pivotField dataField="1" showAll="0"/>
    <pivotField showAll="0"/>
    <pivotField showAll="0"/>
    <pivotField showAll="0"/>
    <pivotField axis="axisPage" showAll="0">
      <items count="3">
        <item x="1"/>
        <item x="0"/>
        <item t="default"/>
      </items>
    </pivotField>
    <pivotField showAll="0"/>
  </pivotFields>
  <rowFields count="1">
    <field x="0"/>
  </rowFields>
  <rowItems count="3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t="grand">
      <x/>
    </i>
  </rowItems>
  <colFields count="1">
    <field x="1"/>
  </colFields>
  <colItems count="4">
    <i>
      <x/>
    </i>
    <i>
      <x v="1"/>
    </i>
    <i>
      <x v="2"/>
    </i>
    <i t="grand">
      <x/>
    </i>
  </colItems>
  <pageFields count="1">
    <pageField fld="7" hier="-1"/>
  </pageFields>
  <dataFields count="1">
    <dataField name="Sum of bill_length_mm" fld="3" baseField="0" baseItem="0"/>
  </dataField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5BD9557B-A2D0-446F-9685-EA95C1F29B0D}" sourceName="species">
  <pivotTables>
    <pivotTable tabId="3" name="PivotTable1"/>
  </pivotTables>
  <data>
    <tabular pivotCacheId="748089435">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6F7152CC-0F81-46E3-B1BC-98743412453B}" cache="Slicer_species" caption="species"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13" zoomScale="90" workbookViewId="0">
      <selection activeCell="D8" sqref="D8"/>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G10" sqref="G10"/>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5">
        <v>99.999999993333347</v>
      </c>
      <c r="D3" s="6">
        <v>200.00000000333335</v>
      </c>
      <c r="E3" s="7">
        <v>3.3333122928524972E-9</v>
      </c>
      <c r="F3" s="3"/>
      <c r="G3" s="4">
        <f>SUM(C3:E3)</f>
        <v>300</v>
      </c>
      <c r="H3" s="8" t="s">
        <v>74</v>
      </c>
      <c r="I3" s="9">
        <v>300</v>
      </c>
      <c r="J3" s="3"/>
      <c r="K3" s="3"/>
    </row>
    <row r="4" spans="1:11" x14ac:dyDescent="0.35">
      <c r="A4" s="3"/>
      <c r="B4" s="4" t="s">
        <v>75</v>
      </c>
      <c r="C4" s="10">
        <v>0</v>
      </c>
      <c r="D4" s="11">
        <v>0</v>
      </c>
      <c r="E4" s="12">
        <v>200</v>
      </c>
      <c r="F4" s="3"/>
      <c r="G4" s="4">
        <f>SUM(C4:E4)</f>
        <v>200</v>
      </c>
      <c r="H4" s="8" t="s">
        <v>74</v>
      </c>
      <c r="I4" s="13">
        <v>200</v>
      </c>
      <c r="J4" s="3"/>
      <c r="K4" s="3"/>
    </row>
    <row r="5" spans="1:11" x14ac:dyDescent="0.35">
      <c r="A5" s="3"/>
      <c r="B5" s="4" t="s">
        <v>76</v>
      </c>
      <c r="C5" s="14">
        <v>100</v>
      </c>
      <c r="D5" s="15">
        <v>0</v>
      </c>
      <c r="E5" s="16">
        <v>0</v>
      </c>
      <c r="F5" s="3"/>
      <c r="G5" s="4">
        <f>SUM(C5:E5)</f>
        <v>100</v>
      </c>
      <c r="H5" s="8" t="s">
        <v>74</v>
      </c>
      <c r="I5" s="17">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8">
        <v>60</v>
      </c>
      <c r="D8" s="19">
        <v>47</v>
      </c>
      <c r="E8" s="20">
        <v>80</v>
      </c>
      <c r="F8" s="3"/>
      <c r="G8" s="3"/>
      <c r="H8" s="3"/>
      <c r="I8" s="3"/>
      <c r="J8" s="3"/>
      <c r="K8" s="3"/>
    </row>
    <row r="9" spans="1:11" x14ac:dyDescent="0.35">
      <c r="A9" s="3"/>
      <c r="B9" s="4" t="s">
        <v>75</v>
      </c>
      <c r="C9" s="21">
        <v>52</v>
      </c>
      <c r="D9" s="22">
        <v>36</v>
      </c>
      <c r="E9" s="23">
        <v>58</v>
      </c>
      <c r="F9" s="3"/>
      <c r="G9" s="3"/>
      <c r="H9" s="3"/>
      <c r="I9" s="3"/>
      <c r="J9" s="3"/>
      <c r="K9" s="3"/>
    </row>
    <row r="10" spans="1:11" x14ac:dyDescent="0.35">
      <c r="A10" s="3"/>
      <c r="B10" s="4" t="s">
        <v>76</v>
      </c>
      <c r="C10" s="24">
        <v>24</v>
      </c>
      <c r="D10" s="25">
        <v>31</v>
      </c>
      <c r="E10" s="26">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8" t="s">
        <v>74</v>
      </c>
      <c r="D14" s="8" t="s">
        <v>74</v>
      </c>
      <c r="E14" s="8" t="s">
        <v>74</v>
      </c>
      <c r="F14" s="3"/>
      <c r="G14" s="3"/>
      <c r="H14" s="3"/>
      <c r="I14" s="4" t="s">
        <v>79</v>
      </c>
      <c r="J14" s="3"/>
      <c r="K14" s="3"/>
    </row>
    <row r="15" spans="1:11" x14ac:dyDescent="0.35">
      <c r="A15" s="3"/>
      <c r="B15" s="4" t="s">
        <v>80</v>
      </c>
      <c r="C15" s="27">
        <v>200</v>
      </c>
      <c r="D15" s="28">
        <v>200</v>
      </c>
      <c r="E15" s="29">
        <v>200</v>
      </c>
      <c r="F15" s="3"/>
      <c r="G15" s="3"/>
      <c r="H15" s="3"/>
      <c r="I15" s="30">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C7FD1-D494-4DA3-9761-E5E8B4D4FDF2}">
  <sheetPr>
    <outlinePr summaryBelow="0"/>
  </sheetPr>
  <dimension ref="B1:G11"/>
  <sheetViews>
    <sheetView showGridLines="0" tabSelected="1" workbookViewId="0">
      <selection activeCell="F11" sqref="F11"/>
    </sheetView>
  </sheetViews>
  <sheetFormatPr defaultRowHeight="14.5" outlineLevelRow="1" outlineLevelCol="1" x14ac:dyDescent="0.35"/>
  <cols>
    <col min="3" max="3" width="5.90625" bestFit="1" customWidth="1"/>
    <col min="4" max="7" width="12.54296875" bestFit="1" customWidth="1" outlineLevel="1"/>
  </cols>
  <sheetData>
    <row r="1" spans="2:7" ht="15" thickBot="1" x14ac:dyDescent="0.4"/>
    <row r="2" spans="2:7" ht="15.5" x14ac:dyDescent="0.35">
      <c r="B2" s="39" t="s">
        <v>120</v>
      </c>
      <c r="C2" s="39"/>
      <c r="D2" s="44"/>
      <c r="E2" s="44"/>
      <c r="F2" s="44"/>
      <c r="G2" s="44"/>
    </row>
    <row r="3" spans="2:7" ht="15.5" collapsed="1" x14ac:dyDescent="0.35">
      <c r="B3" s="38"/>
      <c r="C3" s="38"/>
      <c r="D3" s="45" t="s">
        <v>122</v>
      </c>
      <c r="E3" s="45" t="s">
        <v>116</v>
      </c>
      <c r="F3" s="45" t="s">
        <v>118</v>
      </c>
      <c r="G3" s="45" t="s">
        <v>119</v>
      </c>
    </row>
    <row r="4" spans="2:7" ht="31.5" hidden="1" outlineLevel="1" x14ac:dyDescent="0.35">
      <c r="B4" s="41"/>
      <c r="C4" s="41"/>
      <c r="D4" s="36"/>
      <c r="E4" s="47" t="s">
        <v>117</v>
      </c>
      <c r="F4" s="47" t="s">
        <v>117</v>
      </c>
      <c r="G4" s="47" t="s">
        <v>117</v>
      </c>
    </row>
    <row r="5" spans="2:7" x14ac:dyDescent="0.35">
      <c r="B5" s="42" t="s">
        <v>121</v>
      </c>
      <c r="C5" s="42"/>
      <c r="D5" s="40"/>
      <c r="E5" s="40"/>
      <c r="F5" s="40"/>
      <c r="G5" s="40"/>
    </row>
    <row r="6" spans="2:7" outlineLevel="1" x14ac:dyDescent="0.35">
      <c r="B6" s="41"/>
      <c r="C6" s="41" t="s">
        <v>114</v>
      </c>
      <c r="D6" s="36">
        <v>10</v>
      </c>
      <c r="E6" s="46">
        <v>10</v>
      </c>
      <c r="F6" s="46">
        <v>15</v>
      </c>
      <c r="G6" s="46">
        <v>20</v>
      </c>
    </row>
    <row r="7" spans="2:7" x14ac:dyDescent="0.35">
      <c r="B7" s="42" t="s">
        <v>123</v>
      </c>
      <c r="C7" s="42"/>
      <c r="D7" s="40"/>
      <c r="E7" s="40"/>
      <c r="F7" s="40"/>
      <c r="G7" s="40"/>
    </row>
    <row r="8" spans="2:7" ht="15" outlineLevel="1" thickBot="1" x14ac:dyDescent="0.4">
      <c r="B8" s="43"/>
      <c r="C8" s="43" t="s">
        <v>115</v>
      </c>
      <c r="D8" s="37">
        <v>140</v>
      </c>
      <c r="E8" s="37">
        <v>140</v>
      </c>
      <c r="F8" s="37">
        <v>240</v>
      </c>
      <c r="G8" s="37">
        <v>340</v>
      </c>
    </row>
    <row r="9" spans="2:7" x14ac:dyDescent="0.35">
      <c r="B9" t="s">
        <v>124</v>
      </c>
    </row>
    <row r="10" spans="2:7" x14ac:dyDescent="0.35">
      <c r="B10" t="s">
        <v>125</v>
      </c>
    </row>
    <row r="11" spans="2:7" x14ac:dyDescent="0.35">
      <c r="B11" t="s">
        <v>126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10" sqref="C10"/>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10</v>
      </c>
    </row>
    <row r="4" spans="2:3" ht="15" thickBot="1" x14ac:dyDescent="0.4">
      <c r="B4" s="31" t="s">
        <v>87</v>
      </c>
      <c r="C4" s="31">
        <f>C3*C2</f>
        <v>200</v>
      </c>
    </row>
    <row r="6" spans="2:3" x14ac:dyDescent="0.35">
      <c r="B6" t="s">
        <v>88</v>
      </c>
      <c r="C6">
        <v>50</v>
      </c>
    </row>
    <row r="7" spans="2:3" ht="15" thickBot="1" x14ac:dyDescent="0.4">
      <c r="B7" t="s">
        <v>89</v>
      </c>
      <c r="C7">
        <v>1.2</v>
      </c>
    </row>
    <row r="8" spans="2:3" ht="15" thickBot="1" x14ac:dyDescent="0.4">
      <c r="B8" s="31" t="s">
        <v>87</v>
      </c>
      <c r="C8" s="31">
        <f>C7*C6</f>
        <v>60</v>
      </c>
    </row>
    <row r="9" spans="2:3" ht="15" thickBot="1" x14ac:dyDescent="0.4"/>
    <row r="10" spans="2:3" ht="15" thickBot="1" x14ac:dyDescent="0.4">
      <c r="B10" s="31" t="s">
        <v>90</v>
      </c>
      <c r="C10" s="31">
        <f>C4-C8</f>
        <v>140</v>
      </c>
    </row>
  </sheetData>
  <scenarios current="0" show="0" sqref="C10">
    <scenario name="10km" locked="1" count="1" user="Laia Estopañan Moreno" comment="Created by Laia Estopañan Moreno on 16/09/2026">
      <inputCells r="C3" val="10"/>
    </scenario>
    <scenario name="15km" locked="1" count="1" user="Laia Estopañan Moreno" comment="Created by Laia Estopañan Moreno on 16/09/2026">
      <inputCells r="C3" val="15"/>
    </scenario>
    <scenario name="20km" locked="1" count="1" user="Laia Estopañan Moreno" comment="Created by Laia Estopañan Moreno on 16/09/2026">
      <inputCells r="C3" val="20"/>
    </scenario>
  </scenario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P340"/>
  <sheetViews>
    <sheetView topLeftCell="G2" workbookViewId="0">
      <selection activeCell="R13" sqref="R13"/>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 min="12" max="12" width="20.26953125" bestFit="1" customWidth="1"/>
    <col min="13" max="13" width="15.26953125" bestFit="1" customWidth="1"/>
    <col min="14" max="14" width="8.90625" bestFit="1" customWidth="1"/>
    <col min="15" max="15" width="7.08984375" bestFit="1" customWidth="1"/>
    <col min="16" max="16" width="10.7265625" bestFit="1" customWidth="1"/>
  </cols>
  <sheetData>
    <row r="1" spans="1:16" x14ac:dyDescent="0.35">
      <c r="A1" s="32" t="s">
        <v>43</v>
      </c>
      <c r="B1" s="32" t="s">
        <v>44</v>
      </c>
      <c r="C1" s="32" t="s">
        <v>45</v>
      </c>
      <c r="D1" s="32" t="s">
        <v>46</v>
      </c>
      <c r="E1" s="32" t="s">
        <v>47</v>
      </c>
      <c r="F1" s="32" t="s">
        <v>48</v>
      </c>
      <c r="G1" s="32" t="s">
        <v>49</v>
      </c>
      <c r="H1" s="32" t="s">
        <v>50</v>
      </c>
      <c r="I1" s="32" t="s">
        <v>51</v>
      </c>
    </row>
    <row r="2" spans="1:16" x14ac:dyDescent="0.35">
      <c r="A2">
        <v>1</v>
      </c>
      <c r="B2" t="s">
        <v>52</v>
      </c>
      <c r="C2" t="s">
        <v>53</v>
      </c>
      <c r="D2">
        <v>39.1</v>
      </c>
      <c r="E2">
        <v>18.7</v>
      </c>
      <c r="F2">
        <v>181</v>
      </c>
      <c r="G2">
        <v>3750</v>
      </c>
      <c r="H2" t="s">
        <v>54</v>
      </c>
      <c r="I2">
        <v>2007</v>
      </c>
    </row>
    <row r="3" spans="1:16" x14ac:dyDescent="0.35">
      <c r="A3">
        <v>2</v>
      </c>
      <c r="B3" t="s">
        <v>52</v>
      </c>
      <c r="C3" t="s">
        <v>53</v>
      </c>
      <c r="D3">
        <v>39.5</v>
      </c>
      <c r="E3">
        <v>17.399999999999999</v>
      </c>
      <c r="F3">
        <v>186</v>
      </c>
      <c r="G3">
        <v>3800</v>
      </c>
      <c r="H3" t="s">
        <v>55</v>
      </c>
      <c r="I3">
        <v>2007</v>
      </c>
      <c r="L3" s="33" t="s">
        <v>50</v>
      </c>
      <c r="M3" t="s">
        <v>113</v>
      </c>
    </row>
    <row r="4" spans="1:16" x14ac:dyDescent="0.35">
      <c r="A4">
        <v>3</v>
      </c>
      <c r="B4" t="s">
        <v>52</v>
      </c>
      <c r="C4" t="s">
        <v>53</v>
      </c>
      <c r="D4">
        <v>40.299999999999997</v>
      </c>
      <c r="E4">
        <v>18</v>
      </c>
      <c r="F4">
        <v>195</v>
      </c>
      <c r="G4">
        <v>3250</v>
      </c>
      <c r="H4" t="s">
        <v>55</v>
      </c>
      <c r="I4">
        <v>2007</v>
      </c>
    </row>
    <row r="5" spans="1:16" x14ac:dyDescent="0.35">
      <c r="A5">
        <v>5</v>
      </c>
      <c r="B5" t="s">
        <v>52</v>
      </c>
      <c r="C5" t="s">
        <v>53</v>
      </c>
      <c r="D5">
        <v>36.700000000000003</v>
      </c>
      <c r="E5">
        <v>19.3</v>
      </c>
      <c r="F5">
        <v>193</v>
      </c>
      <c r="G5">
        <v>3450</v>
      </c>
      <c r="H5" t="s">
        <v>55</v>
      </c>
      <c r="I5">
        <v>2007</v>
      </c>
      <c r="L5" s="33" t="s">
        <v>112</v>
      </c>
      <c r="M5" s="33" t="s">
        <v>111</v>
      </c>
    </row>
    <row r="6" spans="1:16" x14ac:dyDescent="0.35">
      <c r="A6">
        <v>6</v>
      </c>
      <c r="B6" t="s">
        <v>52</v>
      </c>
      <c r="C6" t="s">
        <v>53</v>
      </c>
      <c r="D6">
        <v>39.299999999999997</v>
      </c>
      <c r="E6">
        <v>20.6</v>
      </c>
      <c r="F6">
        <v>190</v>
      </c>
      <c r="G6">
        <v>3650</v>
      </c>
      <c r="H6" t="s">
        <v>54</v>
      </c>
      <c r="I6">
        <v>2007</v>
      </c>
      <c r="L6" s="33" t="s">
        <v>109</v>
      </c>
      <c r="M6" t="s">
        <v>52</v>
      </c>
      <c r="N6" t="s">
        <v>59</v>
      </c>
      <c r="O6" t="s">
        <v>58</v>
      </c>
      <c r="P6" t="s">
        <v>110</v>
      </c>
    </row>
    <row r="7" spans="1:16" x14ac:dyDescent="0.35">
      <c r="A7">
        <v>7</v>
      </c>
      <c r="B7" t="s">
        <v>52</v>
      </c>
      <c r="C7" t="s">
        <v>53</v>
      </c>
      <c r="D7">
        <v>38.9</v>
      </c>
      <c r="E7">
        <v>17.8</v>
      </c>
      <c r="F7">
        <v>181</v>
      </c>
      <c r="G7">
        <v>3625</v>
      </c>
      <c r="H7" t="s">
        <v>55</v>
      </c>
      <c r="I7">
        <v>2007</v>
      </c>
      <c r="L7" s="34">
        <v>1</v>
      </c>
      <c r="M7" s="35">
        <v>39.1</v>
      </c>
      <c r="N7" s="35"/>
      <c r="O7" s="35"/>
      <c r="P7" s="35">
        <v>39.1</v>
      </c>
    </row>
    <row r="8" spans="1:16" x14ac:dyDescent="0.35">
      <c r="A8">
        <v>8</v>
      </c>
      <c r="B8" t="s">
        <v>52</v>
      </c>
      <c r="C8" t="s">
        <v>53</v>
      </c>
      <c r="D8">
        <v>39.200000000000003</v>
      </c>
      <c r="E8">
        <v>19.600000000000001</v>
      </c>
      <c r="F8">
        <v>195</v>
      </c>
      <c r="G8">
        <v>4675</v>
      </c>
      <c r="H8" t="s">
        <v>54</v>
      </c>
      <c r="I8">
        <v>2007</v>
      </c>
      <c r="L8" s="34">
        <v>2</v>
      </c>
      <c r="M8" s="35">
        <v>39.5</v>
      </c>
      <c r="N8" s="35"/>
      <c r="O8" s="35"/>
      <c r="P8" s="35">
        <v>39.5</v>
      </c>
    </row>
    <row r="9" spans="1:16" x14ac:dyDescent="0.35">
      <c r="A9">
        <v>13</v>
      </c>
      <c r="B9" t="s">
        <v>52</v>
      </c>
      <c r="C9" t="s">
        <v>53</v>
      </c>
      <c r="D9">
        <v>41.1</v>
      </c>
      <c r="E9">
        <v>17.600000000000001</v>
      </c>
      <c r="F9">
        <v>182</v>
      </c>
      <c r="G9">
        <v>3200</v>
      </c>
      <c r="H9" t="s">
        <v>55</v>
      </c>
      <c r="I9">
        <v>2007</v>
      </c>
      <c r="L9" s="34">
        <v>3</v>
      </c>
      <c r="M9" s="35">
        <v>40.299999999999997</v>
      </c>
      <c r="N9" s="35"/>
      <c r="O9" s="35"/>
      <c r="P9" s="35">
        <v>40.299999999999997</v>
      </c>
    </row>
    <row r="10" spans="1:16" x14ac:dyDescent="0.35">
      <c r="A10">
        <v>14</v>
      </c>
      <c r="B10" t="s">
        <v>52</v>
      </c>
      <c r="C10" t="s">
        <v>53</v>
      </c>
      <c r="D10">
        <v>38.6</v>
      </c>
      <c r="E10">
        <v>21.2</v>
      </c>
      <c r="F10">
        <v>191</v>
      </c>
      <c r="G10">
        <v>3800</v>
      </c>
      <c r="H10" t="s">
        <v>54</v>
      </c>
      <c r="I10">
        <v>2007</v>
      </c>
      <c r="L10" s="34">
        <v>5</v>
      </c>
      <c r="M10" s="35">
        <v>36.700000000000003</v>
      </c>
      <c r="N10" s="35"/>
      <c r="O10" s="35"/>
      <c r="P10" s="35">
        <v>36.700000000000003</v>
      </c>
    </row>
    <row r="11" spans="1:16" x14ac:dyDescent="0.35">
      <c r="A11">
        <v>15</v>
      </c>
      <c r="B11" t="s">
        <v>52</v>
      </c>
      <c r="C11" t="s">
        <v>53</v>
      </c>
      <c r="D11">
        <v>34.6</v>
      </c>
      <c r="E11">
        <v>21.1</v>
      </c>
      <c r="F11">
        <v>198</v>
      </c>
      <c r="G11">
        <v>4400</v>
      </c>
      <c r="H11" t="s">
        <v>54</v>
      </c>
      <c r="I11">
        <v>2007</v>
      </c>
      <c r="L11" s="34">
        <v>6</v>
      </c>
      <c r="M11" s="35">
        <v>39.299999999999997</v>
      </c>
      <c r="N11" s="35"/>
      <c r="O11" s="35"/>
      <c r="P11" s="35">
        <v>39.299999999999997</v>
      </c>
    </row>
    <row r="12" spans="1:16" x14ac:dyDescent="0.35">
      <c r="A12">
        <v>16</v>
      </c>
      <c r="B12" t="s">
        <v>52</v>
      </c>
      <c r="C12" t="s">
        <v>53</v>
      </c>
      <c r="D12">
        <v>36.6</v>
      </c>
      <c r="E12">
        <v>17.8</v>
      </c>
      <c r="F12">
        <v>185</v>
      </c>
      <c r="G12">
        <v>3700</v>
      </c>
      <c r="H12" t="s">
        <v>55</v>
      </c>
      <c r="I12">
        <v>2007</v>
      </c>
      <c r="L12" s="34">
        <v>7</v>
      </c>
      <c r="M12" s="35">
        <v>38.9</v>
      </c>
      <c r="N12" s="35"/>
      <c r="O12" s="35"/>
      <c r="P12" s="35">
        <v>38.9</v>
      </c>
    </row>
    <row r="13" spans="1:16" x14ac:dyDescent="0.35">
      <c r="A13">
        <v>17</v>
      </c>
      <c r="B13" t="s">
        <v>52</v>
      </c>
      <c r="C13" t="s">
        <v>53</v>
      </c>
      <c r="D13">
        <v>38.700000000000003</v>
      </c>
      <c r="E13">
        <v>19</v>
      </c>
      <c r="F13">
        <v>195</v>
      </c>
      <c r="G13">
        <v>3450</v>
      </c>
      <c r="H13" t="s">
        <v>55</v>
      </c>
      <c r="I13">
        <v>2007</v>
      </c>
      <c r="L13" s="34">
        <v>8</v>
      </c>
      <c r="M13" s="35">
        <v>39.200000000000003</v>
      </c>
      <c r="N13" s="35"/>
      <c r="O13" s="35"/>
      <c r="P13" s="35">
        <v>39.200000000000003</v>
      </c>
    </row>
    <row r="14" spans="1:16" x14ac:dyDescent="0.35">
      <c r="A14">
        <v>18</v>
      </c>
      <c r="B14" t="s">
        <v>52</v>
      </c>
      <c r="C14" t="s">
        <v>53</v>
      </c>
      <c r="D14">
        <v>42.5</v>
      </c>
      <c r="E14">
        <v>20.7</v>
      </c>
      <c r="F14">
        <v>197</v>
      </c>
      <c r="G14">
        <v>4500</v>
      </c>
      <c r="H14" t="s">
        <v>54</v>
      </c>
      <c r="I14">
        <v>2007</v>
      </c>
      <c r="L14" s="34">
        <v>13</v>
      </c>
      <c r="M14" s="35">
        <v>41.1</v>
      </c>
      <c r="N14" s="35"/>
      <c r="O14" s="35"/>
      <c r="P14" s="35">
        <v>41.1</v>
      </c>
    </row>
    <row r="15" spans="1:16" x14ac:dyDescent="0.35">
      <c r="A15">
        <v>19</v>
      </c>
      <c r="B15" t="s">
        <v>52</v>
      </c>
      <c r="C15" t="s">
        <v>53</v>
      </c>
      <c r="D15">
        <v>34.4</v>
      </c>
      <c r="E15">
        <v>18.399999999999999</v>
      </c>
      <c r="F15">
        <v>184</v>
      </c>
      <c r="G15">
        <v>3325</v>
      </c>
      <c r="H15" t="s">
        <v>55</v>
      </c>
      <c r="I15">
        <v>2007</v>
      </c>
      <c r="L15" s="34">
        <v>14</v>
      </c>
      <c r="M15" s="35">
        <v>38.6</v>
      </c>
      <c r="N15" s="35"/>
      <c r="O15" s="35"/>
      <c r="P15" s="35">
        <v>38.6</v>
      </c>
    </row>
    <row r="16" spans="1:16" x14ac:dyDescent="0.35">
      <c r="A16">
        <v>20</v>
      </c>
      <c r="B16" t="s">
        <v>52</v>
      </c>
      <c r="C16" t="s">
        <v>53</v>
      </c>
      <c r="D16">
        <v>46</v>
      </c>
      <c r="E16">
        <v>21.5</v>
      </c>
      <c r="F16">
        <v>194</v>
      </c>
      <c r="G16">
        <v>4200</v>
      </c>
      <c r="H16" t="s">
        <v>54</v>
      </c>
      <c r="I16">
        <v>2007</v>
      </c>
      <c r="L16" s="34">
        <v>15</v>
      </c>
      <c r="M16" s="35">
        <v>34.6</v>
      </c>
      <c r="N16" s="35"/>
      <c r="O16" s="35"/>
      <c r="P16" s="35">
        <v>34.6</v>
      </c>
    </row>
    <row r="17" spans="1:16" x14ac:dyDescent="0.35">
      <c r="A17">
        <v>21</v>
      </c>
      <c r="B17" t="s">
        <v>52</v>
      </c>
      <c r="C17" t="s">
        <v>56</v>
      </c>
      <c r="D17">
        <v>37.799999999999997</v>
      </c>
      <c r="E17">
        <v>18.3</v>
      </c>
      <c r="F17">
        <v>174</v>
      </c>
      <c r="G17">
        <v>3400</v>
      </c>
      <c r="H17" t="s">
        <v>55</v>
      </c>
      <c r="I17">
        <v>2007</v>
      </c>
      <c r="L17" s="34">
        <v>16</v>
      </c>
      <c r="M17" s="35">
        <v>36.6</v>
      </c>
      <c r="N17" s="35"/>
      <c r="O17" s="35"/>
      <c r="P17" s="35">
        <v>36.6</v>
      </c>
    </row>
    <row r="18" spans="1:16" x14ac:dyDescent="0.35">
      <c r="A18">
        <v>22</v>
      </c>
      <c r="B18" t="s">
        <v>52</v>
      </c>
      <c r="C18" t="s">
        <v>56</v>
      </c>
      <c r="D18">
        <v>37.700000000000003</v>
      </c>
      <c r="E18">
        <v>18.7</v>
      </c>
      <c r="F18">
        <v>180</v>
      </c>
      <c r="G18">
        <v>3600</v>
      </c>
      <c r="H18" t="s">
        <v>54</v>
      </c>
      <c r="I18">
        <v>2007</v>
      </c>
      <c r="L18" s="34">
        <v>17</v>
      </c>
      <c r="M18" s="35">
        <v>38.700000000000003</v>
      </c>
      <c r="N18" s="35"/>
      <c r="O18" s="35"/>
      <c r="P18" s="35">
        <v>38.700000000000003</v>
      </c>
    </row>
    <row r="19" spans="1:16" x14ac:dyDescent="0.35">
      <c r="A19">
        <v>23</v>
      </c>
      <c r="B19" t="s">
        <v>52</v>
      </c>
      <c r="C19" t="s">
        <v>56</v>
      </c>
      <c r="D19">
        <v>35.9</v>
      </c>
      <c r="E19">
        <v>19.2</v>
      </c>
      <c r="F19">
        <v>189</v>
      </c>
      <c r="G19">
        <v>3800</v>
      </c>
      <c r="H19" t="s">
        <v>55</v>
      </c>
      <c r="I19">
        <v>2007</v>
      </c>
      <c r="L19" s="34">
        <v>18</v>
      </c>
      <c r="M19" s="35">
        <v>42.5</v>
      </c>
      <c r="N19" s="35"/>
      <c r="O19" s="35"/>
      <c r="P19" s="35">
        <v>42.5</v>
      </c>
    </row>
    <row r="20" spans="1:16" x14ac:dyDescent="0.35">
      <c r="A20">
        <v>24</v>
      </c>
      <c r="B20" t="s">
        <v>52</v>
      </c>
      <c r="C20" t="s">
        <v>56</v>
      </c>
      <c r="D20">
        <v>38.200000000000003</v>
      </c>
      <c r="E20">
        <v>18.100000000000001</v>
      </c>
      <c r="F20">
        <v>185</v>
      </c>
      <c r="G20">
        <v>3950</v>
      </c>
      <c r="H20" t="s">
        <v>54</v>
      </c>
      <c r="I20">
        <v>2007</v>
      </c>
      <c r="L20" s="34">
        <v>19</v>
      </c>
      <c r="M20" s="35">
        <v>34.4</v>
      </c>
      <c r="N20" s="35"/>
      <c r="O20" s="35"/>
      <c r="P20" s="35">
        <v>34.4</v>
      </c>
    </row>
    <row r="21" spans="1:16" x14ac:dyDescent="0.35">
      <c r="A21">
        <v>25</v>
      </c>
      <c r="B21" t="s">
        <v>52</v>
      </c>
      <c r="C21" t="s">
        <v>56</v>
      </c>
      <c r="D21">
        <v>38.799999999999997</v>
      </c>
      <c r="E21">
        <v>17.2</v>
      </c>
      <c r="F21">
        <v>180</v>
      </c>
      <c r="G21">
        <v>3800</v>
      </c>
      <c r="H21" t="s">
        <v>54</v>
      </c>
      <c r="I21">
        <v>2007</v>
      </c>
      <c r="L21" s="34">
        <v>20</v>
      </c>
      <c r="M21" s="35">
        <v>46</v>
      </c>
      <c r="N21" s="35"/>
      <c r="O21" s="35"/>
      <c r="P21" s="35">
        <v>46</v>
      </c>
    </row>
    <row r="22" spans="1:16" x14ac:dyDescent="0.35">
      <c r="A22">
        <v>26</v>
      </c>
      <c r="B22" t="s">
        <v>52</v>
      </c>
      <c r="C22" t="s">
        <v>56</v>
      </c>
      <c r="D22">
        <v>35.299999999999997</v>
      </c>
      <c r="E22">
        <v>18.899999999999999</v>
      </c>
      <c r="F22">
        <v>187</v>
      </c>
      <c r="G22">
        <v>3800</v>
      </c>
      <c r="H22" t="s">
        <v>55</v>
      </c>
      <c r="I22">
        <v>2007</v>
      </c>
      <c r="L22" s="34">
        <v>21</v>
      </c>
      <c r="M22" s="35">
        <v>37.799999999999997</v>
      </c>
      <c r="N22" s="35"/>
      <c r="O22" s="35"/>
      <c r="P22" s="35">
        <v>37.799999999999997</v>
      </c>
    </row>
    <row r="23" spans="1:16" x14ac:dyDescent="0.35">
      <c r="A23">
        <v>27</v>
      </c>
      <c r="B23" t="s">
        <v>52</v>
      </c>
      <c r="C23" t="s">
        <v>56</v>
      </c>
      <c r="D23">
        <v>40.6</v>
      </c>
      <c r="E23">
        <v>18.600000000000001</v>
      </c>
      <c r="F23">
        <v>183</v>
      </c>
      <c r="G23">
        <v>3550</v>
      </c>
      <c r="H23" t="s">
        <v>54</v>
      </c>
      <c r="I23">
        <v>2007</v>
      </c>
      <c r="L23" s="34">
        <v>22</v>
      </c>
      <c r="M23" s="35">
        <v>37.700000000000003</v>
      </c>
      <c r="N23" s="35"/>
      <c r="O23" s="35"/>
      <c r="P23" s="35">
        <v>37.700000000000003</v>
      </c>
    </row>
    <row r="24" spans="1:16" x14ac:dyDescent="0.35">
      <c r="A24">
        <v>28</v>
      </c>
      <c r="B24" t="s">
        <v>52</v>
      </c>
      <c r="C24" t="s">
        <v>56</v>
      </c>
      <c r="D24">
        <v>40.5</v>
      </c>
      <c r="E24">
        <v>17.899999999999999</v>
      </c>
      <c r="F24">
        <v>187</v>
      </c>
      <c r="G24">
        <v>3200</v>
      </c>
      <c r="H24" t="s">
        <v>55</v>
      </c>
      <c r="I24">
        <v>2007</v>
      </c>
      <c r="L24" s="34">
        <v>23</v>
      </c>
      <c r="M24" s="35">
        <v>35.9</v>
      </c>
      <c r="N24" s="35"/>
      <c r="O24" s="35"/>
      <c r="P24" s="35">
        <v>35.9</v>
      </c>
    </row>
    <row r="25" spans="1:16" x14ac:dyDescent="0.35">
      <c r="A25">
        <v>29</v>
      </c>
      <c r="B25" t="s">
        <v>52</v>
      </c>
      <c r="C25" t="s">
        <v>56</v>
      </c>
      <c r="D25">
        <v>37.9</v>
      </c>
      <c r="E25">
        <v>18.600000000000001</v>
      </c>
      <c r="F25">
        <v>172</v>
      </c>
      <c r="G25">
        <v>3150</v>
      </c>
      <c r="H25" t="s">
        <v>55</v>
      </c>
      <c r="I25">
        <v>2007</v>
      </c>
      <c r="L25" s="34">
        <v>24</v>
      </c>
      <c r="M25" s="35">
        <v>38.200000000000003</v>
      </c>
      <c r="N25" s="35"/>
      <c r="O25" s="35"/>
      <c r="P25" s="35">
        <v>38.200000000000003</v>
      </c>
    </row>
    <row r="26" spans="1:16" x14ac:dyDescent="0.35">
      <c r="A26">
        <v>30</v>
      </c>
      <c r="B26" t="s">
        <v>52</v>
      </c>
      <c r="C26" t="s">
        <v>56</v>
      </c>
      <c r="D26">
        <v>40.5</v>
      </c>
      <c r="E26">
        <v>18.899999999999999</v>
      </c>
      <c r="F26">
        <v>180</v>
      </c>
      <c r="G26">
        <v>3950</v>
      </c>
      <c r="H26" t="s">
        <v>54</v>
      </c>
      <c r="I26">
        <v>2007</v>
      </c>
      <c r="L26" s="34">
        <v>25</v>
      </c>
      <c r="M26" s="35">
        <v>38.799999999999997</v>
      </c>
      <c r="N26" s="35"/>
      <c r="O26" s="35"/>
      <c r="P26" s="35">
        <v>38.799999999999997</v>
      </c>
    </row>
    <row r="27" spans="1:16" x14ac:dyDescent="0.35">
      <c r="A27">
        <v>31</v>
      </c>
      <c r="B27" t="s">
        <v>52</v>
      </c>
      <c r="C27" t="s">
        <v>57</v>
      </c>
      <c r="D27">
        <v>39.5</v>
      </c>
      <c r="E27">
        <v>16.7</v>
      </c>
      <c r="F27">
        <v>178</v>
      </c>
      <c r="G27">
        <v>3250</v>
      </c>
      <c r="H27" t="s">
        <v>55</v>
      </c>
      <c r="I27">
        <v>2007</v>
      </c>
      <c r="L27" s="34">
        <v>26</v>
      </c>
      <c r="M27" s="35">
        <v>35.299999999999997</v>
      </c>
      <c r="N27" s="35"/>
      <c r="O27" s="35"/>
      <c r="P27" s="35">
        <v>35.299999999999997</v>
      </c>
    </row>
    <row r="28" spans="1:16" x14ac:dyDescent="0.35">
      <c r="A28">
        <v>32</v>
      </c>
      <c r="B28" t="s">
        <v>52</v>
      </c>
      <c r="C28" t="s">
        <v>57</v>
      </c>
      <c r="D28">
        <v>37.200000000000003</v>
      </c>
      <c r="E28">
        <v>18.100000000000001</v>
      </c>
      <c r="F28">
        <v>178</v>
      </c>
      <c r="G28">
        <v>3900</v>
      </c>
      <c r="H28" t="s">
        <v>54</v>
      </c>
      <c r="I28">
        <v>2007</v>
      </c>
      <c r="L28" s="34">
        <v>27</v>
      </c>
      <c r="M28" s="35">
        <v>40.6</v>
      </c>
      <c r="N28" s="35"/>
      <c r="O28" s="35"/>
      <c r="P28" s="35">
        <v>40.6</v>
      </c>
    </row>
    <row r="29" spans="1:16" x14ac:dyDescent="0.35">
      <c r="A29">
        <v>33</v>
      </c>
      <c r="B29" t="s">
        <v>52</v>
      </c>
      <c r="C29" t="s">
        <v>57</v>
      </c>
      <c r="D29">
        <v>39.5</v>
      </c>
      <c r="E29">
        <v>17.8</v>
      </c>
      <c r="F29">
        <v>188</v>
      </c>
      <c r="G29">
        <v>3300</v>
      </c>
      <c r="H29" t="s">
        <v>55</v>
      </c>
      <c r="I29">
        <v>2007</v>
      </c>
      <c r="L29" s="34">
        <v>28</v>
      </c>
      <c r="M29" s="35">
        <v>40.5</v>
      </c>
      <c r="N29" s="35"/>
      <c r="O29" s="35"/>
      <c r="P29" s="35">
        <v>40.5</v>
      </c>
    </row>
    <row r="30" spans="1:16" x14ac:dyDescent="0.35">
      <c r="A30">
        <v>34</v>
      </c>
      <c r="B30" t="s">
        <v>52</v>
      </c>
      <c r="C30" t="s">
        <v>57</v>
      </c>
      <c r="D30">
        <v>40.9</v>
      </c>
      <c r="E30">
        <v>18.899999999999999</v>
      </c>
      <c r="F30">
        <v>184</v>
      </c>
      <c r="G30">
        <v>3900</v>
      </c>
      <c r="H30" t="s">
        <v>54</v>
      </c>
      <c r="I30">
        <v>2007</v>
      </c>
      <c r="L30" s="34">
        <v>29</v>
      </c>
      <c r="M30" s="35">
        <v>37.9</v>
      </c>
      <c r="N30" s="35"/>
      <c r="O30" s="35"/>
      <c r="P30" s="35">
        <v>37.9</v>
      </c>
    </row>
    <row r="31" spans="1:16" x14ac:dyDescent="0.35">
      <c r="A31">
        <v>35</v>
      </c>
      <c r="B31" t="s">
        <v>52</v>
      </c>
      <c r="C31" t="s">
        <v>57</v>
      </c>
      <c r="D31">
        <v>36.4</v>
      </c>
      <c r="E31">
        <v>17</v>
      </c>
      <c r="F31">
        <v>195</v>
      </c>
      <c r="G31">
        <v>3325</v>
      </c>
      <c r="H31" t="s">
        <v>55</v>
      </c>
      <c r="I31">
        <v>2007</v>
      </c>
      <c r="L31" s="34">
        <v>30</v>
      </c>
      <c r="M31" s="35">
        <v>40.5</v>
      </c>
      <c r="N31" s="35"/>
      <c r="O31" s="35"/>
      <c r="P31" s="35">
        <v>40.5</v>
      </c>
    </row>
    <row r="32" spans="1:16" x14ac:dyDescent="0.35">
      <c r="A32">
        <v>36</v>
      </c>
      <c r="B32" t="s">
        <v>52</v>
      </c>
      <c r="C32" t="s">
        <v>57</v>
      </c>
      <c r="D32">
        <v>39.200000000000003</v>
      </c>
      <c r="E32">
        <v>21.1</v>
      </c>
      <c r="F32">
        <v>196</v>
      </c>
      <c r="G32">
        <v>4150</v>
      </c>
      <c r="H32" t="s">
        <v>54</v>
      </c>
      <c r="I32">
        <v>2007</v>
      </c>
      <c r="L32" s="34">
        <v>31</v>
      </c>
      <c r="M32" s="35">
        <v>39.5</v>
      </c>
      <c r="N32" s="35"/>
      <c r="O32" s="35"/>
      <c r="P32" s="35">
        <v>39.5</v>
      </c>
    </row>
    <row r="33" spans="1:16" x14ac:dyDescent="0.35">
      <c r="A33">
        <v>37</v>
      </c>
      <c r="B33" t="s">
        <v>52</v>
      </c>
      <c r="C33" t="s">
        <v>57</v>
      </c>
      <c r="D33">
        <v>38.799999999999997</v>
      </c>
      <c r="E33">
        <v>20</v>
      </c>
      <c r="F33">
        <v>190</v>
      </c>
      <c r="G33">
        <v>3950</v>
      </c>
      <c r="H33" t="s">
        <v>54</v>
      </c>
      <c r="I33">
        <v>2007</v>
      </c>
      <c r="L33" s="34">
        <v>32</v>
      </c>
      <c r="M33" s="35">
        <v>37.200000000000003</v>
      </c>
      <c r="N33" s="35"/>
      <c r="O33" s="35"/>
      <c r="P33" s="35">
        <v>37.200000000000003</v>
      </c>
    </row>
    <row r="34" spans="1:16" x14ac:dyDescent="0.35">
      <c r="A34">
        <v>38</v>
      </c>
      <c r="B34" t="s">
        <v>52</v>
      </c>
      <c r="C34" t="s">
        <v>57</v>
      </c>
      <c r="D34">
        <v>42.2</v>
      </c>
      <c r="E34">
        <v>18.5</v>
      </c>
      <c r="F34">
        <v>180</v>
      </c>
      <c r="G34">
        <v>3550</v>
      </c>
      <c r="H34" t="s">
        <v>55</v>
      </c>
      <c r="I34">
        <v>2007</v>
      </c>
      <c r="L34" s="34">
        <v>33</v>
      </c>
      <c r="M34" s="35">
        <v>39.5</v>
      </c>
      <c r="N34" s="35"/>
      <c r="O34" s="35"/>
      <c r="P34" s="35">
        <v>39.5</v>
      </c>
    </row>
    <row r="35" spans="1:16" x14ac:dyDescent="0.35">
      <c r="A35">
        <v>39</v>
      </c>
      <c r="B35" t="s">
        <v>52</v>
      </c>
      <c r="C35" t="s">
        <v>57</v>
      </c>
      <c r="D35">
        <v>37.6</v>
      </c>
      <c r="E35">
        <v>19.3</v>
      </c>
      <c r="F35">
        <v>181</v>
      </c>
      <c r="G35">
        <v>3300</v>
      </c>
      <c r="H35" t="s">
        <v>55</v>
      </c>
      <c r="I35">
        <v>2007</v>
      </c>
      <c r="L35" s="34">
        <v>34</v>
      </c>
      <c r="M35" s="35">
        <v>40.9</v>
      </c>
      <c r="N35" s="35"/>
      <c r="O35" s="35"/>
      <c r="P35" s="35">
        <v>40.9</v>
      </c>
    </row>
    <row r="36" spans="1:16" x14ac:dyDescent="0.35">
      <c r="A36">
        <v>40</v>
      </c>
      <c r="B36" t="s">
        <v>52</v>
      </c>
      <c r="C36" t="s">
        <v>57</v>
      </c>
      <c r="D36">
        <v>39.799999999999997</v>
      </c>
      <c r="E36">
        <v>19.100000000000001</v>
      </c>
      <c r="F36">
        <v>184</v>
      </c>
      <c r="G36">
        <v>4650</v>
      </c>
      <c r="H36" t="s">
        <v>54</v>
      </c>
      <c r="I36">
        <v>2007</v>
      </c>
      <c r="L36" s="34">
        <v>35</v>
      </c>
      <c r="M36" s="35">
        <v>36.4</v>
      </c>
      <c r="N36" s="35"/>
      <c r="O36" s="35"/>
      <c r="P36" s="35">
        <v>36.4</v>
      </c>
    </row>
    <row r="37" spans="1:16" x14ac:dyDescent="0.35">
      <c r="A37">
        <v>41</v>
      </c>
      <c r="B37" t="s">
        <v>52</v>
      </c>
      <c r="C37" t="s">
        <v>57</v>
      </c>
      <c r="D37">
        <v>36.5</v>
      </c>
      <c r="E37">
        <v>18</v>
      </c>
      <c r="F37">
        <v>182</v>
      </c>
      <c r="G37">
        <v>3150</v>
      </c>
      <c r="H37" t="s">
        <v>55</v>
      </c>
      <c r="I37">
        <v>2007</v>
      </c>
      <c r="L37" s="34">
        <v>36</v>
      </c>
      <c r="M37" s="35">
        <v>39.200000000000003</v>
      </c>
      <c r="N37" s="35"/>
      <c r="O37" s="35"/>
      <c r="P37" s="35">
        <v>39.200000000000003</v>
      </c>
    </row>
    <row r="38" spans="1:16" x14ac:dyDescent="0.35">
      <c r="A38">
        <v>42</v>
      </c>
      <c r="B38" t="s">
        <v>52</v>
      </c>
      <c r="C38" t="s">
        <v>57</v>
      </c>
      <c r="D38">
        <v>40.799999999999997</v>
      </c>
      <c r="E38">
        <v>18.399999999999999</v>
      </c>
      <c r="F38">
        <v>195</v>
      </c>
      <c r="G38">
        <v>3900</v>
      </c>
      <c r="H38" t="s">
        <v>54</v>
      </c>
      <c r="I38">
        <v>2007</v>
      </c>
      <c r="L38" s="34">
        <v>37</v>
      </c>
      <c r="M38" s="35">
        <v>38.799999999999997</v>
      </c>
      <c r="N38" s="35"/>
      <c r="O38" s="35"/>
      <c r="P38" s="35">
        <v>38.799999999999997</v>
      </c>
    </row>
    <row r="39" spans="1:16" x14ac:dyDescent="0.35">
      <c r="A39">
        <v>43</v>
      </c>
      <c r="B39" t="s">
        <v>52</v>
      </c>
      <c r="C39" t="s">
        <v>57</v>
      </c>
      <c r="D39">
        <v>36</v>
      </c>
      <c r="E39">
        <v>18.5</v>
      </c>
      <c r="F39">
        <v>186</v>
      </c>
      <c r="G39">
        <v>3100</v>
      </c>
      <c r="H39" t="s">
        <v>55</v>
      </c>
      <c r="I39">
        <v>2007</v>
      </c>
      <c r="L39" s="34">
        <v>38</v>
      </c>
      <c r="M39" s="35">
        <v>42.2</v>
      </c>
      <c r="N39" s="35"/>
      <c r="O39" s="35"/>
      <c r="P39" s="35">
        <v>42.2</v>
      </c>
    </row>
    <row r="40" spans="1:16" x14ac:dyDescent="0.35">
      <c r="A40">
        <v>44</v>
      </c>
      <c r="B40" t="s">
        <v>52</v>
      </c>
      <c r="C40" t="s">
        <v>57</v>
      </c>
      <c r="D40">
        <v>44.1</v>
      </c>
      <c r="E40">
        <v>19.7</v>
      </c>
      <c r="F40">
        <v>196</v>
      </c>
      <c r="G40">
        <v>4400</v>
      </c>
      <c r="H40" t="s">
        <v>54</v>
      </c>
      <c r="I40">
        <v>2007</v>
      </c>
      <c r="L40" s="34">
        <v>39</v>
      </c>
      <c r="M40" s="35">
        <v>37.6</v>
      </c>
      <c r="N40" s="35"/>
      <c r="O40" s="35"/>
      <c r="P40" s="35">
        <v>37.6</v>
      </c>
    </row>
    <row r="41" spans="1:16" x14ac:dyDescent="0.35">
      <c r="A41">
        <v>45</v>
      </c>
      <c r="B41" t="s">
        <v>52</v>
      </c>
      <c r="C41" t="s">
        <v>57</v>
      </c>
      <c r="D41">
        <v>37</v>
      </c>
      <c r="E41">
        <v>16.899999999999999</v>
      </c>
      <c r="F41">
        <v>185</v>
      </c>
      <c r="G41">
        <v>3000</v>
      </c>
      <c r="H41" t="s">
        <v>55</v>
      </c>
      <c r="I41">
        <v>2007</v>
      </c>
      <c r="L41" s="34">
        <v>40</v>
      </c>
      <c r="M41" s="35">
        <v>39.799999999999997</v>
      </c>
      <c r="N41" s="35"/>
      <c r="O41" s="35"/>
      <c r="P41" s="35">
        <v>39.799999999999997</v>
      </c>
    </row>
    <row r="42" spans="1:16" x14ac:dyDescent="0.35">
      <c r="A42">
        <v>46</v>
      </c>
      <c r="B42" t="s">
        <v>52</v>
      </c>
      <c r="C42" t="s">
        <v>57</v>
      </c>
      <c r="D42">
        <v>39.6</v>
      </c>
      <c r="E42">
        <v>18.8</v>
      </c>
      <c r="F42">
        <v>190</v>
      </c>
      <c r="G42">
        <v>4600</v>
      </c>
      <c r="H42" t="s">
        <v>54</v>
      </c>
      <c r="I42">
        <v>2007</v>
      </c>
      <c r="L42" s="34">
        <v>41</v>
      </c>
      <c r="M42" s="35">
        <v>36.5</v>
      </c>
      <c r="N42" s="35"/>
      <c r="O42" s="35"/>
      <c r="P42" s="35">
        <v>36.5</v>
      </c>
    </row>
    <row r="43" spans="1:16" x14ac:dyDescent="0.35">
      <c r="A43">
        <v>47</v>
      </c>
      <c r="B43" t="s">
        <v>52</v>
      </c>
      <c r="C43" t="s">
        <v>57</v>
      </c>
      <c r="D43">
        <v>41.1</v>
      </c>
      <c r="E43">
        <v>19</v>
      </c>
      <c r="F43">
        <v>182</v>
      </c>
      <c r="G43">
        <v>3425</v>
      </c>
      <c r="H43" t="s">
        <v>54</v>
      </c>
      <c r="I43">
        <v>2007</v>
      </c>
      <c r="L43" s="34">
        <v>42</v>
      </c>
      <c r="M43" s="35">
        <v>40.799999999999997</v>
      </c>
      <c r="N43" s="35"/>
      <c r="O43" s="35"/>
      <c r="P43" s="35">
        <v>40.799999999999997</v>
      </c>
    </row>
    <row r="44" spans="1:16" x14ac:dyDescent="0.35">
      <c r="A44">
        <v>49</v>
      </c>
      <c r="B44" t="s">
        <v>52</v>
      </c>
      <c r="C44" t="s">
        <v>57</v>
      </c>
      <c r="D44">
        <v>36</v>
      </c>
      <c r="E44">
        <v>17.899999999999999</v>
      </c>
      <c r="F44">
        <v>190</v>
      </c>
      <c r="G44">
        <v>3450</v>
      </c>
      <c r="H44" t="s">
        <v>55</v>
      </c>
      <c r="I44">
        <v>2007</v>
      </c>
      <c r="L44" s="34">
        <v>43</v>
      </c>
      <c r="M44" s="35">
        <v>36</v>
      </c>
      <c r="N44" s="35"/>
      <c r="O44" s="35"/>
      <c r="P44" s="35">
        <v>36</v>
      </c>
    </row>
    <row r="45" spans="1:16" x14ac:dyDescent="0.35">
      <c r="A45">
        <v>50</v>
      </c>
      <c r="B45" t="s">
        <v>52</v>
      </c>
      <c r="C45" t="s">
        <v>57</v>
      </c>
      <c r="D45">
        <v>42.3</v>
      </c>
      <c r="E45">
        <v>21.2</v>
      </c>
      <c r="F45">
        <v>191</v>
      </c>
      <c r="G45">
        <v>4150</v>
      </c>
      <c r="H45" t="s">
        <v>54</v>
      </c>
      <c r="I45">
        <v>2007</v>
      </c>
      <c r="L45" s="34">
        <v>44</v>
      </c>
      <c r="M45" s="35">
        <v>44.1</v>
      </c>
      <c r="N45" s="35"/>
      <c r="O45" s="35"/>
      <c r="P45" s="35">
        <v>44.1</v>
      </c>
    </row>
    <row r="46" spans="1:16" x14ac:dyDescent="0.35">
      <c r="A46">
        <v>51</v>
      </c>
      <c r="B46" t="s">
        <v>52</v>
      </c>
      <c r="C46" t="s">
        <v>56</v>
      </c>
      <c r="D46">
        <v>39.6</v>
      </c>
      <c r="E46">
        <v>17.7</v>
      </c>
      <c r="F46">
        <v>186</v>
      </c>
      <c r="G46">
        <v>3500</v>
      </c>
      <c r="H46" t="s">
        <v>55</v>
      </c>
      <c r="I46">
        <v>2008</v>
      </c>
      <c r="L46" s="34">
        <v>45</v>
      </c>
      <c r="M46" s="35">
        <v>37</v>
      </c>
      <c r="N46" s="35"/>
      <c r="O46" s="35"/>
      <c r="P46" s="35">
        <v>37</v>
      </c>
    </row>
    <row r="47" spans="1:16" x14ac:dyDescent="0.35">
      <c r="A47">
        <v>52</v>
      </c>
      <c r="B47" t="s">
        <v>52</v>
      </c>
      <c r="C47" t="s">
        <v>56</v>
      </c>
      <c r="D47">
        <v>40.1</v>
      </c>
      <c r="E47">
        <v>18.899999999999999</v>
      </c>
      <c r="F47">
        <v>188</v>
      </c>
      <c r="G47">
        <v>4300</v>
      </c>
      <c r="H47" t="s">
        <v>54</v>
      </c>
      <c r="I47">
        <v>2008</v>
      </c>
      <c r="L47" s="34">
        <v>46</v>
      </c>
      <c r="M47" s="35">
        <v>39.6</v>
      </c>
      <c r="N47" s="35"/>
      <c r="O47" s="35"/>
      <c r="P47" s="35">
        <v>39.6</v>
      </c>
    </row>
    <row r="48" spans="1:16" x14ac:dyDescent="0.35">
      <c r="A48">
        <v>53</v>
      </c>
      <c r="B48" t="s">
        <v>52</v>
      </c>
      <c r="C48" t="s">
        <v>56</v>
      </c>
      <c r="D48">
        <v>35</v>
      </c>
      <c r="E48">
        <v>17.899999999999999</v>
      </c>
      <c r="F48">
        <v>190</v>
      </c>
      <c r="G48">
        <v>3450</v>
      </c>
      <c r="H48" t="s">
        <v>55</v>
      </c>
      <c r="I48">
        <v>2008</v>
      </c>
      <c r="L48" s="34">
        <v>47</v>
      </c>
      <c r="M48" s="35">
        <v>41.1</v>
      </c>
      <c r="N48" s="35"/>
      <c r="O48" s="35"/>
      <c r="P48" s="35">
        <v>41.1</v>
      </c>
    </row>
    <row r="49" spans="1:16" x14ac:dyDescent="0.35">
      <c r="A49">
        <v>54</v>
      </c>
      <c r="B49" t="s">
        <v>52</v>
      </c>
      <c r="C49" t="s">
        <v>56</v>
      </c>
      <c r="D49">
        <v>42</v>
      </c>
      <c r="E49">
        <v>19.5</v>
      </c>
      <c r="F49">
        <v>200</v>
      </c>
      <c r="G49">
        <v>4050</v>
      </c>
      <c r="H49" t="s">
        <v>54</v>
      </c>
      <c r="I49">
        <v>2008</v>
      </c>
      <c r="L49" s="34">
        <v>49</v>
      </c>
      <c r="M49" s="35">
        <v>36</v>
      </c>
      <c r="N49" s="35"/>
      <c r="O49" s="35"/>
      <c r="P49" s="35">
        <v>36</v>
      </c>
    </row>
    <row r="50" spans="1:16" x14ac:dyDescent="0.35">
      <c r="A50">
        <v>55</v>
      </c>
      <c r="B50" t="s">
        <v>52</v>
      </c>
      <c r="C50" t="s">
        <v>56</v>
      </c>
      <c r="D50">
        <v>34.5</v>
      </c>
      <c r="E50">
        <v>18.100000000000001</v>
      </c>
      <c r="F50">
        <v>187</v>
      </c>
      <c r="G50">
        <v>2900</v>
      </c>
      <c r="H50" t="s">
        <v>55</v>
      </c>
      <c r="I50">
        <v>2008</v>
      </c>
      <c r="L50" s="34">
        <v>50</v>
      </c>
      <c r="M50" s="35">
        <v>42.3</v>
      </c>
      <c r="N50" s="35"/>
      <c r="O50" s="35"/>
      <c r="P50" s="35">
        <v>42.3</v>
      </c>
    </row>
    <row r="51" spans="1:16" x14ac:dyDescent="0.35">
      <c r="A51">
        <v>56</v>
      </c>
      <c r="B51" t="s">
        <v>52</v>
      </c>
      <c r="C51" t="s">
        <v>56</v>
      </c>
      <c r="D51">
        <v>41.4</v>
      </c>
      <c r="E51">
        <v>18.600000000000001</v>
      </c>
      <c r="F51">
        <v>191</v>
      </c>
      <c r="G51">
        <v>3700</v>
      </c>
      <c r="H51" t="s">
        <v>54</v>
      </c>
      <c r="I51">
        <v>2008</v>
      </c>
      <c r="L51" s="34">
        <v>51</v>
      </c>
      <c r="M51" s="35">
        <v>39.6</v>
      </c>
      <c r="N51" s="35"/>
      <c r="O51" s="35"/>
      <c r="P51" s="35">
        <v>39.6</v>
      </c>
    </row>
    <row r="52" spans="1:16" x14ac:dyDescent="0.35">
      <c r="A52">
        <v>57</v>
      </c>
      <c r="B52" t="s">
        <v>52</v>
      </c>
      <c r="C52" t="s">
        <v>56</v>
      </c>
      <c r="D52">
        <v>39</v>
      </c>
      <c r="E52">
        <v>17.5</v>
      </c>
      <c r="F52">
        <v>186</v>
      </c>
      <c r="G52">
        <v>3550</v>
      </c>
      <c r="H52" t="s">
        <v>55</v>
      </c>
      <c r="I52">
        <v>2008</v>
      </c>
      <c r="L52" s="34">
        <v>52</v>
      </c>
      <c r="M52" s="35">
        <v>40.1</v>
      </c>
      <c r="N52" s="35"/>
      <c r="O52" s="35"/>
      <c r="P52" s="35">
        <v>40.1</v>
      </c>
    </row>
    <row r="53" spans="1:16" x14ac:dyDescent="0.35">
      <c r="A53">
        <v>58</v>
      </c>
      <c r="B53" t="s">
        <v>52</v>
      </c>
      <c r="C53" t="s">
        <v>56</v>
      </c>
      <c r="D53">
        <v>40.6</v>
      </c>
      <c r="E53">
        <v>18.8</v>
      </c>
      <c r="F53">
        <v>193</v>
      </c>
      <c r="G53">
        <v>3800</v>
      </c>
      <c r="H53" t="s">
        <v>54</v>
      </c>
      <c r="I53">
        <v>2008</v>
      </c>
      <c r="L53" s="34">
        <v>53</v>
      </c>
      <c r="M53" s="35">
        <v>35</v>
      </c>
      <c r="N53" s="35"/>
      <c r="O53" s="35"/>
      <c r="P53" s="35">
        <v>35</v>
      </c>
    </row>
    <row r="54" spans="1:16" x14ac:dyDescent="0.35">
      <c r="A54">
        <v>59</v>
      </c>
      <c r="B54" t="s">
        <v>52</v>
      </c>
      <c r="C54" t="s">
        <v>56</v>
      </c>
      <c r="D54">
        <v>36.5</v>
      </c>
      <c r="E54">
        <v>16.600000000000001</v>
      </c>
      <c r="F54">
        <v>181</v>
      </c>
      <c r="G54">
        <v>2850</v>
      </c>
      <c r="H54" t="s">
        <v>55</v>
      </c>
      <c r="I54">
        <v>2008</v>
      </c>
      <c r="L54" s="34">
        <v>54</v>
      </c>
      <c r="M54" s="35">
        <v>42</v>
      </c>
      <c r="N54" s="35"/>
      <c r="O54" s="35"/>
      <c r="P54" s="35">
        <v>42</v>
      </c>
    </row>
    <row r="55" spans="1:16" x14ac:dyDescent="0.35">
      <c r="A55">
        <v>60</v>
      </c>
      <c r="B55" t="s">
        <v>52</v>
      </c>
      <c r="C55" t="s">
        <v>56</v>
      </c>
      <c r="D55">
        <v>37.6</v>
      </c>
      <c r="E55">
        <v>19.100000000000001</v>
      </c>
      <c r="F55">
        <v>194</v>
      </c>
      <c r="G55">
        <v>3750</v>
      </c>
      <c r="H55" t="s">
        <v>54</v>
      </c>
      <c r="I55">
        <v>2008</v>
      </c>
      <c r="L55" s="34">
        <v>55</v>
      </c>
      <c r="M55" s="35">
        <v>34.5</v>
      </c>
      <c r="N55" s="35"/>
      <c r="O55" s="35"/>
      <c r="P55" s="35">
        <v>34.5</v>
      </c>
    </row>
    <row r="56" spans="1:16" x14ac:dyDescent="0.35">
      <c r="A56">
        <v>61</v>
      </c>
      <c r="B56" t="s">
        <v>52</v>
      </c>
      <c r="C56" t="s">
        <v>56</v>
      </c>
      <c r="D56">
        <v>35.700000000000003</v>
      </c>
      <c r="E56">
        <v>16.899999999999999</v>
      </c>
      <c r="F56">
        <v>185</v>
      </c>
      <c r="G56">
        <v>3150</v>
      </c>
      <c r="H56" t="s">
        <v>55</v>
      </c>
      <c r="I56">
        <v>2008</v>
      </c>
      <c r="L56" s="34">
        <v>56</v>
      </c>
      <c r="M56" s="35">
        <v>41.4</v>
      </c>
      <c r="N56" s="35"/>
      <c r="O56" s="35"/>
      <c r="P56" s="35">
        <v>41.4</v>
      </c>
    </row>
    <row r="57" spans="1:16" x14ac:dyDescent="0.35">
      <c r="A57">
        <v>62</v>
      </c>
      <c r="B57" t="s">
        <v>52</v>
      </c>
      <c r="C57" t="s">
        <v>56</v>
      </c>
      <c r="D57">
        <v>41.3</v>
      </c>
      <c r="E57">
        <v>21.1</v>
      </c>
      <c r="F57">
        <v>195</v>
      </c>
      <c r="G57">
        <v>4400</v>
      </c>
      <c r="H57" t="s">
        <v>54</v>
      </c>
      <c r="I57">
        <v>2008</v>
      </c>
      <c r="L57" s="34">
        <v>57</v>
      </c>
      <c r="M57" s="35">
        <v>39</v>
      </c>
      <c r="N57" s="35"/>
      <c r="O57" s="35"/>
      <c r="P57" s="35">
        <v>39</v>
      </c>
    </row>
    <row r="58" spans="1:16" x14ac:dyDescent="0.35">
      <c r="A58">
        <v>63</v>
      </c>
      <c r="B58" t="s">
        <v>52</v>
      </c>
      <c r="C58" t="s">
        <v>56</v>
      </c>
      <c r="D58">
        <v>37.6</v>
      </c>
      <c r="E58">
        <v>17</v>
      </c>
      <c r="F58">
        <v>185</v>
      </c>
      <c r="G58">
        <v>3600</v>
      </c>
      <c r="H58" t="s">
        <v>55</v>
      </c>
      <c r="I58">
        <v>2008</v>
      </c>
      <c r="L58" s="34">
        <v>58</v>
      </c>
      <c r="M58" s="35">
        <v>40.6</v>
      </c>
      <c r="N58" s="35"/>
      <c r="O58" s="35"/>
      <c r="P58" s="35">
        <v>40.6</v>
      </c>
    </row>
    <row r="59" spans="1:16" x14ac:dyDescent="0.35">
      <c r="A59">
        <v>64</v>
      </c>
      <c r="B59" t="s">
        <v>52</v>
      </c>
      <c r="C59" t="s">
        <v>56</v>
      </c>
      <c r="D59">
        <v>41.1</v>
      </c>
      <c r="E59">
        <v>18.2</v>
      </c>
      <c r="F59">
        <v>192</v>
      </c>
      <c r="G59">
        <v>4050</v>
      </c>
      <c r="H59" t="s">
        <v>54</v>
      </c>
      <c r="I59">
        <v>2008</v>
      </c>
      <c r="L59" s="34">
        <v>59</v>
      </c>
      <c r="M59" s="35">
        <v>36.5</v>
      </c>
      <c r="N59" s="35"/>
      <c r="O59" s="35"/>
      <c r="P59" s="35">
        <v>36.5</v>
      </c>
    </row>
    <row r="60" spans="1:16" x14ac:dyDescent="0.35">
      <c r="A60">
        <v>65</v>
      </c>
      <c r="B60" t="s">
        <v>52</v>
      </c>
      <c r="C60" t="s">
        <v>56</v>
      </c>
      <c r="D60">
        <v>36.4</v>
      </c>
      <c r="E60">
        <v>17.100000000000001</v>
      </c>
      <c r="F60">
        <v>184</v>
      </c>
      <c r="G60">
        <v>2850</v>
      </c>
      <c r="H60" t="s">
        <v>55</v>
      </c>
      <c r="I60">
        <v>2008</v>
      </c>
      <c r="L60" s="34">
        <v>60</v>
      </c>
      <c r="M60" s="35">
        <v>37.6</v>
      </c>
      <c r="N60" s="35"/>
      <c r="O60" s="35"/>
      <c r="P60" s="35">
        <v>37.6</v>
      </c>
    </row>
    <row r="61" spans="1:16" x14ac:dyDescent="0.35">
      <c r="A61">
        <v>66</v>
      </c>
      <c r="B61" t="s">
        <v>52</v>
      </c>
      <c r="C61" t="s">
        <v>56</v>
      </c>
      <c r="D61">
        <v>41.6</v>
      </c>
      <c r="E61">
        <v>18</v>
      </c>
      <c r="F61">
        <v>192</v>
      </c>
      <c r="G61">
        <v>3950</v>
      </c>
      <c r="H61" t="s">
        <v>54</v>
      </c>
      <c r="I61">
        <v>2008</v>
      </c>
      <c r="L61" s="34">
        <v>61</v>
      </c>
      <c r="M61" s="35">
        <v>35.700000000000003</v>
      </c>
      <c r="N61" s="35"/>
      <c r="O61" s="35"/>
      <c r="P61" s="35">
        <v>35.700000000000003</v>
      </c>
    </row>
    <row r="62" spans="1:16" x14ac:dyDescent="0.35">
      <c r="A62">
        <v>67</v>
      </c>
      <c r="B62" t="s">
        <v>52</v>
      </c>
      <c r="C62" t="s">
        <v>56</v>
      </c>
      <c r="D62">
        <v>35.5</v>
      </c>
      <c r="E62">
        <v>16.2</v>
      </c>
      <c r="F62">
        <v>195</v>
      </c>
      <c r="G62">
        <v>3350</v>
      </c>
      <c r="H62" t="s">
        <v>55</v>
      </c>
      <c r="I62">
        <v>2008</v>
      </c>
      <c r="L62" s="34">
        <v>62</v>
      </c>
      <c r="M62" s="35">
        <v>41.3</v>
      </c>
      <c r="N62" s="35"/>
      <c r="O62" s="35"/>
      <c r="P62" s="35">
        <v>41.3</v>
      </c>
    </row>
    <row r="63" spans="1:16" x14ac:dyDescent="0.35">
      <c r="A63">
        <v>68</v>
      </c>
      <c r="B63" t="s">
        <v>52</v>
      </c>
      <c r="C63" t="s">
        <v>56</v>
      </c>
      <c r="D63">
        <v>41.1</v>
      </c>
      <c r="E63">
        <v>19.100000000000001</v>
      </c>
      <c r="F63">
        <v>188</v>
      </c>
      <c r="G63">
        <v>4100</v>
      </c>
      <c r="H63" t="s">
        <v>54</v>
      </c>
      <c r="I63">
        <v>2008</v>
      </c>
      <c r="L63" s="34">
        <v>63</v>
      </c>
      <c r="M63" s="35">
        <v>37.6</v>
      </c>
      <c r="N63" s="35"/>
      <c r="O63" s="35"/>
      <c r="P63" s="35">
        <v>37.6</v>
      </c>
    </row>
    <row r="64" spans="1:16" x14ac:dyDescent="0.35">
      <c r="A64">
        <v>69</v>
      </c>
      <c r="B64" t="s">
        <v>52</v>
      </c>
      <c r="C64" t="s">
        <v>53</v>
      </c>
      <c r="D64">
        <v>35.9</v>
      </c>
      <c r="E64">
        <v>16.600000000000001</v>
      </c>
      <c r="F64">
        <v>190</v>
      </c>
      <c r="G64">
        <v>3050</v>
      </c>
      <c r="H64" t="s">
        <v>55</v>
      </c>
      <c r="I64">
        <v>2008</v>
      </c>
      <c r="L64" s="34">
        <v>64</v>
      </c>
      <c r="M64" s="35">
        <v>41.1</v>
      </c>
      <c r="N64" s="35"/>
      <c r="O64" s="35"/>
      <c r="P64" s="35">
        <v>41.1</v>
      </c>
    </row>
    <row r="65" spans="1:16" x14ac:dyDescent="0.35">
      <c r="A65">
        <v>70</v>
      </c>
      <c r="B65" t="s">
        <v>52</v>
      </c>
      <c r="C65" t="s">
        <v>53</v>
      </c>
      <c r="D65">
        <v>41.8</v>
      </c>
      <c r="E65">
        <v>19.399999999999999</v>
      </c>
      <c r="F65">
        <v>198</v>
      </c>
      <c r="G65">
        <v>4450</v>
      </c>
      <c r="H65" t="s">
        <v>54</v>
      </c>
      <c r="I65">
        <v>2008</v>
      </c>
      <c r="L65" s="34">
        <v>65</v>
      </c>
      <c r="M65" s="35">
        <v>36.4</v>
      </c>
      <c r="N65" s="35"/>
      <c r="O65" s="35"/>
      <c r="P65" s="35">
        <v>36.4</v>
      </c>
    </row>
    <row r="66" spans="1:16" x14ac:dyDescent="0.35">
      <c r="A66">
        <v>71</v>
      </c>
      <c r="B66" t="s">
        <v>52</v>
      </c>
      <c r="C66" t="s">
        <v>53</v>
      </c>
      <c r="D66">
        <v>33.5</v>
      </c>
      <c r="E66">
        <v>19</v>
      </c>
      <c r="F66">
        <v>190</v>
      </c>
      <c r="G66">
        <v>3600</v>
      </c>
      <c r="H66" t="s">
        <v>55</v>
      </c>
      <c r="I66">
        <v>2008</v>
      </c>
      <c r="L66" s="34">
        <v>66</v>
      </c>
      <c r="M66" s="35">
        <v>41.6</v>
      </c>
      <c r="N66" s="35"/>
      <c r="O66" s="35"/>
      <c r="P66" s="35">
        <v>41.6</v>
      </c>
    </row>
    <row r="67" spans="1:16" x14ac:dyDescent="0.35">
      <c r="A67">
        <v>72</v>
      </c>
      <c r="B67" t="s">
        <v>52</v>
      </c>
      <c r="C67" t="s">
        <v>53</v>
      </c>
      <c r="D67">
        <v>39.700000000000003</v>
      </c>
      <c r="E67">
        <v>18.399999999999999</v>
      </c>
      <c r="F67">
        <v>190</v>
      </c>
      <c r="G67">
        <v>3900</v>
      </c>
      <c r="H67" t="s">
        <v>54</v>
      </c>
      <c r="I67">
        <v>2008</v>
      </c>
      <c r="L67" s="34">
        <v>67</v>
      </c>
      <c r="M67" s="35">
        <v>35.5</v>
      </c>
      <c r="N67" s="35"/>
      <c r="O67" s="35"/>
      <c r="P67" s="35">
        <v>35.5</v>
      </c>
    </row>
    <row r="68" spans="1:16" x14ac:dyDescent="0.35">
      <c r="A68">
        <v>73</v>
      </c>
      <c r="B68" t="s">
        <v>52</v>
      </c>
      <c r="C68" t="s">
        <v>53</v>
      </c>
      <c r="D68">
        <v>39.6</v>
      </c>
      <c r="E68">
        <v>17.2</v>
      </c>
      <c r="F68">
        <v>196</v>
      </c>
      <c r="G68">
        <v>3550</v>
      </c>
      <c r="H68" t="s">
        <v>55</v>
      </c>
      <c r="I68">
        <v>2008</v>
      </c>
      <c r="L68" s="34">
        <v>68</v>
      </c>
      <c r="M68" s="35">
        <v>41.1</v>
      </c>
      <c r="N68" s="35"/>
      <c r="O68" s="35"/>
      <c r="P68" s="35">
        <v>41.1</v>
      </c>
    </row>
    <row r="69" spans="1:16" x14ac:dyDescent="0.35">
      <c r="A69">
        <v>74</v>
      </c>
      <c r="B69" t="s">
        <v>52</v>
      </c>
      <c r="C69" t="s">
        <v>53</v>
      </c>
      <c r="D69">
        <v>45.8</v>
      </c>
      <c r="E69">
        <v>18.899999999999999</v>
      </c>
      <c r="F69">
        <v>197</v>
      </c>
      <c r="G69">
        <v>4150</v>
      </c>
      <c r="H69" t="s">
        <v>54</v>
      </c>
      <c r="I69">
        <v>2008</v>
      </c>
      <c r="L69" s="34">
        <v>69</v>
      </c>
      <c r="M69" s="35">
        <v>35.9</v>
      </c>
      <c r="N69" s="35"/>
      <c r="O69" s="35"/>
      <c r="P69" s="35">
        <v>35.9</v>
      </c>
    </row>
    <row r="70" spans="1:16" x14ac:dyDescent="0.35">
      <c r="A70">
        <v>75</v>
      </c>
      <c r="B70" t="s">
        <v>52</v>
      </c>
      <c r="C70" t="s">
        <v>53</v>
      </c>
      <c r="D70">
        <v>35.5</v>
      </c>
      <c r="E70">
        <v>17.5</v>
      </c>
      <c r="F70">
        <v>190</v>
      </c>
      <c r="G70">
        <v>3700</v>
      </c>
      <c r="H70" t="s">
        <v>55</v>
      </c>
      <c r="I70">
        <v>2008</v>
      </c>
      <c r="L70" s="34">
        <v>70</v>
      </c>
      <c r="M70" s="35">
        <v>41.8</v>
      </c>
      <c r="N70" s="35"/>
      <c r="O70" s="35"/>
      <c r="P70" s="35">
        <v>41.8</v>
      </c>
    </row>
    <row r="71" spans="1:16" x14ac:dyDescent="0.35">
      <c r="A71">
        <v>76</v>
      </c>
      <c r="B71" t="s">
        <v>52</v>
      </c>
      <c r="C71" t="s">
        <v>53</v>
      </c>
      <c r="D71">
        <v>42.8</v>
      </c>
      <c r="E71">
        <v>18.5</v>
      </c>
      <c r="F71">
        <v>195</v>
      </c>
      <c r="G71">
        <v>4250</v>
      </c>
      <c r="H71" t="s">
        <v>54</v>
      </c>
      <c r="I71">
        <v>2008</v>
      </c>
      <c r="L71" s="34">
        <v>71</v>
      </c>
      <c r="M71" s="35">
        <v>33.5</v>
      </c>
      <c r="N71" s="35"/>
      <c r="O71" s="35"/>
      <c r="P71" s="35">
        <v>33.5</v>
      </c>
    </row>
    <row r="72" spans="1:16" x14ac:dyDescent="0.35">
      <c r="A72">
        <v>77</v>
      </c>
      <c r="B72" t="s">
        <v>52</v>
      </c>
      <c r="C72" t="s">
        <v>53</v>
      </c>
      <c r="D72">
        <v>40.9</v>
      </c>
      <c r="E72">
        <v>16.8</v>
      </c>
      <c r="F72">
        <v>191</v>
      </c>
      <c r="G72">
        <v>3700</v>
      </c>
      <c r="H72" t="s">
        <v>55</v>
      </c>
      <c r="I72">
        <v>2008</v>
      </c>
      <c r="L72" s="34">
        <v>72</v>
      </c>
      <c r="M72" s="35">
        <v>39.700000000000003</v>
      </c>
      <c r="N72" s="35"/>
      <c r="O72" s="35"/>
      <c r="P72" s="35">
        <v>39.700000000000003</v>
      </c>
    </row>
    <row r="73" spans="1:16" x14ac:dyDescent="0.35">
      <c r="A73">
        <v>78</v>
      </c>
      <c r="B73" t="s">
        <v>52</v>
      </c>
      <c r="C73" t="s">
        <v>53</v>
      </c>
      <c r="D73">
        <v>37.200000000000003</v>
      </c>
      <c r="E73">
        <v>19.399999999999999</v>
      </c>
      <c r="F73">
        <v>184</v>
      </c>
      <c r="G73">
        <v>3900</v>
      </c>
      <c r="H73" t="s">
        <v>54</v>
      </c>
      <c r="I73">
        <v>2008</v>
      </c>
      <c r="L73" s="34">
        <v>73</v>
      </c>
      <c r="M73" s="35">
        <v>39.6</v>
      </c>
      <c r="N73" s="35"/>
      <c r="O73" s="35"/>
      <c r="P73" s="35">
        <v>39.6</v>
      </c>
    </row>
    <row r="74" spans="1:16" x14ac:dyDescent="0.35">
      <c r="A74">
        <v>79</v>
      </c>
      <c r="B74" t="s">
        <v>52</v>
      </c>
      <c r="C74" t="s">
        <v>53</v>
      </c>
      <c r="D74">
        <v>36.200000000000003</v>
      </c>
      <c r="E74">
        <v>16.100000000000001</v>
      </c>
      <c r="F74">
        <v>187</v>
      </c>
      <c r="G74">
        <v>3550</v>
      </c>
      <c r="H74" t="s">
        <v>55</v>
      </c>
      <c r="I74">
        <v>2008</v>
      </c>
      <c r="L74" s="34">
        <v>74</v>
      </c>
      <c r="M74" s="35">
        <v>45.8</v>
      </c>
      <c r="N74" s="35"/>
      <c r="O74" s="35"/>
      <c r="P74" s="35">
        <v>45.8</v>
      </c>
    </row>
    <row r="75" spans="1:16" x14ac:dyDescent="0.35">
      <c r="A75">
        <v>80</v>
      </c>
      <c r="B75" t="s">
        <v>52</v>
      </c>
      <c r="C75" t="s">
        <v>53</v>
      </c>
      <c r="D75">
        <v>42.1</v>
      </c>
      <c r="E75">
        <v>19.100000000000001</v>
      </c>
      <c r="F75">
        <v>195</v>
      </c>
      <c r="G75">
        <v>4000</v>
      </c>
      <c r="H75" t="s">
        <v>54</v>
      </c>
      <c r="I75">
        <v>2008</v>
      </c>
      <c r="L75" s="34">
        <v>75</v>
      </c>
      <c r="M75" s="35">
        <v>35.5</v>
      </c>
      <c r="N75" s="35"/>
      <c r="O75" s="35"/>
      <c r="P75" s="35">
        <v>35.5</v>
      </c>
    </row>
    <row r="76" spans="1:16" x14ac:dyDescent="0.35">
      <c r="A76">
        <v>81</v>
      </c>
      <c r="B76" t="s">
        <v>52</v>
      </c>
      <c r="C76" t="s">
        <v>53</v>
      </c>
      <c r="D76">
        <v>34.6</v>
      </c>
      <c r="E76">
        <v>17.2</v>
      </c>
      <c r="F76">
        <v>189</v>
      </c>
      <c r="G76">
        <v>3200</v>
      </c>
      <c r="H76" t="s">
        <v>55</v>
      </c>
      <c r="I76">
        <v>2008</v>
      </c>
      <c r="L76" s="34">
        <v>76</v>
      </c>
      <c r="M76" s="35">
        <v>42.8</v>
      </c>
      <c r="N76" s="35"/>
      <c r="O76" s="35"/>
      <c r="P76" s="35">
        <v>42.8</v>
      </c>
    </row>
    <row r="77" spans="1:16" x14ac:dyDescent="0.35">
      <c r="A77">
        <v>82</v>
      </c>
      <c r="B77" t="s">
        <v>52</v>
      </c>
      <c r="C77" t="s">
        <v>53</v>
      </c>
      <c r="D77">
        <v>42.9</v>
      </c>
      <c r="E77">
        <v>17.600000000000001</v>
      </c>
      <c r="F77">
        <v>196</v>
      </c>
      <c r="G77">
        <v>4700</v>
      </c>
      <c r="H77" t="s">
        <v>54</v>
      </c>
      <c r="I77">
        <v>2008</v>
      </c>
      <c r="L77" s="34">
        <v>77</v>
      </c>
      <c r="M77" s="35">
        <v>40.9</v>
      </c>
      <c r="N77" s="35"/>
      <c r="O77" s="35"/>
      <c r="P77" s="35">
        <v>40.9</v>
      </c>
    </row>
    <row r="78" spans="1:16" x14ac:dyDescent="0.35">
      <c r="A78">
        <v>83</v>
      </c>
      <c r="B78" t="s">
        <v>52</v>
      </c>
      <c r="C78" t="s">
        <v>53</v>
      </c>
      <c r="D78">
        <v>36.700000000000003</v>
      </c>
      <c r="E78">
        <v>18.8</v>
      </c>
      <c r="F78">
        <v>187</v>
      </c>
      <c r="G78">
        <v>3800</v>
      </c>
      <c r="H78" t="s">
        <v>55</v>
      </c>
      <c r="I78">
        <v>2008</v>
      </c>
      <c r="L78" s="34">
        <v>78</v>
      </c>
      <c r="M78" s="35">
        <v>37.200000000000003</v>
      </c>
      <c r="N78" s="35"/>
      <c r="O78" s="35"/>
      <c r="P78" s="35">
        <v>37.200000000000003</v>
      </c>
    </row>
    <row r="79" spans="1:16" x14ac:dyDescent="0.35">
      <c r="A79">
        <v>84</v>
      </c>
      <c r="B79" t="s">
        <v>52</v>
      </c>
      <c r="C79" t="s">
        <v>53</v>
      </c>
      <c r="D79">
        <v>35.1</v>
      </c>
      <c r="E79">
        <v>19.399999999999999</v>
      </c>
      <c r="F79">
        <v>193</v>
      </c>
      <c r="G79">
        <v>4200</v>
      </c>
      <c r="H79" t="s">
        <v>54</v>
      </c>
      <c r="I79">
        <v>2008</v>
      </c>
      <c r="L79" s="34">
        <v>79</v>
      </c>
      <c r="M79" s="35">
        <v>36.200000000000003</v>
      </c>
      <c r="N79" s="35"/>
      <c r="O79" s="35"/>
      <c r="P79" s="35">
        <v>36.200000000000003</v>
      </c>
    </row>
    <row r="80" spans="1:16" x14ac:dyDescent="0.35">
      <c r="A80">
        <v>85</v>
      </c>
      <c r="B80" t="s">
        <v>52</v>
      </c>
      <c r="C80" t="s">
        <v>57</v>
      </c>
      <c r="D80">
        <v>37.299999999999997</v>
      </c>
      <c r="E80">
        <v>17.8</v>
      </c>
      <c r="F80">
        <v>191</v>
      </c>
      <c r="G80">
        <v>3350</v>
      </c>
      <c r="H80" t="s">
        <v>55</v>
      </c>
      <c r="I80">
        <v>2008</v>
      </c>
      <c r="L80" s="34">
        <v>80</v>
      </c>
      <c r="M80" s="35">
        <v>42.1</v>
      </c>
      <c r="N80" s="35"/>
      <c r="O80" s="35"/>
      <c r="P80" s="35">
        <v>42.1</v>
      </c>
    </row>
    <row r="81" spans="1:16" x14ac:dyDescent="0.35">
      <c r="A81">
        <v>86</v>
      </c>
      <c r="B81" t="s">
        <v>52</v>
      </c>
      <c r="C81" t="s">
        <v>57</v>
      </c>
      <c r="D81">
        <v>41.3</v>
      </c>
      <c r="E81">
        <v>20.3</v>
      </c>
      <c r="F81">
        <v>194</v>
      </c>
      <c r="G81">
        <v>3550</v>
      </c>
      <c r="H81" t="s">
        <v>54</v>
      </c>
      <c r="I81">
        <v>2008</v>
      </c>
      <c r="L81" s="34">
        <v>81</v>
      </c>
      <c r="M81" s="35">
        <v>34.6</v>
      </c>
      <c r="N81" s="35"/>
      <c r="O81" s="35"/>
      <c r="P81" s="35">
        <v>34.6</v>
      </c>
    </row>
    <row r="82" spans="1:16" x14ac:dyDescent="0.35">
      <c r="A82">
        <v>87</v>
      </c>
      <c r="B82" t="s">
        <v>52</v>
      </c>
      <c r="C82" t="s">
        <v>57</v>
      </c>
      <c r="D82">
        <v>36.299999999999997</v>
      </c>
      <c r="E82">
        <v>19.5</v>
      </c>
      <c r="F82">
        <v>190</v>
      </c>
      <c r="G82">
        <v>3800</v>
      </c>
      <c r="H82" t="s">
        <v>54</v>
      </c>
      <c r="I82">
        <v>2008</v>
      </c>
      <c r="L82" s="34">
        <v>82</v>
      </c>
      <c r="M82" s="35">
        <v>42.9</v>
      </c>
      <c r="N82" s="35"/>
      <c r="O82" s="35"/>
      <c r="P82" s="35">
        <v>42.9</v>
      </c>
    </row>
    <row r="83" spans="1:16" x14ac:dyDescent="0.35">
      <c r="A83">
        <v>88</v>
      </c>
      <c r="B83" t="s">
        <v>52</v>
      </c>
      <c r="C83" t="s">
        <v>57</v>
      </c>
      <c r="D83">
        <v>36.9</v>
      </c>
      <c r="E83">
        <v>18.600000000000001</v>
      </c>
      <c r="F83">
        <v>189</v>
      </c>
      <c r="G83">
        <v>3500</v>
      </c>
      <c r="H83" t="s">
        <v>55</v>
      </c>
      <c r="I83">
        <v>2008</v>
      </c>
      <c r="L83" s="34">
        <v>83</v>
      </c>
      <c r="M83" s="35">
        <v>36.700000000000003</v>
      </c>
      <c r="N83" s="35"/>
      <c r="O83" s="35"/>
      <c r="P83" s="35">
        <v>36.700000000000003</v>
      </c>
    </row>
    <row r="84" spans="1:16" x14ac:dyDescent="0.35">
      <c r="A84">
        <v>89</v>
      </c>
      <c r="B84" t="s">
        <v>52</v>
      </c>
      <c r="C84" t="s">
        <v>57</v>
      </c>
      <c r="D84">
        <v>38.299999999999997</v>
      </c>
      <c r="E84">
        <v>19.2</v>
      </c>
      <c r="F84">
        <v>189</v>
      </c>
      <c r="G84">
        <v>3950</v>
      </c>
      <c r="H84" t="s">
        <v>54</v>
      </c>
      <c r="I84">
        <v>2008</v>
      </c>
      <c r="L84" s="34">
        <v>84</v>
      </c>
      <c r="M84" s="35">
        <v>35.1</v>
      </c>
      <c r="N84" s="35"/>
      <c r="O84" s="35"/>
      <c r="P84" s="35">
        <v>35.1</v>
      </c>
    </row>
    <row r="85" spans="1:16" x14ac:dyDescent="0.35">
      <c r="A85">
        <v>90</v>
      </c>
      <c r="B85" t="s">
        <v>52</v>
      </c>
      <c r="C85" t="s">
        <v>57</v>
      </c>
      <c r="D85">
        <v>38.9</v>
      </c>
      <c r="E85">
        <v>18.8</v>
      </c>
      <c r="F85">
        <v>190</v>
      </c>
      <c r="G85">
        <v>3600</v>
      </c>
      <c r="H85" t="s">
        <v>55</v>
      </c>
      <c r="I85">
        <v>2008</v>
      </c>
      <c r="L85" s="34">
        <v>85</v>
      </c>
      <c r="M85" s="35">
        <v>37.299999999999997</v>
      </c>
      <c r="N85" s="35"/>
      <c r="O85" s="35"/>
      <c r="P85" s="35">
        <v>37.299999999999997</v>
      </c>
    </row>
    <row r="86" spans="1:16" x14ac:dyDescent="0.35">
      <c r="A86">
        <v>91</v>
      </c>
      <c r="B86" t="s">
        <v>52</v>
      </c>
      <c r="C86" t="s">
        <v>57</v>
      </c>
      <c r="D86">
        <v>35.700000000000003</v>
      </c>
      <c r="E86">
        <v>18</v>
      </c>
      <c r="F86">
        <v>202</v>
      </c>
      <c r="G86">
        <v>3550</v>
      </c>
      <c r="H86" t="s">
        <v>55</v>
      </c>
      <c r="I86">
        <v>2008</v>
      </c>
      <c r="L86" s="34">
        <v>86</v>
      </c>
      <c r="M86" s="35">
        <v>41.3</v>
      </c>
      <c r="N86" s="35"/>
      <c r="O86" s="35"/>
      <c r="P86" s="35">
        <v>41.3</v>
      </c>
    </row>
    <row r="87" spans="1:16" x14ac:dyDescent="0.35">
      <c r="A87">
        <v>92</v>
      </c>
      <c r="B87" t="s">
        <v>52</v>
      </c>
      <c r="C87" t="s">
        <v>57</v>
      </c>
      <c r="D87">
        <v>41.1</v>
      </c>
      <c r="E87">
        <v>18.100000000000001</v>
      </c>
      <c r="F87">
        <v>205</v>
      </c>
      <c r="G87">
        <v>4300</v>
      </c>
      <c r="H87" t="s">
        <v>54</v>
      </c>
      <c r="I87">
        <v>2008</v>
      </c>
      <c r="L87" s="34">
        <v>87</v>
      </c>
      <c r="M87" s="35">
        <v>36.299999999999997</v>
      </c>
      <c r="N87" s="35"/>
      <c r="O87" s="35"/>
      <c r="P87" s="35">
        <v>36.299999999999997</v>
      </c>
    </row>
    <row r="88" spans="1:16" x14ac:dyDescent="0.35">
      <c r="A88">
        <v>93</v>
      </c>
      <c r="B88" t="s">
        <v>52</v>
      </c>
      <c r="C88" t="s">
        <v>57</v>
      </c>
      <c r="D88">
        <v>34</v>
      </c>
      <c r="E88">
        <v>17.100000000000001</v>
      </c>
      <c r="F88">
        <v>185</v>
      </c>
      <c r="G88">
        <v>3400</v>
      </c>
      <c r="H88" t="s">
        <v>55</v>
      </c>
      <c r="I88">
        <v>2008</v>
      </c>
      <c r="L88" s="34">
        <v>88</v>
      </c>
      <c r="M88" s="35">
        <v>36.9</v>
      </c>
      <c r="N88" s="35"/>
      <c r="O88" s="35"/>
      <c r="P88" s="35">
        <v>36.9</v>
      </c>
    </row>
    <row r="89" spans="1:16" x14ac:dyDescent="0.35">
      <c r="A89">
        <v>94</v>
      </c>
      <c r="B89" t="s">
        <v>52</v>
      </c>
      <c r="C89" t="s">
        <v>57</v>
      </c>
      <c r="D89">
        <v>39.6</v>
      </c>
      <c r="E89">
        <v>18.100000000000001</v>
      </c>
      <c r="F89">
        <v>186</v>
      </c>
      <c r="G89">
        <v>4450</v>
      </c>
      <c r="H89" t="s">
        <v>54</v>
      </c>
      <c r="I89">
        <v>2008</v>
      </c>
      <c r="L89" s="34">
        <v>89</v>
      </c>
      <c r="M89" s="35">
        <v>38.299999999999997</v>
      </c>
      <c r="N89" s="35"/>
      <c r="O89" s="35"/>
      <c r="P89" s="35">
        <v>38.299999999999997</v>
      </c>
    </row>
    <row r="90" spans="1:16" x14ac:dyDescent="0.35">
      <c r="A90">
        <v>95</v>
      </c>
      <c r="B90" t="s">
        <v>52</v>
      </c>
      <c r="C90" t="s">
        <v>57</v>
      </c>
      <c r="D90">
        <v>36.200000000000003</v>
      </c>
      <c r="E90">
        <v>17.3</v>
      </c>
      <c r="F90">
        <v>187</v>
      </c>
      <c r="G90">
        <v>3300</v>
      </c>
      <c r="H90" t="s">
        <v>55</v>
      </c>
      <c r="I90">
        <v>2008</v>
      </c>
      <c r="L90" s="34">
        <v>90</v>
      </c>
      <c r="M90" s="35">
        <v>38.9</v>
      </c>
      <c r="N90" s="35"/>
      <c r="O90" s="35"/>
      <c r="P90" s="35">
        <v>38.9</v>
      </c>
    </row>
    <row r="91" spans="1:16" x14ac:dyDescent="0.35">
      <c r="A91">
        <v>96</v>
      </c>
      <c r="B91" t="s">
        <v>52</v>
      </c>
      <c r="C91" t="s">
        <v>57</v>
      </c>
      <c r="D91">
        <v>40.799999999999997</v>
      </c>
      <c r="E91">
        <v>18.899999999999999</v>
      </c>
      <c r="F91">
        <v>208</v>
      </c>
      <c r="G91">
        <v>4300</v>
      </c>
      <c r="H91" t="s">
        <v>54</v>
      </c>
      <c r="I91">
        <v>2008</v>
      </c>
      <c r="L91" s="34">
        <v>91</v>
      </c>
      <c r="M91" s="35">
        <v>35.700000000000003</v>
      </c>
      <c r="N91" s="35"/>
      <c r="O91" s="35"/>
      <c r="P91" s="35">
        <v>35.700000000000003</v>
      </c>
    </row>
    <row r="92" spans="1:16" x14ac:dyDescent="0.35">
      <c r="A92">
        <v>97</v>
      </c>
      <c r="B92" t="s">
        <v>52</v>
      </c>
      <c r="C92" t="s">
        <v>57</v>
      </c>
      <c r="D92">
        <v>38.1</v>
      </c>
      <c r="E92">
        <v>18.600000000000001</v>
      </c>
      <c r="F92">
        <v>190</v>
      </c>
      <c r="G92">
        <v>3700</v>
      </c>
      <c r="H92" t="s">
        <v>55</v>
      </c>
      <c r="I92">
        <v>2008</v>
      </c>
      <c r="L92" s="34">
        <v>92</v>
      </c>
      <c r="M92" s="35">
        <v>41.1</v>
      </c>
      <c r="N92" s="35"/>
      <c r="O92" s="35"/>
      <c r="P92" s="35">
        <v>41.1</v>
      </c>
    </row>
    <row r="93" spans="1:16" x14ac:dyDescent="0.35">
      <c r="A93">
        <v>98</v>
      </c>
      <c r="B93" t="s">
        <v>52</v>
      </c>
      <c r="C93" t="s">
        <v>57</v>
      </c>
      <c r="D93">
        <v>40.299999999999997</v>
      </c>
      <c r="E93">
        <v>18.5</v>
      </c>
      <c r="F93">
        <v>196</v>
      </c>
      <c r="G93">
        <v>4350</v>
      </c>
      <c r="H93" t="s">
        <v>54</v>
      </c>
      <c r="I93">
        <v>2008</v>
      </c>
      <c r="L93" s="34">
        <v>93</v>
      </c>
      <c r="M93" s="35">
        <v>34</v>
      </c>
      <c r="N93" s="35"/>
      <c r="O93" s="35"/>
      <c r="P93" s="35">
        <v>34</v>
      </c>
    </row>
    <row r="94" spans="1:16" x14ac:dyDescent="0.35">
      <c r="A94">
        <v>99</v>
      </c>
      <c r="B94" t="s">
        <v>52</v>
      </c>
      <c r="C94" t="s">
        <v>57</v>
      </c>
      <c r="D94">
        <v>33.1</v>
      </c>
      <c r="E94">
        <v>16.100000000000001</v>
      </c>
      <c r="F94">
        <v>178</v>
      </c>
      <c r="G94">
        <v>2900</v>
      </c>
      <c r="H94" t="s">
        <v>55</v>
      </c>
      <c r="I94">
        <v>2008</v>
      </c>
      <c r="L94" s="34">
        <v>94</v>
      </c>
      <c r="M94" s="35">
        <v>39.6</v>
      </c>
      <c r="N94" s="35"/>
      <c r="O94" s="35"/>
      <c r="P94" s="35">
        <v>39.6</v>
      </c>
    </row>
    <row r="95" spans="1:16" x14ac:dyDescent="0.35">
      <c r="A95">
        <v>100</v>
      </c>
      <c r="B95" t="s">
        <v>52</v>
      </c>
      <c r="C95" t="s">
        <v>57</v>
      </c>
      <c r="D95">
        <v>43.2</v>
      </c>
      <c r="E95">
        <v>18.5</v>
      </c>
      <c r="F95">
        <v>192</v>
      </c>
      <c r="G95">
        <v>4100</v>
      </c>
      <c r="H95" t="s">
        <v>54</v>
      </c>
      <c r="I95">
        <v>2008</v>
      </c>
      <c r="L95" s="34">
        <v>95</v>
      </c>
      <c r="M95" s="35">
        <v>36.200000000000003</v>
      </c>
      <c r="N95" s="35"/>
      <c r="O95" s="35"/>
      <c r="P95" s="35">
        <v>36.200000000000003</v>
      </c>
    </row>
    <row r="96" spans="1:16" x14ac:dyDescent="0.35">
      <c r="A96">
        <v>101</v>
      </c>
      <c r="B96" t="s">
        <v>52</v>
      </c>
      <c r="C96" t="s">
        <v>56</v>
      </c>
      <c r="D96">
        <v>35</v>
      </c>
      <c r="E96">
        <v>17.899999999999999</v>
      </c>
      <c r="F96">
        <v>192</v>
      </c>
      <c r="G96">
        <v>3725</v>
      </c>
      <c r="H96" t="s">
        <v>55</v>
      </c>
      <c r="I96">
        <v>2009</v>
      </c>
      <c r="L96" s="34">
        <v>96</v>
      </c>
      <c r="M96" s="35">
        <v>40.799999999999997</v>
      </c>
      <c r="N96" s="35"/>
      <c r="O96" s="35"/>
      <c r="P96" s="35">
        <v>40.799999999999997</v>
      </c>
    </row>
    <row r="97" spans="1:16" x14ac:dyDescent="0.35">
      <c r="A97">
        <v>102</v>
      </c>
      <c r="B97" t="s">
        <v>52</v>
      </c>
      <c r="C97" t="s">
        <v>56</v>
      </c>
      <c r="D97">
        <v>41</v>
      </c>
      <c r="E97">
        <v>20</v>
      </c>
      <c r="F97">
        <v>203</v>
      </c>
      <c r="G97">
        <v>4725</v>
      </c>
      <c r="H97" t="s">
        <v>54</v>
      </c>
      <c r="I97">
        <v>2009</v>
      </c>
      <c r="L97" s="34">
        <v>97</v>
      </c>
      <c r="M97" s="35">
        <v>38.1</v>
      </c>
      <c r="N97" s="35"/>
      <c r="O97" s="35"/>
      <c r="P97" s="35">
        <v>38.1</v>
      </c>
    </row>
    <row r="98" spans="1:16" x14ac:dyDescent="0.35">
      <c r="A98">
        <v>103</v>
      </c>
      <c r="B98" t="s">
        <v>52</v>
      </c>
      <c r="C98" t="s">
        <v>56</v>
      </c>
      <c r="D98">
        <v>37.700000000000003</v>
      </c>
      <c r="E98">
        <v>16</v>
      </c>
      <c r="F98">
        <v>183</v>
      </c>
      <c r="G98">
        <v>3075</v>
      </c>
      <c r="H98" t="s">
        <v>55</v>
      </c>
      <c r="I98">
        <v>2009</v>
      </c>
      <c r="L98" s="34">
        <v>98</v>
      </c>
      <c r="M98" s="35">
        <v>40.299999999999997</v>
      </c>
      <c r="N98" s="35"/>
      <c r="O98" s="35"/>
      <c r="P98" s="35">
        <v>40.299999999999997</v>
      </c>
    </row>
    <row r="99" spans="1:16" x14ac:dyDescent="0.35">
      <c r="A99">
        <v>104</v>
      </c>
      <c r="B99" t="s">
        <v>52</v>
      </c>
      <c r="C99" t="s">
        <v>56</v>
      </c>
      <c r="D99">
        <v>37.799999999999997</v>
      </c>
      <c r="E99">
        <v>20</v>
      </c>
      <c r="F99">
        <v>190</v>
      </c>
      <c r="G99">
        <v>4250</v>
      </c>
      <c r="H99" t="s">
        <v>54</v>
      </c>
      <c r="I99">
        <v>2009</v>
      </c>
      <c r="L99" s="34">
        <v>99</v>
      </c>
      <c r="M99" s="35">
        <v>33.1</v>
      </c>
      <c r="N99" s="35"/>
      <c r="O99" s="35"/>
      <c r="P99" s="35">
        <v>33.1</v>
      </c>
    </row>
    <row r="100" spans="1:16" x14ac:dyDescent="0.35">
      <c r="A100">
        <v>105</v>
      </c>
      <c r="B100" t="s">
        <v>52</v>
      </c>
      <c r="C100" t="s">
        <v>56</v>
      </c>
      <c r="D100">
        <v>37.9</v>
      </c>
      <c r="E100">
        <v>18.600000000000001</v>
      </c>
      <c r="F100">
        <v>193</v>
      </c>
      <c r="G100">
        <v>2925</v>
      </c>
      <c r="H100" t="s">
        <v>55</v>
      </c>
      <c r="I100">
        <v>2009</v>
      </c>
      <c r="L100" s="34">
        <v>100</v>
      </c>
      <c r="M100" s="35">
        <v>43.2</v>
      </c>
      <c r="N100" s="35"/>
      <c r="O100" s="35"/>
      <c r="P100" s="35">
        <v>43.2</v>
      </c>
    </row>
    <row r="101" spans="1:16" x14ac:dyDescent="0.35">
      <c r="A101">
        <v>106</v>
      </c>
      <c r="B101" t="s">
        <v>52</v>
      </c>
      <c r="C101" t="s">
        <v>56</v>
      </c>
      <c r="D101">
        <v>39.700000000000003</v>
      </c>
      <c r="E101">
        <v>18.899999999999999</v>
      </c>
      <c r="F101">
        <v>184</v>
      </c>
      <c r="G101">
        <v>3550</v>
      </c>
      <c r="H101" t="s">
        <v>54</v>
      </c>
      <c r="I101">
        <v>2009</v>
      </c>
      <c r="L101" s="34">
        <v>101</v>
      </c>
      <c r="M101" s="35">
        <v>35</v>
      </c>
      <c r="N101" s="35"/>
      <c r="O101" s="35"/>
      <c r="P101" s="35">
        <v>35</v>
      </c>
    </row>
    <row r="102" spans="1:16" x14ac:dyDescent="0.35">
      <c r="A102">
        <v>107</v>
      </c>
      <c r="B102" t="s">
        <v>52</v>
      </c>
      <c r="C102" t="s">
        <v>56</v>
      </c>
      <c r="D102">
        <v>38.6</v>
      </c>
      <c r="E102">
        <v>17.2</v>
      </c>
      <c r="F102">
        <v>199</v>
      </c>
      <c r="G102">
        <v>3750</v>
      </c>
      <c r="H102" t="s">
        <v>55</v>
      </c>
      <c r="I102">
        <v>2009</v>
      </c>
      <c r="L102" s="34">
        <v>102</v>
      </c>
      <c r="M102" s="35">
        <v>41</v>
      </c>
      <c r="N102" s="35"/>
      <c r="O102" s="35"/>
      <c r="P102" s="35">
        <v>41</v>
      </c>
    </row>
    <row r="103" spans="1:16" x14ac:dyDescent="0.35">
      <c r="A103">
        <v>108</v>
      </c>
      <c r="B103" t="s">
        <v>52</v>
      </c>
      <c r="C103" t="s">
        <v>56</v>
      </c>
      <c r="D103">
        <v>38.200000000000003</v>
      </c>
      <c r="E103">
        <v>20</v>
      </c>
      <c r="F103">
        <v>190</v>
      </c>
      <c r="G103">
        <v>3900</v>
      </c>
      <c r="H103" t="s">
        <v>54</v>
      </c>
      <c r="I103">
        <v>2009</v>
      </c>
      <c r="L103" s="34">
        <v>103</v>
      </c>
      <c r="M103" s="35">
        <v>37.700000000000003</v>
      </c>
      <c r="N103" s="35"/>
      <c r="O103" s="35"/>
      <c r="P103" s="35">
        <v>37.700000000000003</v>
      </c>
    </row>
    <row r="104" spans="1:16" x14ac:dyDescent="0.35">
      <c r="A104">
        <v>109</v>
      </c>
      <c r="B104" t="s">
        <v>52</v>
      </c>
      <c r="C104" t="s">
        <v>56</v>
      </c>
      <c r="D104">
        <v>38.1</v>
      </c>
      <c r="E104">
        <v>17</v>
      </c>
      <c r="F104">
        <v>181</v>
      </c>
      <c r="G104">
        <v>3175</v>
      </c>
      <c r="H104" t="s">
        <v>55</v>
      </c>
      <c r="I104">
        <v>2009</v>
      </c>
      <c r="L104" s="34">
        <v>104</v>
      </c>
      <c r="M104" s="35">
        <v>37.799999999999997</v>
      </c>
      <c r="N104" s="35"/>
      <c r="O104" s="35"/>
      <c r="P104" s="35">
        <v>37.799999999999997</v>
      </c>
    </row>
    <row r="105" spans="1:16" x14ac:dyDescent="0.35">
      <c r="A105">
        <v>110</v>
      </c>
      <c r="B105" t="s">
        <v>52</v>
      </c>
      <c r="C105" t="s">
        <v>56</v>
      </c>
      <c r="D105">
        <v>43.2</v>
      </c>
      <c r="E105">
        <v>19</v>
      </c>
      <c r="F105">
        <v>197</v>
      </c>
      <c r="G105">
        <v>4775</v>
      </c>
      <c r="H105" t="s">
        <v>54</v>
      </c>
      <c r="I105">
        <v>2009</v>
      </c>
      <c r="L105" s="34">
        <v>105</v>
      </c>
      <c r="M105" s="35">
        <v>37.9</v>
      </c>
      <c r="N105" s="35"/>
      <c r="O105" s="35"/>
      <c r="P105" s="35">
        <v>37.9</v>
      </c>
    </row>
    <row r="106" spans="1:16" x14ac:dyDescent="0.35">
      <c r="A106">
        <v>111</v>
      </c>
      <c r="B106" t="s">
        <v>52</v>
      </c>
      <c r="C106" t="s">
        <v>56</v>
      </c>
      <c r="D106">
        <v>38.1</v>
      </c>
      <c r="E106">
        <v>16.5</v>
      </c>
      <c r="F106">
        <v>198</v>
      </c>
      <c r="G106">
        <v>3825</v>
      </c>
      <c r="H106" t="s">
        <v>55</v>
      </c>
      <c r="I106">
        <v>2009</v>
      </c>
      <c r="L106" s="34">
        <v>106</v>
      </c>
      <c r="M106" s="35">
        <v>39.700000000000003</v>
      </c>
      <c r="N106" s="35"/>
      <c r="O106" s="35"/>
      <c r="P106" s="35">
        <v>39.700000000000003</v>
      </c>
    </row>
    <row r="107" spans="1:16" x14ac:dyDescent="0.35">
      <c r="A107">
        <v>112</v>
      </c>
      <c r="B107" t="s">
        <v>52</v>
      </c>
      <c r="C107" t="s">
        <v>56</v>
      </c>
      <c r="D107">
        <v>45.6</v>
      </c>
      <c r="E107">
        <v>20.3</v>
      </c>
      <c r="F107">
        <v>191</v>
      </c>
      <c r="G107">
        <v>4600</v>
      </c>
      <c r="H107" t="s">
        <v>54</v>
      </c>
      <c r="I107">
        <v>2009</v>
      </c>
      <c r="L107" s="34">
        <v>107</v>
      </c>
      <c r="M107" s="35">
        <v>38.6</v>
      </c>
      <c r="N107" s="35"/>
      <c r="O107" s="35"/>
      <c r="P107" s="35">
        <v>38.6</v>
      </c>
    </row>
    <row r="108" spans="1:16" x14ac:dyDescent="0.35">
      <c r="A108">
        <v>113</v>
      </c>
      <c r="B108" t="s">
        <v>52</v>
      </c>
      <c r="C108" t="s">
        <v>56</v>
      </c>
      <c r="D108">
        <v>39.700000000000003</v>
      </c>
      <c r="E108">
        <v>17.7</v>
      </c>
      <c r="F108">
        <v>193</v>
      </c>
      <c r="G108">
        <v>3200</v>
      </c>
      <c r="H108" t="s">
        <v>55</v>
      </c>
      <c r="I108">
        <v>2009</v>
      </c>
      <c r="L108" s="34">
        <v>108</v>
      </c>
      <c r="M108" s="35">
        <v>38.200000000000003</v>
      </c>
      <c r="N108" s="35"/>
      <c r="O108" s="35"/>
      <c r="P108" s="35">
        <v>38.200000000000003</v>
      </c>
    </row>
    <row r="109" spans="1:16" x14ac:dyDescent="0.35">
      <c r="A109">
        <v>114</v>
      </c>
      <c r="B109" t="s">
        <v>52</v>
      </c>
      <c r="C109" t="s">
        <v>56</v>
      </c>
      <c r="D109">
        <v>42.2</v>
      </c>
      <c r="E109">
        <v>19.5</v>
      </c>
      <c r="F109">
        <v>197</v>
      </c>
      <c r="G109">
        <v>4275</v>
      </c>
      <c r="H109" t="s">
        <v>54</v>
      </c>
      <c r="I109">
        <v>2009</v>
      </c>
      <c r="L109" s="34">
        <v>109</v>
      </c>
      <c r="M109" s="35">
        <v>38.1</v>
      </c>
      <c r="N109" s="35"/>
      <c r="O109" s="35"/>
      <c r="P109" s="35">
        <v>38.1</v>
      </c>
    </row>
    <row r="110" spans="1:16" x14ac:dyDescent="0.35">
      <c r="A110">
        <v>115</v>
      </c>
      <c r="B110" t="s">
        <v>52</v>
      </c>
      <c r="C110" t="s">
        <v>56</v>
      </c>
      <c r="D110">
        <v>39.6</v>
      </c>
      <c r="E110">
        <v>20.7</v>
      </c>
      <c r="F110">
        <v>191</v>
      </c>
      <c r="G110">
        <v>3900</v>
      </c>
      <c r="H110" t="s">
        <v>55</v>
      </c>
      <c r="I110">
        <v>2009</v>
      </c>
      <c r="L110" s="34">
        <v>110</v>
      </c>
      <c r="M110" s="35">
        <v>43.2</v>
      </c>
      <c r="N110" s="35"/>
      <c r="O110" s="35"/>
      <c r="P110" s="35">
        <v>43.2</v>
      </c>
    </row>
    <row r="111" spans="1:16" x14ac:dyDescent="0.35">
      <c r="A111">
        <v>116</v>
      </c>
      <c r="B111" t="s">
        <v>52</v>
      </c>
      <c r="C111" t="s">
        <v>56</v>
      </c>
      <c r="D111">
        <v>42.7</v>
      </c>
      <c r="E111">
        <v>18.3</v>
      </c>
      <c r="F111">
        <v>196</v>
      </c>
      <c r="G111">
        <v>4075</v>
      </c>
      <c r="H111" t="s">
        <v>54</v>
      </c>
      <c r="I111">
        <v>2009</v>
      </c>
      <c r="L111" s="34">
        <v>111</v>
      </c>
      <c r="M111" s="35">
        <v>38.1</v>
      </c>
      <c r="N111" s="35"/>
      <c r="O111" s="35"/>
      <c r="P111" s="35">
        <v>38.1</v>
      </c>
    </row>
    <row r="112" spans="1:16" x14ac:dyDescent="0.35">
      <c r="A112">
        <v>117</v>
      </c>
      <c r="B112" t="s">
        <v>52</v>
      </c>
      <c r="C112" t="s">
        <v>53</v>
      </c>
      <c r="D112">
        <v>38.6</v>
      </c>
      <c r="E112">
        <v>17</v>
      </c>
      <c r="F112">
        <v>188</v>
      </c>
      <c r="G112">
        <v>2900</v>
      </c>
      <c r="H112" t="s">
        <v>55</v>
      </c>
      <c r="I112">
        <v>2009</v>
      </c>
      <c r="L112" s="34">
        <v>112</v>
      </c>
      <c r="M112" s="35">
        <v>45.6</v>
      </c>
      <c r="N112" s="35"/>
      <c r="O112" s="35"/>
      <c r="P112" s="35">
        <v>45.6</v>
      </c>
    </row>
    <row r="113" spans="1:16" x14ac:dyDescent="0.35">
      <c r="A113">
        <v>118</v>
      </c>
      <c r="B113" t="s">
        <v>52</v>
      </c>
      <c r="C113" t="s">
        <v>53</v>
      </c>
      <c r="D113">
        <v>37.299999999999997</v>
      </c>
      <c r="E113">
        <v>20.5</v>
      </c>
      <c r="F113">
        <v>199</v>
      </c>
      <c r="G113">
        <v>3775</v>
      </c>
      <c r="H113" t="s">
        <v>54</v>
      </c>
      <c r="I113">
        <v>2009</v>
      </c>
      <c r="L113" s="34">
        <v>113</v>
      </c>
      <c r="M113" s="35">
        <v>39.700000000000003</v>
      </c>
      <c r="N113" s="35"/>
      <c r="O113" s="35"/>
      <c r="P113" s="35">
        <v>39.700000000000003</v>
      </c>
    </row>
    <row r="114" spans="1:16" x14ac:dyDescent="0.35">
      <c r="A114">
        <v>119</v>
      </c>
      <c r="B114" t="s">
        <v>52</v>
      </c>
      <c r="C114" t="s">
        <v>53</v>
      </c>
      <c r="D114">
        <v>35.700000000000003</v>
      </c>
      <c r="E114">
        <v>17</v>
      </c>
      <c r="F114">
        <v>189</v>
      </c>
      <c r="G114">
        <v>3350</v>
      </c>
      <c r="H114" t="s">
        <v>55</v>
      </c>
      <c r="I114">
        <v>2009</v>
      </c>
      <c r="L114" s="34">
        <v>114</v>
      </c>
      <c r="M114" s="35">
        <v>42.2</v>
      </c>
      <c r="N114" s="35"/>
      <c r="O114" s="35"/>
      <c r="P114" s="35">
        <v>42.2</v>
      </c>
    </row>
    <row r="115" spans="1:16" x14ac:dyDescent="0.35">
      <c r="A115">
        <v>120</v>
      </c>
      <c r="B115" t="s">
        <v>52</v>
      </c>
      <c r="C115" t="s">
        <v>53</v>
      </c>
      <c r="D115">
        <v>41.1</v>
      </c>
      <c r="E115">
        <v>18.600000000000001</v>
      </c>
      <c r="F115">
        <v>189</v>
      </c>
      <c r="G115">
        <v>3325</v>
      </c>
      <c r="H115" t="s">
        <v>54</v>
      </c>
      <c r="I115">
        <v>2009</v>
      </c>
      <c r="L115" s="34">
        <v>115</v>
      </c>
      <c r="M115" s="35">
        <v>39.6</v>
      </c>
      <c r="N115" s="35"/>
      <c r="O115" s="35"/>
      <c r="P115" s="35">
        <v>39.6</v>
      </c>
    </row>
    <row r="116" spans="1:16" x14ac:dyDescent="0.35">
      <c r="A116">
        <v>121</v>
      </c>
      <c r="B116" t="s">
        <v>52</v>
      </c>
      <c r="C116" t="s">
        <v>53</v>
      </c>
      <c r="D116">
        <v>36.200000000000003</v>
      </c>
      <c r="E116">
        <v>17.2</v>
      </c>
      <c r="F116">
        <v>187</v>
      </c>
      <c r="G116">
        <v>3150</v>
      </c>
      <c r="H116" t="s">
        <v>55</v>
      </c>
      <c r="I116">
        <v>2009</v>
      </c>
      <c r="L116" s="34">
        <v>116</v>
      </c>
      <c r="M116" s="35">
        <v>42.7</v>
      </c>
      <c r="N116" s="35"/>
      <c r="O116" s="35"/>
      <c r="P116" s="35">
        <v>42.7</v>
      </c>
    </row>
    <row r="117" spans="1:16" x14ac:dyDescent="0.35">
      <c r="A117">
        <v>122</v>
      </c>
      <c r="B117" t="s">
        <v>52</v>
      </c>
      <c r="C117" t="s">
        <v>53</v>
      </c>
      <c r="D117">
        <v>37.700000000000003</v>
      </c>
      <c r="E117">
        <v>19.8</v>
      </c>
      <c r="F117">
        <v>198</v>
      </c>
      <c r="G117">
        <v>3500</v>
      </c>
      <c r="H117" t="s">
        <v>54</v>
      </c>
      <c r="I117">
        <v>2009</v>
      </c>
      <c r="L117" s="34">
        <v>117</v>
      </c>
      <c r="M117" s="35">
        <v>38.6</v>
      </c>
      <c r="N117" s="35"/>
      <c r="O117" s="35"/>
      <c r="P117" s="35">
        <v>38.6</v>
      </c>
    </row>
    <row r="118" spans="1:16" x14ac:dyDescent="0.35">
      <c r="A118">
        <v>123</v>
      </c>
      <c r="B118" t="s">
        <v>52</v>
      </c>
      <c r="C118" t="s">
        <v>53</v>
      </c>
      <c r="D118">
        <v>40.200000000000003</v>
      </c>
      <c r="E118">
        <v>17</v>
      </c>
      <c r="F118">
        <v>176</v>
      </c>
      <c r="G118">
        <v>3450</v>
      </c>
      <c r="H118" t="s">
        <v>55</v>
      </c>
      <c r="I118">
        <v>2009</v>
      </c>
      <c r="L118" s="34">
        <v>118</v>
      </c>
      <c r="M118" s="35">
        <v>37.299999999999997</v>
      </c>
      <c r="N118" s="35"/>
      <c r="O118" s="35"/>
      <c r="P118" s="35">
        <v>37.299999999999997</v>
      </c>
    </row>
    <row r="119" spans="1:16" x14ac:dyDescent="0.35">
      <c r="A119">
        <v>124</v>
      </c>
      <c r="B119" t="s">
        <v>52</v>
      </c>
      <c r="C119" t="s">
        <v>53</v>
      </c>
      <c r="D119">
        <v>41.4</v>
      </c>
      <c r="E119">
        <v>18.5</v>
      </c>
      <c r="F119">
        <v>202</v>
      </c>
      <c r="G119">
        <v>3875</v>
      </c>
      <c r="H119" t="s">
        <v>54</v>
      </c>
      <c r="I119">
        <v>2009</v>
      </c>
      <c r="L119" s="34">
        <v>119</v>
      </c>
      <c r="M119" s="35">
        <v>35.700000000000003</v>
      </c>
      <c r="N119" s="35"/>
      <c r="O119" s="35"/>
      <c r="P119" s="35">
        <v>35.700000000000003</v>
      </c>
    </row>
    <row r="120" spans="1:16" x14ac:dyDescent="0.35">
      <c r="A120">
        <v>125</v>
      </c>
      <c r="B120" t="s">
        <v>52</v>
      </c>
      <c r="C120" t="s">
        <v>53</v>
      </c>
      <c r="D120">
        <v>35.200000000000003</v>
      </c>
      <c r="E120">
        <v>15.9</v>
      </c>
      <c r="F120">
        <v>186</v>
      </c>
      <c r="G120">
        <v>3050</v>
      </c>
      <c r="H120" t="s">
        <v>55</v>
      </c>
      <c r="I120">
        <v>2009</v>
      </c>
      <c r="L120" s="34">
        <v>120</v>
      </c>
      <c r="M120" s="35">
        <v>41.1</v>
      </c>
      <c r="N120" s="35"/>
      <c r="O120" s="35"/>
      <c r="P120" s="35">
        <v>41.1</v>
      </c>
    </row>
    <row r="121" spans="1:16" x14ac:dyDescent="0.35">
      <c r="A121">
        <v>126</v>
      </c>
      <c r="B121" t="s">
        <v>52</v>
      </c>
      <c r="C121" t="s">
        <v>53</v>
      </c>
      <c r="D121">
        <v>40.6</v>
      </c>
      <c r="E121">
        <v>19</v>
      </c>
      <c r="F121">
        <v>199</v>
      </c>
      <c r="G121">
        <v>4000</v>
      </c>
      <c r="H121" t="s">
        <v>54</v>
      </c>
      <c r="I121">
        <v>2009</v>
      </c>
      <c r="L121" s="34">
        <v>121</v>
      </c>
      <c r="M121" s="35">
        <v>36.200000000000003</v>
      </c>
      <c r="N121" s="35"/>
      <c r="O121" s="35"/>
      <c r="P121" s="35">
        <v>36.200000000000003</v>
      </c>
    </row>
    <row r="122" spans="1:16" x14ac:dyDescent="0.35">
      <c r="A122">
        <v>127</v>
      </c>
      <c r="B122" t="s">
        <v>52</v>
      </c>
      <c r="C122" t="s">
        <v>53</v>
      </c>
      <c r="D122">
        <v>38.799999999999997</v>
      </c>
      <c r="E122">
        <v>17.600000000000001</v>
      </c>
      <c r="F122">
        <v>191</v>
      </c>
      <c r="G122">
        <v>3275</v>
      </c>
      <c r="H122" t="s">
        <v>55</v>
      </c>
      <c r="I122">
        <v>2009</v>
      </c>
      <c r="L122" s="34">
        <v>122</v>
      </c>
      <c r="M122" s="35">
        <v>37.700000000000003</v>
      </c>
      <c r="N122" s="35"/>
      <c r="O122" s="35"/>
      <c r="P122" s="35">
        <v>37.700000000000003</v>
      </c>
    </row>
    <row r="123" spans="1:16" x14ac:dyDescent="0.35">
      <c r="A123">
        <v>128</v>
      </c>
      <c r="B123" t="s">
        <v>52</v>
      </c>
      <c r="C123" t="s">
        <v>53</v>
      </c>
      <c r="D123">
        <v>41.5</v>
      </c>
      <c r="E123">
        <v>18.3</v>
      </c>
      <c r="F123">
        <v>195</v>
      </c>
      <c r="G123">
        <v>4300</v>
      </c>
      <c r="H123" t="s">
        <v>54</v>
      </c>
      <c r="I123">
        <v>2009</v>
      </c>
      <c r="L123" s="34">
        <v>123</v>
      </c>
      <c r="M123" s="35">
        <v>40.200000000000003</v>
      </c>
      <c r="N123" s="35"/>
      <c r="O123" s="35"/>
      <c r="P123" s="35">
        <v>40.200000000000003</v>
      </c>
    </row>
    <row r="124" spans="1:16" x14ac:dyDescent="0.35">
      <c r="A124">
        <v>129</v>
      </c>
      <c r="B124" t="s">
        <v>52</v>
      </c>
      <c r="C124" t="s">
        <v>53</v>
      </c>
      <c r="D124">
        <v>39</v>
      </c>
      <c r="E124">
        <v>17.100000000000001</v>
      </c>
      <c r="F124">
        <v>191</v>
      </c>
      <c r="G124">
        <v>3050</v>
      </c>
      <c r="H124" t="s">
        <v>55</v>
      </c>
      <c r="I124">
        <v>2009</v>
      </c>
      <c r="L124" s="34">
        <v>124</v>
      </c>
      <c r="M124" s="35">
        <v>41.4</v>
      </c>
      <c r="N124" s="35"/>
      <c r="O124" s="35"/>
      <c r="P124" s="35">
        <v>41.4</v>
      </c>
    </row>
    <row r="125" spans="1:16" x14ac:dyDescent="0.35">
      <c r="A125">
        <v>130</v>
      </c>
      <c r="B125" t="s">
        <v>52</v>
      </c>
      <c r="C125" t="s">
        <v>53</v>
      </c>
      <c r="D125">
        <v>44.1</v>
      </c>
      <c r="E125">
        <v>18</v>
      </c>
      <c r="F125">
        <v>210</v>
      </c>
      <c r="G125">
        <v>4000</v>
      </c>
      <c r="H125" t="s">
        <v>54</v>
      </c>
      <c r="I125">
        <v>2009</v>
      </c>
      <c r="L125" s="34">
        <v>125</v>
      </c>
      <c r="M125" s="35">
        <v>35.200000000000003</v>
      </c>
      <c r="N125" s="35"/>
      <c r="O125" s="35"/>
      <c r="P125" s="35">
        <v>35.200000000000003</v>
      </c>
    </row>
    <row r="126" spans="1:16" x14ac:dyDescent="0.35">
      <c r="A126">
        <v>131</v>
      </c>
      <c r="B126" t="s">
        <v>52</v>
      </c>
      <c r="C126" t="s">
        <v>53</v>
      </c>
      <c r="D126">
        <v>38.5</v>
      </c>
      <c r="E126">
        <v>17.899999999999999</v>
      </c>
      <c r="F126">
        <v>190</v>
      </c>
      <c r="G126">
        <v>3325</v>
      </c>
      <c r="H126" t="s">
        <v>55</v>
      </c>
      <c r="I126">
        <v>2009</v>
      </c>
      <c r="L126" s="34">
        <v>126</v>
      </c>
      <c r="M126" s="35">
        <v>40.6</v>
      </c>
      <c r="N126" s="35"/>
      <c r="O126" s="35"/>
      <c r="P126" s="35">
        <v>40.6</v>
      </c>
    </row>
    <row r="127" spans="1:16" x14ac:dyDescent="0.35">
      <c r="A127">
        <v>132</v>
      </c>
      <c r="B127" t="s">
        <v>52</v>
      </c>
      <c r="C127" t="s">
        <v>53</v>
      </c>
      <c r="D127">
        <v>43.1</v>
      </c>
      <c r="E127">
        <v>19.2</v>
      </c>
      <c r="F127">
        <v>197</v>
      </c>
      <c r="G127">
        <v>3500</v>
      </c>
      <c r="H127" t="s">
        <v>54</v>
      </c>
      <c r="I127">
        <v>2009</v>
      </c>
      <c r="L127" s="34">
        <v>127</v>
      </c>
      <c r="M127" s="35">
        <v>38.799999999999997</v>
      </c>
      <c r="N127" s="35"/>
      <c r="O127" s="35"/>
      <c r="P127" s="35">
        <v>38.799999999999997</v>
      </c>
    </row>
    <row r="128" spans="1:16" x14ac:dyDescent="0.35">
      <c r="A128">
        <v>133</v>
      </c>
      <c r="B128" t="s">
        <v>52</v>
      </c>
      <c r="C128" t="s">
        <v>57</v>
      </c>
      <c r="D128">
        <v>36.799999999999997</v>
      </c>
      <c r="E128">
        <v>18.5</v>
      </c>
      <c r="F128">
        <v>193</v>
      </c>
      <c r="G128">
        <v>3500</v>
      </c>
      <c r="H128" t="s">
        <v>55</v>
      </c>
      <c r="I128">
        <v>2009</v>
      </c>
      <c r="L128" s="34">
        <v>128</v>
      </c>
      <c r="M128" s="35">
        <v>41.5</v>
      </c>
      <c r="N128" s="35"/>
      <c r="O128" s="35"/>
      <c r="P128" s="35">
        <v>41.5</v>
      </c>
    </row>
    <row r="129" spans="1:16" x14ac:dyDescent="0.35">
      <c r="A129">
        <v>134</v>
      </c>
      <c r="B129" t="s">
        <v>52</v>
      </c>
      <c r="C129" t="s">
        <v>57</v>
      </c>
      <c r="D129">
        <v>37.5</v>
      </c>
      <c r="E129">
        <v>18.5</v>
      </c>
      <c r="F129">
        <v>199</v>
      </c>
      <c r="G129">
        <v>4475</v>
      </c>
      <c r="H129" t="s">
        <v>54</v>
      </c>
      <c r="I129">
        <v>2009</v>
      </c>
      <c r="L129" s="34">
        <v>129</v>
      </c>
      <c r="M129" s="35">
        <v>39</v>
      </c>
      <c r="N129" s="35"/>
      <c r="O129" s="35"/>
      <c r="P129" s="35">
        <v>39</v>
      </c>
    </row>
    <row r="130" spans="1:16" x14ac:dyDescent="0.35">
      <c r="A130">
        <v>135</v>
      </c>
      <c r="B130" t="s">
        <v>52</v>
      </c>
      <c r="C130" t="s">
        <v>57</v>
      </c>
      <c r="D130">
        <v>38.1</v>
      </c>
      <c r="E130">
        <v>17.600000000000001</v>
      </c>
      <c r="F130">
        <v>187</v>
      </c>
      <c r="G130">
        <v>3425</v>
      </c>
      <c r="H130" t="s">
        <v>55</v>
      </c>
      <c r="I130">
        <v>2009</v>
      </c>
      <c r="L130" s="34">
        <v>130</v>
      </c>
      <c r="M130" s="35">
        <v>44.1</v>
      </c>
      <c r="N130" s="35"/>
      <c r="O130" s="35"/>
      <c r="P130" s="35">
        <v>44.1</v>
      </c>
    </row>
    <row r="131" spans="1:16" x14ac:dyDescent="0.35">
      <c r="A131">
        <v>136</v>
      </c>
      <c r="B131" t="s">
        <v>52</v>
      </c>
      <c r="C131" t="s">
        <v>57</v>
      </c>
      <c r="D131">
        <v>41.1</v>
      </c>
      <c r="E131">
        <v>17.5</v>
      </c>
      <c r="F131">
        <v>190</v>
      </c>
      <c r="G131">
        <v>3900</v>
      </c>
      <c r="H131" t="s">
        <v>54</v>
      </c>
      <c r="I131">
        <v>2009</v>
      </c>
      <c r="L131" s="34">
        <v>131</v>
      </c>
      <c r="M131" s="35">
        <v>38.5</v>
      </c>
      <c r="N131" s="35"/>
      <c r="O131" s="35"/>
      <c r="P131" s="35">
        <v>38.5</v>
      </c>
    </row>
    <row r="132" spans="1:16" x14ac:dyDescent="0.35">
      <c r="A132">
        <v>137</v>
      </c>
      <c r="B132" t="s">
        <v>52</v>
      </c>
      <c r="C132" t="s">
        <v>57</v>
      </c>
      <c r="D132">
        <v>35.6</v>
      </c>
      <c r="E132">
        <v>17.5</v>
      </c>
      <c r="F132">
        <v>191</v>
      </c>
      <c r="G132">
        <v>3175</v>
      </c>
      <c r="H132" t="s">
        <v>55</v>
      </c>
      <c r="I132">
        <v>2009</v>
      </c>
      <c r="L132" s="34">
        <v>132</v>
      </c>
      <c r="M132" s="35">
        <v>43.1</v>
      </c>
      <c r="N132" s="35"/>
      <c r="O132" s="35"/>
      <c r="P132" s="35">
        <v>43.1</v>
      </c>
    </row>
    <row r="133" spans="1:16" x14ac:dyDescent="0.35">
      <c r="A133">
        <v>138</v>
      </c>
      <c r="B133" t="s">
        <v>52</v>
      </c>
      <c r="C133" t="s">
        <v>57</v>
      </c>
      <c r="D133">
        <v>40.200000000000003</v>
      </c>
      <c r="E133">
        <v>20.100000000000001</v>
      </c>
      <c r="F133">
        <v>200</v>
      </c>
      <c r="G133">
        <v>3975</v>
      </c>
      <c r="H133" t="s">
        <v>54</v>
      </c>
      <c r="I133">
        <v>2009</v>
      </c>
      <c r="L133" s="34">
        <v>133</v>
      </c>
      <c r="M133" s="35">
        <v>36.799999999999997</v>
      </c>
      <c r="N133" s="35"/>
      <c r="O133" s="35"/>
      <c r="P133" s="35">
        <v>36.799999999999997</v>
      </c>
    </row>
    <row r="134" spans="1:16" x14ac:dyDescent="0.35">
      <c r="A134">
        <v>139</v>
      </c>
      <c r="B134" t="s">
        <v>52</v>
      </c>
      <c r="C134" t="s">
        <v>57</v>
      </c>
      <c r="D134">
        <v>37</v>
      </c>
      <c r="E134">
        <v>16.5</v>
      </c>
      <c r="F134">
        <v>185</v>
      </c>
      <c r="G134">
        <v>3400</v>
      </c>
      <c r="H134" t="s">
        <v>55</v>
      </c>
      <c r="I134">
        <v>2009</v>
      </c>
      <c r="L134" s="34">
        <v>134</v>
      </c>
      <c r="M134" s="35">
        <v>37.5</v>
      </c>
      <c r="N134" s="35"/>
      <c r="O134" s="35"/>
      <c r="P134" s="35">
        <v>37.5</v>
      </c>
    </row>
    <row r="135" spans="1:16" x14ac:dyDescent="0.35">
      <c r="A135">
        <v>140</v>
      </c>
      <c r="B135" t="s">
        <v>52</v>
      </c>
      <c r="C135" t="s">
        <v>57</v>
      </c>
      <c r="D135">
        <v>39.700000000000003</v>
      </c>
      <c r="E135">
        <v>17.899999999999999</v>
      </c>
      <c r="F135">
        <v>193</v>
      </c>
      <c r="G135">
        <v>4250</v>
      </c>
      <c r="H135" t="s">
        <v>54</v>
      </c>
      <c r="I135">
        <v>2009</v>
      </c>
      <c r="L135" s="34">
        <v>135</v>
      </c>
      <c r="M135" s="35">
        <v>38.1</v>
      </c>
      <c r="N135" s="35"/>
      <c r="O135" s="35"/>
      <c r="P135" s="35">
        <v>38.1</v>
      </c>
    </row>
    <row r="136" spans="1:16" x14ac:dyDescent="0.35">
      <c r="A136">
        <v>141</v>
      </c>
      <c r="B136" t="s">
        <v>52</v>
      </c>
      <c r="C136" t="s">
        <v>57</v>
      </c>
      <c r="D136">
        <v>40.200000000000003</v>
      </c>
      <c r="E136">
        <v>17.100000000000001</v>
      </c>
      <c r="F136">
        <v>193</v>
      </c>
      <c r="G136">
        <v>3400</v>
      </c>
      <c r="H136" t="s">
        <v>55</v>
      </c>
      <c r="I136">
        <v>2009</v>
      </c>
      <c r="L136" s="34">
        <v>136</v>
      </c>
      <c r="M136" s="35">
        <v>41.1</v>
      </c>
      <c r="N136" s="35"/>
      <c r="O136" s="35"/>
      <c r="P136" s="35">
        <v>41.1</v>
      </c>
    </row>
    <row r="137" spans="1:16" x14ac:dyDescent="0.35">
      <c r="A137">
        <v>142</v>
      </c>
      <c r="B137" t="s">
        <v>52</v>
      </c>
      <c r="C137" t="s">
        <v>57</v>
      </c>
      <c r="D137">
        <v>40.6</v>
      </c>
      <c r="E137">
        <v>17.2</v>
      </c>
      <c r="F137">
        <v>187</v>
      </c>
      <c r="G137">
        <v>3475</v>
      </c>
      <c r="H137" t="s">
        <v>54</v>
      </c>
      <c r="I137">
        <v>2009</v>
      </c>
      <c r="L137" s="34">
        <v>137</v>
      </c>
      <c r="M137" s="35">
        <v>35.6</v>
      </c>
      <c r="N137" s="35"/>
      <c r="O137" s="35"/>
      <c r="P137" s="35">
        <v>35.6</v>
      </c>
    </row>
    <row r="138" spans="1:16" x14ac:dyDescent="0.35">
      <c r="A138">
        <v>143</v>
      </c>
      <c r="B138" t="s">
        <v>52</v>
      </c>
      <c r="C138" t="s">
        <v>57</v>
      </c>
      <c r="D138">
        <v>32.1</v>
      </c>
      <c r="E138">
        <v>15.5</v>
      </c>
      <c r="F138">
        <v>188</v>
      </c>
      <c r="G138">
        <v>3050</v>
      </c>
      <c r="H138" t="s">
        <v>55</v>
      </c>
      <c r="I138">
        <v>2009</v>
      </c>
      <c r="L138" s="34">
        <v>138</v>
      </c>
      <c r="M138" s="35">
        <v>40.200000000000003</v>
      </c>
      <c r="N138" s="35"/>
      <c r="O138" s="35"/>
      <c r="P138" s="35">
        <v>40.200000000000003</v>
      </c>
    </row>
    <row r="139" spans="1:16" x14ac:dyDescent="0.35">
      <c r="A139">
        <v>144</v>
      </c>
      <c r="B139" t="s">
        <v>52</v>
      </c>
      <c r="C139" t="s">
        <v>57</v>
      </c>
      <c r="D139">
        <v>40.700000000000003</v>
      </c>
      <c r="E139">
        <v>17</v>
      </c>
      <c r="F139">
        <v>190</v>
      </c>
      <c r="G139">
        <v>3725</v>
      </c>
      <c r="H139" t="s">
        <v>54</v>
      </c>
      <c r="I139">
        <v>2009</v>
      </c>
      <c r="L139" s="34">
        <v>139</v>
      </c>
      <c r="M139" s="35">
        <v>37</v>
      </c>
      <c r="N139" s="35"/>
      <c r="O139" s="35"/>
      <c r="P139" s="35">
        <v>37</v>
      </c>
    </row>
    <row r="140" spans="1:16" x14ac:dyDescent="0.35">
      <c r="A140">
        <v>145</v>
      </c>
      <c r="B140" t="s">
        <v>52</v>
      </c>
      <c r="C140" t="s">
        <v>57</v>
      </c>
      <c r="D140">
        <v>37.299999999999997</v>
      </c>
      <c r="E140">
        <v>16.8</v>
      </c>
      <c r="F140">
        <v>192</v>
      </c>
      <c r="G140">
        <v>3000</v>
      </c>
      <c r="H140" t="s">
        <v>55</v>
      </c>
      <c r="I140">
        <v>2009</v>
      </c>
      <c r="L140" s="34">
        <v>140</v>
      </c>
      <c r="M140" s="35">
        <v>39.700000000000003</v>
      </c>
      <c r="N140" s="35"/>
      <c r="O140" s="35"/>
      <c r="P140" s="35">
        <v>39.700000000000003</v>
      </c>
    </row>
    <row r="141" spans="1:16" x14ac:dyDescent="0.35">
      <c r="A141">
        <v>146</v>
      </c>
      <c r="B141" t="s">
        <v>52</v>
      </c>
      <c r="C141" t="s">
        <v>57</v>
      </c>
      <c r="D141">
        <v>39</v>
      </c>
      <c r="E141">
        <v>18.7</v>
      </c>
      <c r="F141">
        <v>185</v>
      </c>
      <c r="G141">
        <v>3650</v>
      </c>
      <c r="H141" t="s">
        <v>54</v>
      </c>
      <c r="I141">
        <v>2009</v>
      </c>
      <c r="L141" s="34">
        <v>141</v>
      </c>
      <c r="M141" s="35">
        <v>40.200000000000003</v>
      </c>
      <c r="N141" s="35"/>
      <c r="O141" s="35"/>
      <c r="P141" s="35">
        <v>40.200000000000003</v>
      </c>
    </row>
    <row r="142" spans="1:16" x14ac:dyDescent="0.35">
      <c r="A142">
        <v>147</v>
      </c>
      <c r="B142" t="s">
        <v>52</v>
      </c>
      <c r="C142" t="s">
        <v>57</v>
      </c>
      <c r="D142">
        <v>39.200000000000003</v>
      </c>
      <c r="E142">
        <v>18.600000000000001</v>
      </c>
      <c r="F142">
        <v>190</v>
      </c>
      <c r="G142">
        <v>4250</v>
      </c>
      <c r="H142" t="s">
        <v>54</v>
      </c>
      <c r="I142">
        <v>2009</v>
      </c>
      <c r="L142" s="34">
        <v>142</v>
      </c>
      <c r="M142" s="35">
        <v>40.6</v>
      </c>
      <c r="N142" s="35"/>
      <c r="O142" s="35"/>
      <c r="P142" s="35">
        <v>40.6</v>
      </c>
    </row>
    <row r="143" spans="1:16" x14ac:dyDescent="0.35">
      <c r="A143">
        <v>148</v>
      </c>
      <c r="B143" t="s">
        <v>52</v>
      </c>
      <c r="C143" t="s">
        <v>57</v>
      </c>
      <c r="D143">
        <v>36.6</v>
      </c>
      <c r="E143">
        <v>18.399999999999999</v>
      </c>
      <c r="F143">
        <v>184</v>
      </c>
      <c r="G143">
        <v>3475</v>
      </c>
      <c r="H143" t="s">
        <v>55</v>
      </c>
      <c r="I143">
        <v>2009</v>
      </c>
      <c r="L143" s="34">
        <v>143</v>
      </c>
      <c r="M143" s="35">
        <v>32.1</v>
      </c>
      <c r="N143" s="35"/>
      <c r="O143" s="35"/>
      <c r="P143" s="35">
        <v>32.1</v>
      </c>
    </row>
    <row r="144" spans="1:16" x14ac:dyDescent="0.35">
      <c r="A144">
        <v>149</v>
      </c>
      <c r="B144" t="s">
        <v>52</v>
      </c>
      <c r="C144" t="s">
        <v>57</v>
      </c>
      <c r="D144">
        <v>36</v>
      </c>
      <c r="E144">
        <v>17.8</v>
      </c>
      <c r="F144">
        <v>195</v>
      </c>
      <c r="G144">
        <v>3450</v>
      </c>
      <c r="H144" t="s">
        <v>55</v>
      </c>
      <c r="I144">
        <v>2009</v>
      </c>
      <c r="L144" s="34">
        <v>144</v>
      </c>
      <c r="M144" s="35">
        <v>40.700000000000003</v>
      </c>
      <c r="N144" s="35"/>
      <c r="O144" s="35"/>
      <c r="P144" s="35">
        <v>40.700000000000003</v>
      </c>
    </row>
    <row r="145" spans="1:16" x14ac:dyDescent="0.35">
      <c r="A145">
        <v>150</v>
      </c>
      <c r="B145" t="s">
        <v>52</v>
      </c>
      <c r="C145" t="s">
        <v>57</v>
      </c>
      <c r="D145">
        <v>37.799999999999997</v>
      </c>
      <c r="E145">
        <v>18.100000000000001</v>
      </c>
      <c r="F145">
        <v>193</v>
      </c>
      <c r="G145">
        <v>3750</v>
      </c>
      <c r="H145" t="s">
        <v>54</v>
      </c>
      <c r="I145">
        <v>2009</v>
      </c>
      <c r="L145" s="34">
        <v>145</v>
      </c>
      <c r="M145" s="35">
        <v>37.299999999999997</v>
      </c>
      <c r="N145" s="35"/>
      <c r="O145" s="35"/>
      <c r="P145" s="35">
        <v>37.299999999999997</v>
      </c>
    </row>
    <row r="146" spans="1:16" x14ac:dyDescent="0.35">
      <c r="A146">
        <v>151</v>
      </c>
      <c r="B146" t="s">
        <v>52</v>
      </c>
      <c r="C146" t="s">
        <v>57</v>
      </c>
      <c r="D146">
        <v>36</v>
      </c>
      <c r="E146">
        <v>17.100000000000001</v>
      </c>
      <c r="F146">
        <v>187</v>
      </c>
      <c r="G146">
        <v>3700</v>
      </c>
      <c r="H146" t="s">
        <v>55</v>
      </c>
      <c r="I146">
        <v>2009</v>
      </c>
      <c r="L146" s="34">
        <v>146</v>
      </c>
      <c r="M146" s="35">
        <v>39</v>
      </c>
      <c r="N146" s="35"/>
      <c r="O146" s="35"/>
      <c r="P146" s="35">
        <v>39</v>
      </c>
    </row>
    <row r="147" spans="1:16" x14ac:dyDescent="0.35">
      <c r="A147">
        <v>152</v>
      </c>
      <c r="B147" t="s">
        <v>52</v>
      </c>
      <c r="C147" t="s">
        <v>57</v>
      </c>
      <c r="D147">
        <v>41.5</v>
      </c>
      <c r="E147">
        <v>18.5</v>
      </c>
      <c r="F147">
        <v>201</v>
      </c>
      <c r="G147">
        <v>4000</v>
      </c>
      <c r="H147" t="s">
        <v>54</v>
      </c>
      <c r="I147">
        <v>2009</v>
      </c>
      <c r="L147" s="34">
        <v>147</v>
      </c>
      <c r="M147" s="35">
        <v>39.200000000000003</v>
      </c>
      <c r="N147" s="35"/>
      <c r="O147" s="35"/>
      <c r="P147" s="35">
        <v>39.200000000000003</v>
      </c>
    </row>
    <row r="148" spans="1:16" x14ac:dyDescent="0.35">
      <c r="A148">
        <v>153</v>
      </c>
      <c r="B148" t="s">
        <v>58</v>
      </c>
      <c r="C148" t="s">
        <v>56</v>
      </c>
      <c r="D148">
        <v>46.1</v>
      </c>
      <c r="E148">
        <v>13.2</v>
      </c>
      <c r="F148">
        <v>211</v>
      </c>
      <c r="G148">
        <v>4500</v>
      </c>
      <c r="H148" t="s">
        <v>55</v>
      </c>
      <c r="I148">
        <v>2007</v>
      </c>
      <c r="L148" s="34">
        <v>148</v>
      </c>
      <c r="M148" s="35">
        <v>36.6</v>
      </c>
      <c r="N148" s="35"/>
      <c r="O148" s="35"/>
      <c r="P148" s="35">
        <v>36.6</v>
      </c>
    </row>
    <row r="149" spans="1:16" x14ac:dyDescent="0.35">
      <c r="A149">
        <v>154</v>
      </c>
      <c r="B149" t="s">
        <v>58</v>
      </c>
      <c r="C149" t="s">
        <v>56</v>
      </c>
      <c r="D149">
        <v>50</v>
      </c>
      <c r="E149">
        <v>16.3</v>
      </c>
      <c r="F149">
        <v>230</v>
      </c>
      <c r="G149">
        <v>5700</v>
      </c>
      <c r="H149" t="s">
        <v>54</v>
      </c>
      <c r="I149">
        <v>2007</v>
      </c>
      <c r="L149" s="34">
        <v>149</v>
      </c>
      <c r="M149" s="35">
        <v>36</v>
      </c>
      <c r="N149" s="35"/>
      <c r="O149" s="35"/>
      <c r="P149" s="35">
        <v>36</v>
      </c>
    </row>
    <row r="150" spans="1:16" x14ac:dyDescent="0.35">
      <c r="A150">
        <v>155</v>
      </c>
      <c r="B150" t="s">
        <v>58</v>
      </c>
      <c r="C150" t="s">
        <v>56</v>
      </c>
      <c r="D150">
        <v>48.7</v>
      </c>
      <c r="E150">
        <v>14.1</v>
      </c>
      <c r="F150">
        <v>210</v>
      </c>
      <c r="G150">
        <v>4450</v>
      </c>
      <c r="H150" t="s">
        <v>55</v>
      </c>
      <c r="I150">
        <v>2007</v>
      </c>
      <c r="L150" s="34">
        <v>150</v>
      </c>
      <c r="M150" s="35">
        <v>37.799999999999997</v>
      </c>
      <c r="N150" s="35"/>
      <c r="O150" s="35"/>
      <c r="P150" s="35">
        <v>37.799999999999997</v>
      </c>
    </row>
    <row r="151" spans="1:16" x14ac:dyDescent="0.35">
      <c r="A151">
        <v>156</v>
      </c>
      <c r="B151" t="s">
        <v>58</v>
      </c>
      <c r="C151" t="s">
        <v>56</v>
      </c>
      <c r="D151">
        <v>50</v>
      </c>
      <c r="E151">
        <v>15.2</v>
      </c>
      <c r="F151">
        <v>218</v>
      </c>
      <c r="G151">
        <v>5700</v>
      </c>
      <c r="H151" t="s">
        <v>54</v>
      </c>
      <c r="I151">
        <v>2007</v>
      </c>
      <c r="L151" s="34">
        <v>151</v>
      </c>
      <c r="M151" s="35">
        <v>36</v>
      </c>
      <c r="N151" s="35"/>
      <c r="O151" s="35"/>
      <c r="P151" s="35">
        <v>36</v>
      </c>
    </row>
    <row r="152" spans="1:16" x14ac:dyDescent="0.35">
      <c r="A152">
        <v>157</v>
      </c>
      <c r="B152" t="s">
        <v>58</v>
      </c>
      <c r="C152" t="s">
        <v>56</v>
      </c>
      <c r="D152">
        <v>47.6</v>
      </c>
      <c r="E152">
        <v>14.5</v>
      </c>
      <c r="F152">
        <v>215</v>
      </c>
      <c r="G152">
        <v>5400</v>
      </c>
      <c r="H152" t="s">
        <v>54</v>
      </c>
      <c r="I152">
        <v>2007</v>
      </c>
      <c r="L152" s="34">
        <v>152</v>
      </c>
      <c r="M152" s="35">
        <v>41.5</v>
      </c>
      <c r="N152" s="35"/>
      <c r="O152" s="35"/>
      <c r="P152" s="35">
        <v>41.5</v>
      </c>
    </row>
    <row r="153" spans="1:16" x14ac:dyDescent="0.35">
      <c r="A153">
        <v>158</v>
      </c>
      <c r="B153" t="s">
        <v>58</v>
      </c>
      <c r="C153" t="s">
        <v>56</v>
      </c>
      <c r="D153">
        <v>46.5</v>
      </c>
      <c r="E153">
        <v>13.5</v>
      </c>
      <c r="F153">
        <v>210</v>
      </c>
      <c r="G153">
        <v>4550</v>
      </c>
      <c r="H153" t="s">
        <v>55</v>
      </c>
      <c r="I153">
        <v>2007</v>
      </c>
      <c r="L153" s="34">
        <v>153</v>
      </c>
      <c r="M153" s="35"/>
      <c r="N153" s="35"/>
      <c r="O153" s="35">
        <v>46.1</v>
      </c>
      <c r="P153" s="35">
        <v>46.1</v>
      </c>
    </row>
    <row r="154" spans="1:16" x14ac:dyDescent="0.35">
      <c r="A154">
        <v>159</v>
      </c>
      <c r="B154" t="s">
        <v>58</v>
      </c>
      <c r="C154" t="s">
        <v>56</v>
      </c>
      <c r="D154">
        <v>45.4</v>
      </c>
      <c r="E154">
        <v>14.6</v>
      </c>
      <c r="F154">
        <v>211</v>
      </c>
      <c r="G154">
        <v>4800</v>
      </c>
      <c r="H154" t="s">
        <v>55</v>
      </c>
      <c r="I154">
        <v>2007</v>
      </c>
      <c r="L154" s="34">
        <v>154</v>
      </c>
      <c r="M154" s="35"/>
      <c r="N154" s="35"/>
      <c r="O154" s="35">
        <v>50</v>
      </c>
      <c r="P154" s="35">
        <v>50</v>
      </c>
    </row>
    <row r="155" spans="1:16" x14ac:dyDescent="0.35">
      <c r="A155">
        <v>160</v>
      </c>
      <c r="B155" t="s">
        <v>58</v>
      </c>
      <c r="C155" t="s">
        <v>56</v>
      </c>
      <c r="D155">
        <v>46.7</v>
      </c>
      <c r="E155">
        <v>15.3</v>
      </c>
      <c r="F155">
        <v>219</v>
      </c>
      <c r="G155">
        <v>5200</v>
      </c>
      <c r="H155" t="s">
        <v>54</v>
      </c>
      <c r="I155">
        <v>2007</v>
      </c>
      <c r="L155" s="34">
        <v>155</v>
      </c>
      <c r="M155" s="35"/>
      <c r="N155" s="35"/>
      <c r="O155" s="35">
        <v>48.7</v>
      </c>
      <c r="P155" s="35">
        <v>48.7</v>
      </c>
    </row>
    <row r="156" spans="1:16" x14ac:dyDescent="0.35">
      <c r="A156">
        <v>161</v>
      </c>
      <c r="B156" t="s">
        <v>58</v>
      </c>
      <c r="C156" t="s">
        <v>56</v>
      </c>
      <c r="D156">
        <v>43.3</v>
      </c>
      <c r="E156">
        <v>13.4</v>
      </c>
      <c r="F156">
        <v>209</v>
      </c>
      <c r="G156">
        <v>4400</v>
      </c>
      <c r="H156" t="s">
        <v>55</v>
      </c>
      <c r="I156">
        <v>2007</v>
      </c>
      <c r="L156" s="34">
        <v>156</v>
      </c>
      <c r="M156" s="35"/>
      <c r="N156" s="35"/>
      <c r="O156" s="35">
        <v>50</v>
      </c>
      <c r="P156" s="35">
        <v>50</v>
      </c>
    </row>
    <row r="157" spans="1:16" x14ac:dyDescent="0.35">
      <c r="A157">
        <v>162</v>
      </c>
      <c r="B157" t="s">
        <v>58</v>
      </c>
      <c r="C157" t="s">
        <v>56</v>
      </c>
      <c r="D157">
        <v>46.8</v>
      </c>
      <c r="E157">
        <v>15.4</v>
      </c>
      <c r="F157">
        <v>215</v>
      </c>
      <c r="G157">
        <v>5150</v>
      </c>
      <c r="H157" t="s">
        <v>54</v>
      </c>
      <c r="I157">
        <v>2007</v>
      </c>
      <c r="L157" s="34">
        <v>157</v>
      </c>
      <c r="M157" s="35"/>
      <c r="N157" s="35"/>
      <c r="O157" s="35">
        <v>47.6</v>
      </c>
      <c r="P157" s="35">
        <v>47.6</v>
      </c>
    </row>
    <row r="158" spans="1:16" x14ac:dyDescent="0.35">
      <c r="A158">
        <v>163</v>
      </c>
      <c r="B158" t="s">
        <v>58</v>
      </c>
      <c r="C158" t="s">
        <v>56</v>
      </c>
      <c r="D158">
        <v>40.9</v>
      </c>
      <c r="E158">
        <v>13.7</v>
      </c>
      <c r="F158">
        <v>214</v>
      </c>
      <c r="G158">
        <v>4650</v>
      </c>
      <c r="H158" t="s">
        <v>55</v>
      </c>
      <c r="I158">
        <v>2007</v>
      </c>
      <c r="L158" s="34">
        <v>158</v>
      </c>
      <c r="M158" s="35"/>
      <c r="N158" s="35"/>
      <c r="O158" s="35">
        <v>46.5</v>
      </c>
      <c r="P158" s="35">
        <v>46.5</v>
      </c>
    </row>
    <row r="159" spans="1:16" x14ac:dyDescent="0.35">
      <c r="A159">
        <v>164</v>
      </c>
      <c r="B159" t="s">
        <v>58</v>
      </c>
      <c r="C159" t="s">
        <v>56</v>
      </c>
      <c r="D159">
        <v>49</v>
      </c>
      <c r="E159">
        <v>16.100000000000001</v>
      </c>
      <c r="F159">
        <v>216</v>
      </c>
      <c r="G159">
        <v>5550</v>
      </c>
      <c r="H159" t="s">
        <v>54</v>
      </c>
      <c r="I159">
        <v>2007</v>
      </c>
      <c r="L159" s="34">
        <v>159</v>
      </c>
      <c r="M159" s="35"/>
      <c r="N159" s="35"/>
      <c r="O159" s="35">
        <v>45.4</v>
      </c>
      <c r="P159" s="35">
        <v>45.4</v>
      </c>
    </row>
    <row r="160" spans="1:16" x14ac:dyDescent="0.35">
      <c r="A160">
        <v>165</v>
      </c>
      <c r="B160" t="s">
        <v>58</v>
      </c>
      <c r="C160" t="s">
        <v>56</v>
      </c>
      <c r="D160">
        <v>45.5</v>
      </c>
      <c r="E160">
        <v>13.7</v>
      </c>
      <c r="F160">
        <v>214</v>
      </c>
      <c r="G160">
        <v>4650</v>
      </c>
      <c r="H160" t="s">
        <v>55</v>
      </c>
      <c r="I160">
        <v>2007</v>
      </c>
      <c r="L160" s="34">
        <v>160</v>
      </c>
      <c r="M160" s="35"/>
      <c r="N160" s="35"/>
      <c r="O160" s="35">
        <v>46.7</v>
      </c>
      <c r="P160" s="35">
        <v>46.7</v>
      </c>
    </row>
    <row r="161" spans="1:16" x14ac:dyDescent="0.35">
      <c r="A161">
        <v>166</v>
      </c>
      <c r="B161" t="s">
        <v>58</v>
      </c>
      <c r="C161" t="s">
        <v>56</v>
      </c>
      <c r="D161">
        <v>48.4</v>
      </c>
      <c r="E161">
        <v>14.6</v>
      </c>
      <c r="F161">
        <v>213</v>
      </c>
      <c r="G161">
        <v>5850</v>
      </c>
      <c r="H161" t="s">
        <v>54</v>
      </c>
      <c r="I161">
        <v>2007</v>
      </c>
      <c r="L161" s="34">
        <v>161</v>
      </c>
      <c r="M161" s="35"/>
      <c r="N161" s="35"/>
      <c r="O161" s="35">
        <v>43.3</v>
      </c>
      <c r="P161" s="35">
        <v>43.3</v>
      </c>
    </row>
    <row r="162" spans="1:16" x14ac:dyDescent="0.35">
      <c r="A162">
        <v>167</v>
      </c>
      <c r="B162" t="s">
        <v>58</v>
      </c>
      <c r="C162" t="s">
        <v>56</v>
      </c>
      <c r="D162">
        <v>45.8</v>
      </c>
      <c r="E162">
        <v>14.6</v>
      </c>
      <c r="F162">
        <v>210</v>
      </c>
      <c r="G162">
        <v>4200</v>
      </c>
      <c r="H162" t="s">
        <v>55</v>
      </c>
      <c r="I162">
        <v>2007</v>
      </c>
      <c r="L162" s="34">
        <v>162</v>
      </c>
      <c r="M162" s="35"/>
      <c r="N162" s="35"/>
      <c r="O162" s="35">
        <v>46.8</v>
      </c>
      <c r="P162" s="35">
        <v>46.8</v>
      </c>
    </row>
    <row r="163" spans="1:16" x14ac:dyDescent="0.35">
      <c r="A163">
        <v>168</v>
      </c>
      <c r="B163" t="s">
        <v>58</v>
      </c>
      <c r="C163" t="s">
        <v>56</v>
      </c>
      <c r="D163">
        <v>49.3</v>
      </c>
      <c r="E163">
        <v>15.7</v>
      </c>
      <c r="F163">
        <v>217</v>
      </c>
      <c r="G163">
        <v>5850</v>
      </c>
      <c r="H163" t="s">
        <v>54</v>
      </c>
      <c r="I163">
        <v>2007</v>
      </c>
      <c r="L163" s="34">
        <v>163</v>
      </c>
      <c r="M163" s="35"/>
      <c r="N163" s="35"/>
      <c r="O163" s="35">
        <v>40.9</v>
      </c>
      <c r="P163" s="35">
        <v>40.9</v>
      </c>
    </row>
    <row r="164" spans="1:16" x14ac:dyDescent="0.35">
      <c r="A164">
        <v>169</v>
      </c>
      <c r="B164" t="s">
        <v>58</v>
      </c>
      <c r="C164" t="s">
        <v>56</v>
      </c>
      <c r="D164">
        <v>42</v>
      </c>
      <c r="E164">
        <v>13.5</v>
      </c>
      <c r="F164">
        <v>210</v>
      </c>
      <c r="G164">
        <v>4150</v>
      </c>
      <c r="H164" t="s">
        <v>55</v>
      </c>
      <c r="I164">
        <v>2007</v>
      </c>
      <c r="L164" s="34">
        <v>164</v>
      </c>
      <c r="M164" s="35"/>
      <c r="N164" s="35"/>
      <c r="O164" s="35">
        <v>49</v>
      </c>
      <c r="P164" s="35">
        <v>49</v>
      </c>
    </row>
    <row r="165" spans="1:16" x14ac:dyDescent="0.35">
      <c r="A165">
        <v>170</v>
      </c>
      <c r="B165" t="s">
        <v>58</v>
      </c>
      <c r="C165" t="s">
        <v>56</v>
      </c>
      <c r="D165">
        <v>49.2</v>
      </c>
      <c r="E165">
        <v>15.2</v>
      </c>
      <c r="F165">
        <v>221</v>
      </c>
      <c r="G165">
        <v>6300</v>
      </c>
      <c r="H165" t="s">
        <v>54</v>
      </c>
      <c r="I165">
        <v>2007</v>
      </c>
      <c r="L165" s="34">
        <v>165</v>
      </c>
      <c r="M165" s="35"/>
      <c r="N165" s="35"/>
      <c r="O165" s="35">
        <v>45.5</v>
      </c>
      <c r="P165" s="35">
        <v>45.5</v>
      </c>
    </row>
    <row r="166" spans="1:16" x14ac:dyDescent="0.35">
      <c r="A166">
        <v>171</v>
      </c>
      <c r="B166" t="s">
        <v>58</v>
      </c>
      <c r="C166" t="s">
        <v>56</v>
      </c>
      <c r="D166">
        <v>46.2</v>
      </c>
      <c r="E166">
        <v>14.5</v>
      </c>
      <c r="F166">
        <v>209</v>
      </c>
      <c r="G166">
        <v>4800</v>
      </c>
      <c r="H166" t="s">
        <v>55</v>
      </c>
      <c r="I166">
        <v>2007</v>
      </c>
      <c r="L166" s="34">
        <v>166</v>
      </c>
      <c r="M166" s="35"/>
      <c r="N166" s="35"/>
      <c r="O166" s="35">
        <v>48.4</v>
      </c>
      <c r="P166" s="35">
        <v>48.4</v>
      </c>
    </row>
    <row r="167" spans="1:16" x14ac:dyDescent="0.35">
      <c r="A167">
        <v>172</v>
      </c>
      <c r="B167" t="s">
        <v>58</v>
      </c>
      <c r="C167" t="s">
        <v>56</v>
      </c>
      <c r="D167">
        <v>48.7</v>
      </c>
      <c r="E167">
        <v>15.1</v>
      </c>
      <c r="F167">
        <v>222</v>
      </c>
      <c r="G167">
        <v>5350</v>
      </c>
      <c r="H167" t="s">
        <v>54</v>
      </c>
      <c r="I167">
        <v>2007</v>
      </c>
      <c r="L167" s="34">
        <v>167</v>
      </c>
      <c r="M167" s="35"/>
      <c r="N167" s="35"/>
      <c r="O167" s="35">
        <v>45.8</v>
      </c>
      <c r="P167" s="35">
        <v>45.8</v>
      </c>
    </row>
    <row r="168" spans="1:16" x14ac:dyDescent="0.35">
      <c r="A168">
        <v>173</v>
      </c>
      <c r="B168" t="s">
        <v>58</v>
      </c>
      <c r="C168" t="s">
        <v>56</v>
      </c>
      <c r="D168">
        <v>50.2</v>
      </c>
      <c r="E168">
        <v>14.3</v>
      </c>
      <c r="F168">
        <v>218</v>
      </c>
      <c r="G168">
        <v>5700</v>
      </c>
      <c r="H168" t="s">
        <v>54</v>
      </c>
      <c r="I168">
        <v>2007</v>
      </c>
      <c r="L168" s="34">
        <v>168</v>
      </c>
      <c r="M168" s="35"/>
      <c r="N168" s="35"/>
      <c r="O168" s="35">
        <v>49.3</v>
      </c>
      <c r="P168" s="35">
        <v>49.3</v>
      </c>
    </row>
    <row r="169" spans="1:16" x14ac:dyDescent="0.35">
      <c r="A169">
        <v>174</v>
      </c>
      <c r="B169" t="s">
        <v>58</v>
      </c>
      <c r="C169" t="s">
        <v>56</v>
      </c>
      <c r="D169">
        <v>45.1</v>
      </c>
      <c r="E169">
        <v>14.5</v>
      </c>
      <c r="F169">
        <v>215</v>
      </c>
      <c r="G169">
        <v>5000</v>
      </c>
      <c r="H169" t="s">
        <v>55</v>
      </c>
      <c r="I169">
        <v>2007</v>
      </c>
      <c r="L169" s="34">
        <v>169</v>
      </c>
      <c r="M169" s="35"/>
      <c r="N169" s="35"/>
      <c r="O169" s="35">
        <v>42</v>
      </c>
      <c r="P169" s="35">
        <v>42</v>
      </c>
    </row>
    <row r="170" spans="1:16" x14ac:dyDescent="0.35">
      <c r="A170">
        <v>175</v>
      </c>
      <c r="B170" t="s">
        <v>58</v>
      </c>
      <c r="C170" t="s">
        <v>56</v>
      </c>
      <c r="D170">
        <v>46.5</v>
      </c>
      <c r="E170">
        <v>14.5</v>
      </c>
      <c r="F170">
        <v>213</v>
      </c>
      <c r="G170">
        <v>4400</v>
      </c>
      <c r="H170" t="s">
        <v>55</v>
      </c>
      <c r="I170">
        <v>2007</v>
      </c>
      <c r="L170" s="34">
        <v>170</v>
      </c>
      <c r="M170" s="35"/>
      <c r="N170" s="35"/>
      <c r="O170" s="35">
        <v>49.2</v>
      </c>
      <c r="P170" s="35">
        <v>49.2</v>
      </c>
    </row>
    <row r="171" spans="1:16" x14ac:dyDescent="0.35">
      <c r="A171">
        <v>176</v>
      </c>
      <c r="B171" t="s">
        <v>58</v>
      </c>
      <c r="C171" t="s">
        <v>56</v>
      </c>
      <c r="D171">
        <v>46.3</v>
      </c>
      <c r="E171">
        <v>15.8</v>
      </c>
      <c r="F171">
        <v>215</v>
      </c>
      <c r="G171">
        <v>5050</v>
      </c>
      <c r="H171" t="s">
        <v>54</v>
      </c>
      <c r="I171">
        <v>2007</v>
      </c>
      <c r="L171" s="34">
        <v>171</v>
      </c>
      <c r="M171" s="35"/>
      <c r="N171" s="35"/>
      <c r="O171" s="35">
        <v>46.2</v>
      </c>
      <c r="P171" s="35">
        <v>46.2</v>
      </c>
    </row>
    <row r="172" spans="1:16" x14ac:dyDescent="0.35">
      <c r="A172">
        <v>177</v>
      </c>
      <c r="B172" t="s">
        <v>58</v>
      </c>
      <c r="C172" t="s">
        <v>56</v>
      </c>
      <c r="D172">
        <v>42.9</v>
      </c>
      <c r="E172">
        <v>13.1</v>
      </c>
      <c r="F172">
        <v>215</v>
      </c>
      <c r="G172">
        <v>5000</v>
      </c>
      <c r="H172" t="s">
        <v>55</v>
      </c>
      <c r="I172">
        <v>2007</v>
      </c>
      <c r="L172" s="34">
        <v>172</v>
      </c>
      <c r="M172" s="35"/>
      <c r="N172" s="35"/>
      <c r="O172" s="35">
        <v>48.7</v>
      </c>
      <c r="P172" s="35">
        <v>48.7</v>
      </c>
    </row>
    <row r="173" spans="1:16" x14ac:dyDescent="0.35">
      <c r="A173">
        <v>178</v>
      </c>
      <c r="B173" t="s">
        <v>58</v>
      </c>
      <c r="C173" t="s">
        <v>56</v>
      </c>
      <c r="D173">
        <v>46.1</v>
      </c>
      <c r="E173">
        <v>15.1</v>
      </c>
      <c r="F173">
        <v>215</v>
      </c>
      <c r="G173">
        <v>5100</v>
      </c>
      <c r="H173" t="s">
        <v>54</v>
      </c>
      <c r="I173">
        <v>2007</v>
      </c>
      <c r="L173" s="34">
        <v>173</v>
      </c>
      <c r="M173" s="35"/>
      <c r="N173" s="35"/>
      <c r="O173" s="35">
        <v>50.2</v>
      </c>
      <c r="P173" s="35">
        <v>50.2</v>
      </c>
    </row>
    <row r="174" spans="1:16" x14ac:dyDescent="0.35">
      <c r="A174">
        <v>180</v>
      </c>
      <c r="B174" t="s">
        <v>58</v>
      </c>
      <c r="C174" t="s">
        <v>56</v>
      </c>
      <c r="D174">
        <v>47.8</v>
      </c>
      <c r="E174">
        <v>15</v>
      </c>
      <c r="F174">
        <v>215</v>
      </c>
      <c r="G174">
        <v>5650</v>
      </c>
      <c r="H174" t="s">
        <v>54</v>
      </c>
      <c r="I174">
        <v>2007</v>
      </c>
      <c r="L174" s="34">
        <v>174</v>
      </c>
      <c r="M174" s="35"/>
      <c r="N174" s="35"/>
      <c r="O174" s="35">
        <v>45.1</v>
      </c>
      <c r="P174" s="35">
        <v>45.1</v>
      </c>
    </row>
    <row r="175" spans="1:16" x14ac:dyDescent="0.35">
      <c r="A175">
        <v>181</v>
      </c>
      <c r="B175" t="s">
        <v>58</v>
      </c>
      <c r="C175" t="s">
        <v>56</v>
      </c>
      <c r="D175">
        <v>48.2</v>
      </c>
      <c r="E175">
        <v>14.3</v>
      </c>
      <c r="F175">
        <v>210</v>
      </c>
      <c r="G175">
        <v>4600</v>
      </c>
      <c r="H175" t="s">
        <v>55</v>
      </c>
      <c r="I175">
        <v>2007</v>
      </c>
      <c r="L175" s="34">
        <v>175</v>
      </c>
      <c r="M175" s="35"/>
      <c r="N175" s="35"/>
      <c r="O175" s="35">
        <v>46.5</v>
      </c>
      <c r="P175" s="35">
        <v>46.5</v>
      </c>
    </row>
    <row r="176" spans="1:16" x14ac:dyDescent="0.35">
      <c r="A176">
        <v>182</v>
      </c>
      <c r="B176" t="s">
        <v>58</v>
      </c>
      <c r="C176" t="s">
        <v>56</v>
      </c>
      <c r="D176">
        <v>50</v>
      </c>
      <c r="E176">
        <v>15.3</v>
      </c>
      <c r="F176">
        <v>220</v>
      </c>
      <c r="G176">
        <v>5550</v>
      </c>
      <c r="H176" t="s">
        <v>54</v>
      </c>
      <c r="I176">
        <v>2007</v>
      </c>
      <c r="L176" s="34">
        <v>176</v>
      </c>
      <c r="M176" s="35"/>
      <c r="N176" s="35"/>
      <c r="O176" s="35">
        <v>46.3</v>
      </c>
      <c r="P176" s="35">
        <v>46.3</v>
      </c>
    </row>
    <row r="177" spans="1:16" x14ac:dyDescent="0.35">
      <c r="A177">
        <v>183</v>
      </c>
      <c r="B177" t="s">
        <v>58</v>
      </c>
      <c r="C177" t="s">
        <v>56</v>
      </c>
      <c r="D177">
        <v>47.3</v>
      </c>
      <c r="E177">
        <v>15.3</v>
      </c>
      <c r="F177">
        <v>222</v>
      </c>
      <c r="G177">
        <v>5250</v>
      </c>
      <c r="H177" t="s">
        <v>54</v>
      </c>
      <c r="I177">
        <v>2007</v>
      </c>
      <c r="L177" s="34">
        <v>177</v>
      </c>
      <c r="M177" s="35"/>
      <c r="N177" s="35"/>
      <c r="O177" s="35">
        <v>42.9</v>
      </c>
      <c r="P177" s="35">
        <v>42.9</v>
      </c>
    </row>
    <row r="178" spans="1:16" x14ac:dyDescent="0.35">
      <c r="A178">
        <v>184</v>
      </c>
      <c r="B178" t="s">
        <v>58</v>
      </c>
      <c r="C178" t="s">
        <v>56</v>
      </c>
      <c r="D178">
        <v>42.8</v>
      </c>
      <c r="E178">
        <v>14.2</v>
      </c>
      <c r="F178">
        <v>209</v>
      </c>
      <c r="G178">
        <v>4700</v>
      </c>
      <c r="H178" t="s">
        <v>55</v>
      </c>
      <c r="I178">
        <v>2007</v>
      </c>
      <c r="L178" s="34">
        <v>178</v>
      </c>
      <c r="M178" s="35"/>
      <c r="N178" s="35"/>
      <c r="O178" s="35">
        <v>46.1</v>
      </c>
      <c r="P178" s="35">
        <v>46.1</v>
      </c>
    </row>
    <row r="179" spans="1:16" x14ac:dyDescent="0.35">
      <c r="A179">
        <v>185</v>
      </c>
      <c r="B179" t="s">
        <v>58</v>
      </c>
      <c r="C179" t="s">
        <v>56</v>
      </c>
      <c r="D179">
        <v>45.1</v>
      </c>
      <c r="E179">
        <v>14.5</v>
      </c>
      <c r="F179">
        <v>207</v>
      </c>
      <c r="G179">
        <v>5050</v>
      </c>
      <c r="H179" t="s">
        <v>55</v>
      </c>
      <c r="I179">
        <v>2007</v>
      </c>
      <c r="L179" s="34">
        <v>180</v>
      </c>
      <c r="M179" s="35"/>
      <c r="N179" s="35"/>
      <c r="O179" s="35">
        <v>47.8</v>
      </c>
      <c r="P179" s="35">
        <v>47.8</v>
      </c>
    </row>
    <row r="180" spans="1:16" x14ac:dyDescent="0.35">
      <c r="A180">
        <v>186</v>
      </c>
      <c r="B180" t="s">
        <v>58</v>
      </c>
      <c r="C180" t="s">
        <v>56</v>
      </c>
      <c r="D180">
        <v>59.6</v>
      </c>
      <c r="E180">
        <v>17</v>
      </c>
      <c r="F180">
        <v>230</v>
      </c>
      <c r="G180">
        <v>6050</v>
      </c>
      <c r="H180" t="s">
        <v>54</v>
      </c>
      <c r="I180">
        <v>2007</v>
      </c>
      <c r="L180" s="34">
        <v>181</v>
      </c>
      <c r="M180" s="35"/>
      <c r="N180" s="35"/>
      <c r="O180" s="35">
        <v>48.2</v>
      </c>
      <c r="P180" s="35">
        <v>48.2</v>
      </c>
    </row>
    <row r="181" spans="1:16" x14ac:dyDescent="0.35">
      <c r="A181">
        <v>187</v>
      </c>
      <c r="B181" t="s">
        <v>58</v>
      </c>
      <c r="C181" t="s">
        <v>56</v>
      </c>
      <c r="D181">
        <v>49.1</v>
      </c>
      <c r="E181">
        <v>14.8</v>
      </c>
      <c r="F181">
        <v>220</v>
      </c>
      <c r="G181">
        <v>5150</v>
      </c>
      <c r="H181" t="s">
        <v>55</v>
      </c>
      <c r="I181">
        <v>2008</v>
      </c>
      <c r="L181" s="34">
        <v>182</v>
      </c>
      <c r="M181" s="35"/>
      <c r="N181" s="35"/>
      <c r="O181" s="35">
        <v>50</v>
      </c>
      <c r="P181" s="35">
        <v>50</v>
      </c>
    </row>
    <row r="182" spans="1:16" x14ac:dyDescent="0.35">
      <c r="A182">
        <v>188</v>
      </c>
      <c r="B182" t="s">
        <v>58</v>
      </c>
      <c r="C182" t="s">
        <v>56</v>
      </c>
      <c r="D182">
        <v>48.4</v>
      </c>
      <c r="E182">
        <v>16.3</v>
      </c>
      <c r="F182">
        <v>220</v>
      </c>
      <c r="G182">
        <v>5400</v>
      </c>
      <c r="H182" t="s">
        <v>54</v>
      </c>
      <c r="I182">
        <v>2008</v>
      </c>
      <c r="L182" s="34">
        <v>183</v>
      </c>
      <c r="M182" s="35"/>
      <c r="N182" s="35"/>
      <c r="O182" s="35">
        <v>47.3</v>
      </c>
      <c r="P182" s="35">
        <v>47.3</v>
      </c>
    </row>
    <row r="183" spans="1:16" x14ac:dyDescent="0.35">
      <c r="A183">
        <v>189</v>
      </c>
      <c r="B183" t="s">
        <v>58</v>
      </c>
      <c r="C183" t="s">
        <v>56</v>
      </c>
      <c r="D183">
        <v>42.6</v>
      </c>
      <c r="E183">
        <v>13.7</v>
      </c>
      <c r="F183">
        <v>213</v>
      </c>
      <c r="G183">
        <v>4950</v>
      </c>
      <c r="H183" t="s">
        <v>55</v>
      </c>
      <c r="I183">
        <v>2008</v>
      </c>
      <c r="L183" s="34">
        <v>184</v>
      </c>
      <c r="M183" s="35"/>
      <c r="N183" s="35"/>
      <c r="O183" s="35">
        <v>42.8</v>
      </c>
      <c r="P183" s="35">
        <v>42.8</v>
      </c>
    </row>
    <row r="184" spans="1:16" x14ac:dyDescent="0.35">
      <c r="A184">
        <v>190</v>
      </c>
      <c r="B184" t="s">
        <v>58</v>
      </c>
      <c r="C184" t="s">
        <v>56</v>
      </c>
      <c r="D184">
        <v>44.4</v>
      </c>
      <c r="E184">
        <v>17.3</v>
      </c>
      <c r="F184">
        <v>219</v>
      </c>
      <c r="G184">
        <v>5250</v>
      </c>
      <c r="H184" t="s">
        <v>54</v>
      </c>
      <c r="I184">
        <v>2008</v>
      </c>
      <c r="L184" s="34">
        <v>185</v>
      </c>
      <c r="M184" s="35"/>
      <c r="N184" s="35"/>
      <c r="O184" s="35">
        <v>45.1</v>
      </c>
      <c r="P184" s="35">
        <v>45.1</v>
      </c>
    </row>
    <row r="185" spans="1:16" x14ac:dyDescent="0.35">
      <c r="A185">
        <v>191</v>
      </c>
      <c r="B185" t="s">
        <v>58</v>
      </c>
      <c r="C185" t="s">
        <v>56</v>
      </c>
      <c r="D185">
        <v>44</v>
      </c>
      <c r="E185">
        <v>13.6</v>
      </c>
      <c r="F185">
        <v>208</v>
      </c>
      <c r="G185">
        <v>4350</v>
      </c>
      <c r="H185" t="s">
        <v>55</v>
      </c>
      <c r="I185">
        <v>2008</v>
      </c>
      <c r="L185" s="34">
        <v>186</v>
      </c>
      <c r="M185" s="35"/>
      <c r="N185" s="35"/>
      <c r="O185" s="35">
        <v>59.6</v>
      </c>
      <c r="P185" s="35">
        <v>59.6</v>
      </c>
    </row>
    <row r="186" spans="1:16" x14ac:dyDescent="0.35">
      <c r="A186">
        <v>192</v>
      </c>
      <c r="B186" t="s">
        <v>58</v>
      </c>
      <c r="C186" t="s">
        <v>56</v>
      </c>
      <c r="D186">
        <v>48.7</v>
      </c>
      <c r="E186">
        <v>15.7</v>
      </c>
      <c r="F186">
        <v>208</v>
      </c>
      <c r="G186">
        <v>5350</v>
      </c>
      <c r="H186" t="s">
        <v>54</v>
      </c>
      <c r="I186">
        <v>2008</v>
      </c>
      <c r="L186" s="34">
        <v>187</v>
      </c>
      <c r="M186" s="35"/>
      <c r="N186" s="35"/>
      <c r="O186" s="35">
        <v>49.1</v>
      </c>
      <c r="P186" s="35">
        <v>49.1</v>
      </c>
    </row>
    <row r="187" spans="1:16" x14ac:dyDescent="0.35">
      <c r="A187">
        <v>193</v>
      </c>
      <c r="B187" t="s">
        <v>58</v>
      </c>
      <c r="C187" t="s">
        <v>56</v>
      </c>
      <c r="D187">
        <v>42.7</v>
      </c>
      <c r="E187">
        <v>13.7</v>
      </c>
      <c r="F187">
        <v>208</v>
      </c>
      <c r="G187">
        <v>3950</v>
      </c>
      <c r="H187" t="s">
        <v>55</v>
      </c>
      <c r="I187">
        <v>2008</v>
      </c>
      <c r="L187" s="34">
        <v>188</v>
      </c>
      <c r="M187" s="35"/>
      <c r="N187" s="35"/>
      <c r="O187" s="35">
        <v>48.4</v>
      </c>
      <c r="P187" s="35">
        <v>48.4</v>
      </c>
    </row>
    <row r="188" spans="1:16" x14ac:dyDescent="0.35">
      <c r="A188">
        <v>194</v>
      </c>
      <c r="B188" t="s">
        <v>58</v>
      </c>
      <c r="C188" t="s">
        <v>56</v>
      </c>
      <c r="D188">
        <v>49.6</v>
      </c>
      <c r="E188">
        <v>16</v>
      </c>
      <c r="F188">
        <v>225</v>
      </c>
      <c r="G188">
        <v>5700</v>
      </c>
      <c r="H188" t="s">
        <v>54</v>
      </c>
      <c r="I188">
        <v>2008</v>
      </c>
      <c r="L188" s="34">
        <v>189</v>
      </c>
      <c r="M188" s="35"/>
      <c r="N188" s="35"/>
      <c r="O188" s="35">
        <v>42.6</v>
      </c>
      <c r="P188" s="35">
        <v>42.6</v>
      </c>
    </row>
    <row r="189" spans="1:16" x14ac:dyDescent="0.35">
      <c r="A189">
        <v>195</v>
      </c>
      <c r="B189" t="s">
        <v>58</v>
      </c>
      <c r="C189" t="s">
        <v>56</v>
      </c>
      <c r="D189">
        <v>45.3</v>
      </c>
      <c r="E189">
        <v>13.7</v>
      </c>
      <c r="F189">
        <v>210</v>
      </c>
      <c r="G189">
        <v>4300</v>
      </c>
      <c r="H189" t="s">
        <v>55</v>
      </c>
      <c r="I189">
        <v>2008</v>
      </c>
      <c r="L189" s="34">
        <v>190</v>
      </c>
      <c r="M189" s="35"/>
      <c r="N189" s="35"/>
      <c r="O189" s="35">
        <v>44.4</v>
      </c>
      <c r="P189" s="35">
        <v>44.4</v>
      </c>
    </row>
    <row r="190" spans="1:16" x14ac:dyDescent="0.35">
      <c r="A190">
        <v>196</v>
      </c>
      <c r="B190" t="s">
        <v>58</v>
      </c>
      <c r="C190" t="s">
        <v>56</v>
      </c>
      <c r="D190">
        <v>49.6</v>
      </c>
      <c r="E190">
        <v>15</v>
      </c>
      <c r="F190">
        <v>216</v>
      </c>
      <c r="G190">
        <v>4750</v>
      </c>
      <c r="H190" t="s">
        <v>54</v>
      </c>
      <c r="I190">
        <v>2008</v>
      </c>
      <c r="L190" s="34">
        <v>191</v>
      </c>
      <c r="M190" s="35"/>
      <c r="N190" s="35"/>
      <c r="O190" s="35">
        <v>44</v>
      </c>
      <c r="P190" s="35">
        <v>44</v>
      </c>
    </row>
    <row r="191" spans="1:16" x14ac:dyDescent="0.35">
      <c r="A191">
        <v>197</v>
      </c>
      <c r="B191" t="s">
        <v>58</v>
      </c>
      <c r="C191" t="s">
        <v>56</v>
      </c>
      <c r="D191">
        <v>50.5</v>
      </c>
      <c r="E191">
        <v>15.9</v>
      </c>
      <c r="F191">
        <v>222</v>
      </c>
      <c r="G191">
        <v>5550</v>
      </c>
      <c r="H191" t="s">
        <v>54</v>
      </c>
      <c r="I191">
        <v>2008</v>
      </c>
      <c r="L191" s="34">
        <v>192</v>
      </c>
      <c r="M191" s="35"/>
      <c r="N191" s="35"/>
      <c r="O191" s="35">
        <v>48.7</v>
      </c>
      <c r="P191" s="35">
        <v>48.7</v>
      </c>
    </row>
    <row r="192" spans="1:16" x14ac:dyDescent="0.35">
      <c r="A192">
        <v>198</v>
      </c>
      <c r="B192" t="s">
        <v>58</v>
      </c>
      <c r="C192" t="s">
        <v>56</v>
      </c>
      <c r="D192">
        <v>43.6</v>
      </c>
      <c r="E192">
        <v>13.9</v>
      </c>
      <c r="F192">
        <v>217</v>
      </c>
      <c r="G192">
        <v>4900</v>
      </c>
      <c r="H192" t="s">
        <v>55</v>
      </c>
      <c r="I192">
        <v>2008</v>
      </c>
      <c r="L192" s="34">
        <v>193</v>
      </c>
      <c r="M192" s="35"/>
      <c r="N192" s="35"/>
      <c r="O192" s="35">
        <v>42.7</v>
      </c>
      <c r="P192" s="35">
        <v>42.7</v>
      </c>
    </row>
    <row r="193" spans="1:16" x14ac:dyDescent="0.35">
      <c r="A193">
        <v>199</v>
      </c>
      <c r="B193" t="s">
        <v>58</v>
      </c>
      <c r="C193" t="s">
        <v>56</v>
      </c>
      <c r="D193">
        <v>45.5</v>
      </c>
      <c r="E193">
        <v>13.9</v>
      </c>
      <c r="F193">
        <v>210</v>
      </c>
      <c r="G193">
        <v>4200</v>
      </c>
      <c r="H193" t="s">
        <v>55</v>
      </c>
      <c r="I193">
        <v>2008</v>
      </c>
      <c r="L193" s="34">
        <v>194</v>
      </c>
      <c r="M193" s="35"/>
      <c r="N193" s="35"/>
      <c r="O193" s="35">
        <v>49.6</v>
      </c>
      <c r="P193" s="35">
        <v>49.6</v>
      </c>
    </row>
    <row r="194" spans="1:16" x14ac:dyDescent="0.35">
      <c r="A194">
        <v>200</v>
      </c>
      <c r="B194" t="s">
        <v>58</v>
      </c>
      <c r="C194" t="s">
        <v>56</v>
      </c>
      <c r="D194">
        <v>50.5</v>
      </c>
      <c r="E194">
        <v>15.9</v>
      </c>
      <c r="F194">
        <v>225</v>
      </c>
      <c r="G194">
        <v>5400</v>
      </c>
      <c r="H194" t="s">
        <v>54</v>
      </c>
      <c r="I194">
        <v>2008</v>
      </c>
      <c r="L194" s="34">
        <v>195</v>
      </c>
      <c r="M194" s="35"/>
      <c r="N194" s="35"/>
      <c r="O194" s="35">
        <v>45.3</v>
      </c>
      <c r="P194" s="35">
        <v>45.3</v>
      </c>
    </row>
    <row r="195" spans="1:16" x14ac:dyDescent="0.35">
      <c r="A195">
        <v>201</v>
      </c>
      <c r="B195" t="s">
        <v>58</v>
      </c>
      <c r="C195" t="s">
        <v>56</v>
      </c>
      <c r="D195">
        <v>44.9</v>
      </c>
      <c r="E195">
        <v>13.3</v>
      </c>
      <c r="F195">
        <v>213</v>
      </c>
      <c r="G195">
        <v>5100</v>
      </c>
      <c r="H195" t="s">
        <v>55</v>
      </c>
      <c r="I195">
        <v>2008</v>
      </c>
      <c r="L195" s="34">
        <v>196</v>
      </c>
      <c r="M195" s="35"/>
      <c r="N195" s="35"/>
      <c r="O195" s="35">
        <v>49.6</v>
      </c>
      <c r="P195" s="35">
        <v>49.6</v>
      </c>
    </row>
    <row r="196" spans="1:16" x14ac:dyDescent="0.35">
      <c r="A196">
        <v>202</v>
      </c>
      <c r="B196" t="s">
        <v>58</v>
      </c>
      <c r="C196" t="s">
        <v>56</v>
      </c>
      <c r="D196">
        <v>45.2</v>
      </c>
      <c r="E196">
        <v>15.8</v>
      </c>
      <c r="F196">
        <v>215</v>
      </c>
      <c r="G196">
        <v>5300</v>
      </c>
      <c r="H196" t="s">
        <v>54</v>
      </c>
      <c r="I196">
        <v>2008</v>
      </c>
      <c r="L196" s="34">
        <v>197</v>
      </c>
      <c r="M196" s="35"/>
      <c r="N196" s="35"/>
      <c r="O196" s="35">
        <v>50.5</v>
      </c>
      <c r="P196" s="35">
        <v>50.5</v>
      </c>
    </row>
    <row r="197" spans="1:16" x14ac:dyDescent="0.35">
      <c r="A197">
        <v>203</v>
      </c>
      <c r="B197" t="s">
        <v>58</v>
      </c>
      <c r="C197" t="s">
        <v>56</v>
      </c>
      <c r="D197">
        <v>46.6</v>
      </c>
      <c r="E197">
        <v>14.2</v>
      </c>
      <c r="F197">
        <v>210</v>
      </c>
      <c r="G197">
        <v>4850</v>
      </c>
      <c r="H197" t="s">
        <v>55</v>
      </c>
      <c r="I197">
        <v>2008</v>
      </c>
      <c r="L197" s="34">
        <v>198</v>
      </c>
      <c r="M197" s="35"/>
      <c r="N197" s="35"/>
      <c r="O197" s="35">
        <v>43.6</v>
      </c>
      <c r="P197" s="35">
        <v>43.6</v>
      </c>
    </row>
    <row r="198" spans="1:16" x14ac:dyDescent="0.35">
      <c r="A198">
        <v>204</v>
      </c>
      <c r="B198" t="s">
        <v>58</v>
      </c>
      <c r="C198" t="s">
        <v>56</v>
      </c>
      <c r="D198">
        <v>48.5</v>
      </c>
      <c r="E198">
        <v>14.1</v>
      </c>
      <c r="F198">
        <v>220</v>
      </c>
      <c r="G198">
        <v>5300</v>
      </c>
      <c r="H198" t="s">
        <v>54</v>
      </c>
      <c r="I198">
        <v>2008</v>
      </c>
      <c r="L198" s="34">
        <v>199</v>
      </c>
      <c r="M198" s="35"/>
      <c r="N198" s="35"/>
      <c r="O198" s="35">
        <v>45.5</v>
      </c>
      <c r="P198" s="35">
        <v>45.5</v>
      </c>
    </row>
    <row r="199" spans="1:16" x14ac:dyDescent="0.35">
      <c r="A199">
        <v>205</v>
      </c>
      <c r="B199" t="s">
        <v>58</v>
      </c>
      <c r="C199" t="s">
        <v>56</v>
      </c>
      <c r="D199">
        <v>45.1</v>
      </c>
      <c r="E199">
        <v>14.4</v>
      </c>
      <c r="F199">
        <v>210</v>
      </c>
      <c r="G199">
        <v>4400</v>
      </c>
      <c r="H199" t="s">
        <v>55</v>
      </c>
      <c r="I199">
        <v>2008</v>
      </c>
      <c r="L199" s="34">
        <v>200</v>
      </c>
      <c r="M199" s="35"/>
      <c r="N199" s="35"/>
      <c r="O199" s="35">
        <v>50.5</v>
      </c>
      <c r="P199" s="35">
        <v>50.5</v>
      </c>
    </row>
    <row r="200" spans="1:16" x14ac:dyDescent="0.35">
      <c r="A200">
        <v>206</v>
      </c>
      <c r="B200" t="s">
        <v>58</v>
      </c>
      <c r="C200" t="s">
        <v>56</v>
      </c>
      <c r="D200">
        <v>50.1</v>
      </c>
      <c r="E200">
        <v>15</v>
      </c>
      <c r="F200">
        <v>225</v>
      </c>
      <c r="G200">
        <v>5000</v>
      </c>
      <c r="H200" t="s">
        <v>54</v>
      </c>
      <c r="I200">
        <v>2008</v>
      </c>
      <c r="L200" s="34">
        <v>201</v>
      </c>
      <c r="M200" s="35"/>
      <c r="N200" s="35"/>
      <c r="O200" s="35">
        <v>44.9</v>
      </c>
      <c r="P200" s="35">
        <v>44.9</v>
      </c>
    </row>
    <row r="201" spans="1:16" x14ac:dyDescent="0.35">
      <c r="A201">
        <v>207</v>
      </c>
      <c r="B201" t="s">
        <v>58</v>
      </c>
      <c r="C201" t="s">
        <v>56</v>
      </c>
      <c r="D201">
        <v>46.5</v>
      </c>
      <c r="E201">
        <v>14.4</v>
      </c>
      <c r="F201">
        <v>217</v>
      </c>
      <c r="G201">
        <v>4900</v>
      </c>
      <c r="H201" t="s">
        <v>55</v>
      </c>
      <c r="I201">
        <v>2008</v>
      </c>
      <c r="L201" s="34">
        <v>202</v>
      </c>
      <c r="M201" s="35"/>
      <c r="N201" s="35"/>
      <c r="O201" s="35">
        <v>45.2</v>
      </c>
      <c r="P201" s="35">
        <v>45.2</v>
      </c>
    </row>
    <row r="202" spans="1:16" x14ac:dyDescent="0.35">
      <c r="A202">
        <v>208</v>
      </c>
      <c r="B202" t="s">
        <v>58</v>
      </c>
      <c r="C202" t="s">
        <v>56</v>
      </c>
      <c r="D202">
        <v>45</v>
      </c>
      <c r="E202">
        <v>15.4</v>
      </c>
      <c r="F202">
        <v>220</v>
      </c>
      <c r="G202">
        <v>5050</v>
      </c>
      <c r="H202" t="s">
        <v>54</v>
      </c>
      <c r="I202">
        <v>2008</v>
      </c>
      <c r="L202" s="34">
        <v>203</v>
      </c>
      <c r="M202" s="35"/>
      <c r="N202" s="35"/>
      <c r="O202" s="35">
        <v>46.6</v>
      </c>
      <c r="P202" s="35">
        <v>46.6</v>
      </c>
    </row>
    <row r="203" spans="1:16" x14ac:dyDescent="0.35">
      <c r="A203">
        <v>209</v>
      </c>
      <c r="B203" t="s">
        <v>58</v>
      </c>
      <c r="C203" t="s">
        <v>56</v>
      </c>
      <c r="D203">
        <v>43.8</v>
      </c>
      <c r="E203">
        <v>13.9</v>
      </c>
      <c r="F203">
        <v>208</v>
      </c>
      <c r="G203">
        <v>4300</v>
      </c>
      <c r="H203" t="s">
        <v>55</v>
      </c>
      <c r="I203">
        <v>2008</v>
      </c>
      <c r="L203" s="34">
        <v>204</v>
      </c>
      <c r="M203" s="35"/>
      <c r="N203" s="35"/>
      <c r="O203" s="35">
        <v>48.5</v>
      </c>
      <c r="P203" s="35">
        <v>48.5</v>
      </c>
    </row>
    <row r="204" spans="1:16" x14ac:dyDescent="0.35">
      <c r="A204">
        <v>210</v>
      </c>
      <c r="B204" t="s">
        <v>58</v>
      </c>
      <c r="C204" t="s">
        <v>56</v>
      </c>
      <c r="D204">
        <v>45.5</v>
      </c>
      <c r="E204">
        <v>15</v>
      </c>
      <c r="F204">
        <v>220</v>
      </c>
      <c r="G204">
        <v>5000</v>
      </c>
      <c r="H204" t="s">
        <v>54</v>
      </c>
      <c r="I204">
        <v>2008</v>
      </c>
      <c r="L204" s="34">
        <v>205</v>
      </c>
      <c r="M204" s="35"/>
      <c r="N204" s="35"/>
      <c r="O204" s="35">
        <v>45.1</v>
      </c>
      <c r="P204" s="35">
        <v>45.1</v>
      </c>
    </row>
    <row r="205" spans="1:16" x14ac:dyDescent="0.35">
      <c r="A205">
        <v>211</v>
      </c>
      <c r="B205" t="s">
        <v>58</v>
      </c>
      <c r="C205" t="s">
        <v>56</v>
      </c>
      <c r="D205">
        <v>43.2</v>
      </c>
      <c r="E205">
        <v>14.5</v>
      </c>
      <c r="F205">
        <v>208</v>
      </c>
      <c r="G205">
        <v>4450</v>
      </c>
      <c r="H205" t="s">
        <v>55</v>
      </c>
      <c r="I205">
        <v>2008</v>
      </c>
      <c r="L205" s="34">
        <v>206</v>
      </c>
      <c r="M205" s="35"/>
      <c r="N205" s="35"/>
      <c r="O205" s="35">
        <v>50.1</v>
      </c>
      <c r="P205" s="35">
        <v>50.1</v>
      </c>
    </row>
    <row r="206" spans="1:16" x14ac:dyDescent="0.35">
      <c r="A206">
        <v>212</v>
      </c>
      <c r="B206" t="s">
        <v>58</v>
      </c>
      <c r="C206" t="s">
        <v>56</v>
      </c>
      <c r="D206">
        <v>50.4</v>
      </c>
      <c r="E206">
        <v>15.3</v>
      </c>
      <c r="F206">
        <v>224</v>
      </c>
      <c r="G206">
        <v>5550</v>
      </c>
      <c r="H206" t="s">
        <v>54</v>
      </c>
      <c r="I206">
        <v>2008</v>
      </c>
      <c r="L206" s="34">
        <v>207</v>
      </c>
      <c r="M206" s="35"/>
      <c r="N206" s="35"/>
      <c r="O206" s="35">
        <v>46.5</v>
      </c>
      <c r="P206" s="35">
        <v>46.5</v>
      </c>
    </row>
    <row r="207" spans="1:16" x14ac:dyDescent="0.35">
      <c r="A207">
        <v>213</v>
      </c>
      <c r="B207" t="s">
        <v>58</v>
      </c>
      <c r="C207" t="s">
        <v>56</v>
      </c>
      <c r="D207">
        <v>45.3</v>
      </c>
      <c r="E207">
        <v>13.8</v>
      </c>
      <c r="F207">
        <v>208</v>
      </c>
      <c r="G207">
        <v>4200</v>
      </c>
      <c r="H207" t="s">
        <v>55</v>
      </c>
      <c r="I207">
        <v>2008</v>
      </c>
      <c r="L207" s="34">
        <v>208</v>
      </c>
      <c r="M207" s="35"/>
      <c r="N207" s="35"/>
      <c r="O207" s="35">
        <v>45</v>
      </c>
      <c r="P207" s="35">
        <v>45</v>
      </c>
    </row>
    <row r="208" spans="1:16" x14ac:dyDescent="0.35">
      <c r="A208">
        <v>214</v>
      </c>
      <c r="B208" t="s">
        <v>58</v>
      </c>
      <c r="C208" t="s">
        <v>56</v>
      </c>
      <c r="D208">
        <v>46.2</v>
      </c>
      <c r="E208">
        <v>14.9</v>
      </c>
      <c r="F208">
        <v>221</v>
      </c>
      <c r="G208">
        <v>5300</v>
      </c>
      <c r="H208" t="s">
        <v>54</v>
      </c>
      <c r="I208">
        <v>2008</v>
      </c>
      <c r="L208" s="34">
        <v>209</v>
      </c>
      <c r="M208" s="35"/>
      <c r="N208" s="35"/>
      <c r="O208" s="35">
        <v>43.8</v>
      </c>
      <c r="P208" s="35">
        <v>43.8</v>
      </c>
    </row>
    <row r="209" spans="1:16" x14ac:dyDescent="0.35">
      <c r="A209">
        <v>215</v>
      </c>
      <c r="B209" t="s">
        <v>58</v>
      </c>
      <c r="C209" t="s">
        <v>56</v>
      </c>
      <c r="D209">
        <v>45.7</v>
      </c>
      <c r="E209">
        <v>13.9</v>
      </c>
      <c r="F209">
        <v>214</v>
      </c>
      <c r="G209">
        <v>4400</v>
      </c>
      <c r="H209" t="s">
        <v>55</v>
      </c>
      <c r="I209">
        <v>2008</v>
      </c>
      <c r="L209" s="34">
        <v>210</v>
      </c>
      <c r="M209" s="35"/>
      <c r="N209" s="35"/>
      <c r="O209" s="35">
        <v>45.5</v>
      </c>
      <c r="P209" s="35">
        <v>45.5</v>
      </c>
    </row>
    <row r="210" spans="1:16" x14ac:dyDescent="0.35">
      <c r="A210">
        <v>216</v>
      </c>
      <c r="B210" t="s">
        <v>58</v>
      </c>
      <c r="C210" t="s">
        <v>56</v>
      </c>
      <c r="D210">
        <v>54.3</v>
      </c>
      <c r="E210">
        <v>15.7</v>
      </c>
      <c r="F210">
        <v>231</v>
      </c>
      <c r="G210">
        <v>5650</v>
      </c>
      <c r="H210" t="s">
        <v>54</v>
      </c>
      <c r="I210">
        <v>2008</v>
      </c>
      <c r="L210" s="34">
        <v>211</v>
      </c>
      <c r="M210" s="35"/>
      <c r="N210" s="35"/>
      <c r="O210" s="35">
        <v>43.2</v>
      </c>
      <c r="P210" s="35">
        <v>43.2</v>
      </c>
    </row>
    <row r="211" spans="1:16" x14ac:dyDescent="0.35">
      <c r="A211">
        <v>217</v>
      </c>
      <c r="B211" t="s">
        <v>58</v>
      </c>
      <c r="C211" t="s">
        <v>56</v>
      </c>
      <c r="D211">
        <v>45.8</v>
      </c>
      <c r="E211">
        <v>14.2</v>
      </c>
      <c r="F211">
        <v>219</v>
      </c>
      <c r="G211">
        <v>4700</v>
      </c>
      <c r="H211" t="s">
        <v>55</v>
      </c>
      <c r="I211">
        <v>2008</v>
      </c>
      <c r="L211" s="34">
        <v>212</v>
      </c>
      <c r="M211" s="35"/>
      <c r="N211" s="35"/>
      <c r="O211" s="35">
        <v>50.4</v>
      </c>
      <c r="P211" s="35">
        <v>50.4</v>
      </c>
    </row>
    <row r="212" spans="1:16" x14ac:dyDescent="0.35">
      <c r="A212">
        <v>218</v>
      </c>
      <c r="B212" t="s">
        <v>58</v>
      </c>
      <c r="C212" t="s">
        <v>56</v>
      </c>
      <c r="D212">
        <v>49.8</v>
      </c>
      <c r="E212">
        <v>16.8</v>
      </c>
      <c r="F212">
        <v>230</v>
      </c>
      <c r="G212">
        <v>5700</v>
      </c>
      <c r="H212" t="s">
        <v>54</v>
      </c>
      <c r="I212">
        <v>2008</v>
      </c>
      <c r="L212" s="34">
        <v>213</v>
      </c>
      <c r="M212" s="35"/>
      <c r="N212" s="35"/>
      <c r="O212" s="35">
        <v>45.3</v>
      </c>
      <c r="P212" s="35">
        <v>45.3</v>
      </c>
    </row>
    <row r="213" spans="1:16" x14ac:dyDescent="0.35">
      <c r="A213">
        <v>220</v>
      </c>
      <c r="B213" t="s">
        <v>58</v>
      </c>
      <c r="C213" t="s">
        <v>56</v>
      </c>
      <c r="D213">
        <v>49.5</v>
      </c>
      <c r="E213">
        <v>16.2</v>
      </c>
      <c r="F213">
        <v>229</v>
      </c>
      <c r="G213">
        <v>5800</v>
      </c>
      <c r="H213" t="s">
        <v>54</v>
      </c>
      <c r="I213">
        <v>2008</v>
      </c>
      <c r="L213" s="34">
        <v>214</v>
      </c>
      <c r="M213" s="35"/>
      <c r="N213" s="35"/>
      <c r="O213" s="35">
        <v>46.2</v>
      </c>
      <c r="P213" s="35">
        <v>46.2</v>
      </c>
    </row>
    <row r="214" spans="1:16" x14ac:dyDescent="0.35">
      <c r="A214">
        <v>221</v>
      </c>
      <c r="B214" t="s">
        <v>58</v>
      </c>
      <c r="C214" t="s">
        <v>56</v>
      </c>
      <c r="D214">
        <v>43.5</v>
      </c>
      <c r="E214">
        <v>14.2</v>
      </c>
      <c r="F214">
        <v>220</v>
      </c>
      <c r="G214">
        <v>4700</v>
      </c>
      <c r="H214" t="s">
        <v>55</v>
      </c>
      <c r="I214">
        <v>2008</v>
      </c>
      <c r="L214" s="34">
        <v>215</v>
      </c>
      <c r="M214" s="35"/>
      <c r="N214" s="35"/>
      <c r="O214" s="35">
        <v>45.7</v>
      </c>
      <c r="P214" s="35">
        <v>45.7</v>
      </c>
    </row>
    <row r="215" spans="1:16" x14ac:dyDescent="0.35">
      <c r="A215">
        <v>222</v>
      </c>
      <c r="B215" t="s">
        <v>58</v>
      </c>
      <c r="C215" t="s">
        <v>56</v>
      </c>
      <c r="D215">
        <v>50.7</v>
      </c>
      <c r="E215">
        <v>15</v>
      </c>
      <c r="F215">
        <v>223</v>
      </c>
      <c r="G215">
        <v>5550</v>
      </c>
      <c r="H215" t="s">
        <v>54</v>
      </c>
      <c r="I215">
        <v>2008</v>
      </c>
      <c r="L215" s="34">
        <v>216</v>
      </c>
      <c r="M215" s="35"/>
      <c r="N215" s="35"/>
      <c r="O215" s="35">
        <v>54.3</v>
      </c>
      <c r="P215" s="35">
        <v>54.3</v>
      </c>
    </row>
    <row r="216" spans="1:16" x14ac:dyDescent="0.35">
      <c r="A216">
        <v>223</v>
      </c>
      <c r="B216" t="s">
        <v>58</v>
      </c>
      <c r="C216" t="s">
        <v>56</v>
      </c>
      <c r="D216">
        <v>47.7</v>
      </c>
      <c r="E216">
        <v>15</v>
      </c>
      <c r="F216">
        <v>216</v>
      </c>
      <c r="G216">
        <v>4750</v>
      </c>
      <c r="H216" t="s">
        <v>55</v>
      </c>
      <c r="I216">
        <v>2008</v>
      </c>
      <c r="L216" s="34">
        <v>217</v>
      </c>
      <c r="M216" s="35"/>
      <c r="N216" s="35"/>
      <c r="O216" s="35">
        <v>45.8</v>
      </c>
      <c r="P216" s="35">
        <v>45.8</v>
      </c>
    </row>
    <row r="217" spans="1:16" x14ac:dyDescent="0.35">
      <c r="A217">
        <v>224</v>
      </c>
      <c r="B217" t="s">
        <v>58</v>
      </c>
      <c r="C217" t="s">
        <v>56</v>
      </c>
      <c r="D217">
        <v>46.4</v>
      </c>
      <c r="E217">
        <v>15.6</v>
      </c>
      <c r="F217">
        <v>221</v>
      </c>
      <c r="G217">
        <v>5000</v>
      </c>
      <c r="H217" t="s">
        <v>54</v>
      </c>
      <c r="I217">
        <v>2008</v>
      </c>
      <c r="L217" s="34">
        <v>218</v>
      </c>
      <c r="M217" s="35"/>
      <c r="N217" s="35"/>
      <c r="O217" s="35">
        <v>49.8</v>
      </c>
      <c r="P217" s="35">
        <v>49.8</v>
      </c>
    </row>
    <row r="218" spans="1:16" x14ac:dyDescent="0.35">
      <c r="A218">
        <v>225</v>
      </c>
      <c r="B218" t="s">
        <v>58</v>
      </c>
      <c r="C218" t="s">
        <v>56</v>
      </c>
      <c r="D218">
        <v>48.2</v>
      </c>
      <c r="E218">
        <v>15.6</v>
      </c>
      <c r="F218">
        <v>221</v>
      </c>
      <c r="G218">
        <v>5100</v>
      </c>
      <c r="H218" t="s">
        <v>54</v>
      </c>
      <c r="I218">
        <v>2008</v>
      </c>
      <c r="L218" s="34">
        <v>220</v>
      </c>
      <c r="M218" s="35"/>
      <c r="N218" s="35"/>
      <c r="O218" s="35">
        <v>49.5</v>
      </c>
      <c r="P218" s="35">
        <v>49.5</v>
      </c>
    </row>
    <row r="219" spans="1:16" x14ac:dyDescent="0.35">
      <c r="A219">
        <v>226</v>
      </c>
      <c r="B219" t="s">
        <v>58</v>
      </c>
      <c r="C219" t="s">
        <v>56</v>
      </c>
      <c r="D219">
        <v>46.5</v>
      </c>
      <c r="E219">
        <v>14.8</v>
      </c>
      <c r="F219">
        <v>217</v>
      </c>
      <c r="G219">
        <v>5200</v>
      </c>
      <c r="H219" t="s">
        <v>55</v>
      </c>
      <c r="I219">
        <v>2008</v>
      </c>
      <c r="L219" s="34">
        <v>221</v>
      </c>
      <c r="M219" s="35"/>
      <c r="N219" s="35"/>
      <c r="O219" s="35">
        <v>43.5</v>
      </c>
      <c r="P219" s="35">
        <v>43.5</v>
      </c>
    </row>
    <row r="220" spans="1:16" x14ac:dyDescent="0.35">
      <c r="A220">
        <v>227</v>
      </c>
      <c r="B220" t="s">
        <v>58</v>
      </c>
      <c r="C220" t="s">
        <v>56</v>
      </c>
      <c r="D220">
        <v>46.4</v>
      </c>
      <c r="E220">
        <v>15</v>
      </c>
      <c r="F220">
        <v>216</v>
      </c>
      <c r="G220">
        <v>4700</v>
      </c>
      <c r="H220" t="s">
        <v>55</v>
      </c>
      <c r="I220">
        <v>2008</v>
      </c>
      <c r="L220" s="34">
        <v>222</v>
      </c>
      <c r="M220" s="35"/>
      <c r="N220" s="35"/>
      <c r="O220" s="35">
        <v>50.7</v>
      </c>
      <c r="P220" s="35">
        <v>50.7</v>
      </c>
    </row>
    <row r="221" spans="1:16" x14ac:dyDescent="0.35">
      <c r="A221">
        <v>228</v>
      </c>
      <c r="B221" t="s">
        <v>58</v>
      </c>
      <c r="C221" t="s">
        <v>56</v>
      </c>
      <c r="D221">
        <v>48.6</v>
      </c>
      <c r="E221">
        <v>16</v>
      </c>
      <c r="F221">
        <v>230</v>
      </c>
      <c r="G221">
        <v>5800</v>
      </c>
      <c r="H221" t="s">
        <v>54</v>
      </c>
      <c r="I221">
        <v>2008</v>
      </c>
      <c r="L221" s="34">
        <v>223</v>
      </c>
      <c r="M221" s="35"/>
      <c r="N221" s="35"/>
      <c r="O221" s="35">
        <v>47.7</v>
      </c>
      <c r="P221" s="35">
        <v>47.7</v>
      </c>
    </row>
    <row r="222" spans="1:16" x14ac:dyDescent="0.35">
      <c r="A222">
        <v>229</v>
      </c>
      <c r="B222" t="s">
        <v>58</v>
      </c>
      <c r="C222" t="s">
        <v>56</v>
      </c>
      <c r="D222">
        <v>47.5</v>
      </c>
      <c r="E222">
        <v>14.2</v>
      </c>
      <c r="F222">
        <v>209</v>
      </c>
      <c r="G222">
        <v>4600</v>
      </c>
      <c r="H222" t="s">
        <v>55</v>
      </c>
      <c r="I222">
        <v>2008</v>
      </c>
      <c r="L222" s="34">
        <v>224</v>
      </c>
      <c r="M222" s="35"/>
      <c r="N222" s="35"/>
      <c r="O222" s="35">
        <v>46.4</v>
      </c>
      <c r="P222" s="35">
        <v>46.4</v>
      </c>
    </row>
    <row r="223" spans="1:16" x14ac:dyDescent="0.35">
      <c r="A223">
        <v>230</v>
      </c>
      <c r="B223" t="s">
        <v>58</v>
      </c>
      <c r="C223" t="s">
        <v>56</v>
      </c>
      <c r="D223">
        <v>51.1</v>
      </c>
      <c r="E223">
        <v>16.3</v>
      </c>
      <c r="F223">
        <v>220</v>
      </c>
      <c r="G223">
        <v>6000</v>
      </c>
      <c r="H223" t="s">
        <v>54</v>
      </c>
      <c r="I223">
        <v>2008</v>
      </c>
      <c r="L223" s="34">
        <v>225</v>
      </c>
      <c r="M223" s="35"/>
      <c r="N223" s="35"/>
      <c r="O223" s="35">
        <v>48.2</v>
      </c>
      <c r="P223" s="35">
        <v>48.2</v>
      </c>
    </row>
    <row r="224" spans="1:16" x14ac:dyDescent="0.35">
      <c r="A224">
        <v>231</v>
      </c>
      <c r="B224" t="s">
        <v>58</v>
      </c>
      <c r="C224" t="s">
        <v>56</v>
      </c>
      <c r="D224">
        <v>45.2</v>
      </c>
      <c r="E224">
        <v>13.8</v>
      </c>
      <c r="F224">
        <v>215</v>
      </c>
      <c r="G224">
        <v>4750</v>
      </c>
      <c r="H224" t="s">
        <v>55</v>
      </c>
      <c r="I224">
        <v>2008</v>
      </c>
      <c r="L224" s="34">
        <v>226</v>
      </c>
      <c r="M224" s="35"/>
      <c r="N224" s="35"/>
      <c r="O224" s="35">
        <v>46.5</v>
      </c>
      <c r="P224" s="35">
        <v>46.5</v>
      </c>
    </row>
    <row r="225" spans="1:16" x14ac:dyDescent="0.35">
      <c r="A225">
        <v>232</v>
      </c>
      <c r="B225" t="s">
        <v>58</v>
      </c>
      <c r="C225" t="s">
        <v>56</v>
      </c>
      <c r="D225">
        <v>45.2</v>
      </c>
      <c r="E225">
        <v>16.399999999999999</v>
      </c>
      <c r="F225">
        <v>223</v>
      </c>
      <c r="G225">
        <v>5950</v>
      </c>
      <c r="H225" t="s">
        <v>54</v>
      </c>
      <c r="I225">
        <v>2008</v>
      </c>
      <c r="L225" s="34">
        <v>227</v>
      </c>
      <c r="M225" s="35"/>
      <c r="N225" s="35"/>
      <c r="O225" s="35">
        <v>46.4</v>
      </c>
      <c r="P225" s="35">
        <v>46.4</v>
      </c>
    </row>
    <row r="226" spans="1:16" x14ac:dyDescent="0.35">
      <c r="A226">
        <v>233</v>
      </c>
      <c r="B226" t="s">
        <v>58</v>
      </c>
      <c r="C226" t="s">
        <v>56</v>
      </c>
      <c r="D226">
        <v>49.1</v>
      </c>
      <c r="E226">
        <v>14.5</v>
      </c>
      <c r="F226">
        <v>212</v>
      </c>
      <c r="G226">
        <v>4625</v>
      </c>
      <c r="H226" t="s">
        <v>55</v>
      </c>
      <c r="I226">
        <v>2009</v>
      </c>
      <c r="L226" s="34">
        <v>228</v>
      </c>
      <c r="M226" s="35"/>
      <c r="N226" s="35"/>
      <c r="O226" s="35">
        <v>48.6</v>
      </c>
      <c r="P226" s="35">
        <v>48.6</v>
      </c>
    </row>
    <row r="227" spans="1:16" x14ac:dyDescent="0.35">
      <c r="A227">
        <v>234</v>
      </c>
      <c r="B227" t="s">
        <v>58</v>
      </c>
      <c r="C227" t="s">
        <v>56</v>
      </c>
      <c r="D227">
        <v>52.5</v>
      </c>
      <c r="E227">
        <v>15.6</v>
      </c>
      <c r="F227">
        <v>221</v>
      </c>
      <c r="G227">
        <v>5450</v>
      </c>
      <c r="H227" t="s">
        <v>54</v>
      </c>
      <c r="I227">
        <v>2009</v>
      </c>
      <c r="L227" s="34">
        <v>229</v>
      </c>
      <c r="M227" s="35"/>
      <c r="N227" s="35"/>
      <c r="O227" s="35">
        <v>47.5</v>
      </c>
      <c r="P227" s="35">
        <v>47.5</v>
      </c>
    </row>
    <row r="228" spans="1:16" x14ac:dyDescent="0.35">
      <c r="A228">
        <v>235</v>
      </c>
      <c r="B228" t="s">
        <v>58</v>
      </c>
      <c r="C228" t="s">
        <v>56</v>
      </c>
      <c r="D228">
        <v>47.4</v>
      </c>
      <c r="E228">
        <v>14.6</v>
      </c>
      <c r="F228">
        <v>212</v>
      </c>
      <c r="G228">
        <v>4725</v>
      </c>
      <c r="H228" t="s">
        <v>55</v>
      </c>
      <c r="I228">
        <v>2009</v>
      </c>
      <c r="L228" s="34">
        <v>230</v>
      </c>
      <c r="M228" s="35"/>
      <c r="N228" s="35"/>
      <c r="O228" s="35">
        <v>51.1</v>
      </c>
      <c r="P228" s="35">
        <v>51.1</v>
      </c>
    </row>
    <row r="229" spans="1:16" x14ac:dyDescent="0.35">
      <c r="A229">
        <v>236</v>
      </c>
      <c r="B229" t="s">
        <v>58</v>
      </c>
      <c r="C229" t="s">
        <v>56</v>
      </c>
      <c r="D229">
        <v>50</v>
      </c>
      <c r="E229">
        <v>15.9</v>
      </c>
      <c r="F229">
        <v>224</v>
      </c>
      <c r="G229">
        <v>5350</v>
      </c>
      <c r="H229" t="s">
        <v>54</v>
      </c>
      <c r="I229">
        <v>2009</v>
      </c>
      <c r="L229" s="34">
        <v>231</v>
      </c>
      <c r="M229" s="35"/>
      <c r="N229" s="35"/>
      <c r="O229" s="35">
        <v>45.2</v>
      </c>
      <c r="P229" s="35">
        <v>45.2</v>
      </c>
    </row>
    <row r="230" spans="1:16" x14ac:dyDescent="0.35">
      <c r="A230">
        <v>237</v>
      </c>
      <c r="B230" t="s">
        <v>58</v>
      </c>
      <c r="C230" t="s">
        <v>56</v>
      </c>
      <c r="D230">
        <v>44.9</v>
      </c>
      <c r="E230">
        <v>13.8</v>
      </c>
      <c r="F230">
        <v>212</v>
      </c>
      <c r="G230">
        <v>4750</v>
      </c>
      <c r="H230" t="s">
        <v>55</v>
      </c>
      <c r="I230">
        <v>2009</v>
      </c>
      <c r="L230" s="34">
        <v>232</v>
      </c>
      <c r="M230" s="35"/>
      <c r="N230" s="35"/>
      <c r="O230" s="35">
        <v>45.2</v>
      </c>
      <c r="P230" s="35">
        <v>45.2</v>
      </c>
    </row>
    <row r="231" spans="1:16" x14ac:dyDescent="0.35">
      <c r="A231">
        <v>238</v>
      </c>
      <c r="B231" t="s">
        <v>58</v>
      </c>
      <c r="C231" t="s">
        <v>56</v>
      </c>
      <c r="D231">
        <v>50.8</v>
      </c>
      <c r="E231">
        <v>17.3</v>
      </c>
      <c r="F231">
        <v>228</v>
      </c>
      <c r="G231">
        <v>5600</v>
      </c>
      <c r="H231" t="s">
        <v>54</v>
      </c>
      <c r="I231">
        <v>2009</v>
      </c>
      <c r="L231" s="34">
        <v>233</v>
      </c>
      <c r="M231" s="35"/>
      <c r="N231" s="35"/>
      <c r="O231" s="35">
        <v>49.1</v>
      </c>
      <c r="P231" s="35">
        <v>49.1</v>
      </c>
    </row>
    <row r="232" spans="1:16" x14ac:dyDescent="0.35">
      <c r="A232">
        <v>239</v>
      </c>
      <c r="B232" t="s">
        <v>58</v>
      </c>
      <c r="C232" t="s">
        <v>56</v>
      </c>
      <c r="D232">
        <v>43.4</v>
      </c>
      <c r="E232">
        <v>14.4</v>
      </c>
      <c r="F232">
        <v>218</v>
      </c>
      <c r="G232">
        <v>4600</v>
      </c>
      <c r="H232" t="s">
        <v>55</v>
      </c>
      <c r="I232">
        <v>2009</v>
      </c>
      <c r="L232" s="34">
        <v>234</v>
      </c>
      <c r="M232" s="35"/>
      <c r="N232" s="35"/>
      <c r="O232" s="35">
        <v>52.5</v>
      </c>
      <c r="P232" s="35">
        <v>52.5</v>
      </c>
    </row>
    <row r="233" spans="1:16" x14ac:dyDescent="0.35">
      <c r="A233">
        <v>240</v>
      </c>
      <c r="B233" t="s">
        <v>58</v>
      </c>
      <c r="C233" t="s">
        <v>56</v>
      </c>
      <c r="D233">
        <v>51.3</v>
      </c>
      <c r="E233">
        <v>14.2</v>
      </c>
      <c r="F233">
        <v>218</v>
      </c>
      <c r="G233">
        <v>5300</v>
      </c>
      <c r="H233" t="s">
        <v>54</v>
      </c>
      <c r="I233">
        <v>2009</v>
      </c>
      <c r="L233" s="34">
        <v>235</v>
      </c>
      <c r="M233" s="35"/>
      <c r="N233" s="35"/>
      <c r="O233" s="35">
        <v>47.4</v>
      </c>
      <c r="P233" s="35">
        <v>47.4</v>
      </c>
    </row>
    <row r="234" spans="1:16" x14ac:dyDescent="0.35">
      <c r="A234">
        <v>241</v>
      </c>
      <c r="B234" t="s">
        <v>58</v>
      </c>
      <c r="C234" t="s">
        <v>56</v>
      </c>
      <c r="D234">
        <v>47.5</v>
      </c>
      <c r="E234">
        <v>14</v>
      </c>
      <c r="F234">
        <v>212</v>
      </c>
      <c r="G234">
        <v>4875</v>
      </c>
      <c r="H234" t="s">
        <v>55</v>
      </c>
      <c r="I234">
        <v>2009</v>
      </c>
      <c r="L234" s="34">
        <v>236</v>
      </c>
      <c r="M234" s="35"/>
      <c r="N234" s="35"/>
      <c r="O234" s="35">
        <v>50</v>
      </c>
      <c r="P234" s="35">
        <v>50</v>
      </c>
    </row>
    <row r="235" spans="1:16" x14ac:dyDescent="0.35">
      <c r="A235">
        <v>242</v>
      </c>
      <c r="B235" t="s">
        <v>58</v>
      </c>
      <c r="C235" t="s">
        <v>56</v>
      </c>
      <c r="D235">
        <v>52.1</v>
      </c>
      <c r="E235">
        <v>17</v>
      </c>
      <c r="F235">
        <v>230</v>
      </c>
      <c r="G235">
        <v>5550</v>
      </c>
      <c r="H235" t="s">
        <v>54</v>
      </c>
      <c r="I235">
        <v>2009</v>
      </c>
      <c r="L235" s="34">
        <v>237</v>
      </c>
      <c r="M235" s="35"/>
      <c r="N235" s="35"/>
      <c r="O235" s="35">
        <v>44.9</v>
      </c>
      <c r="P235" s="35">
        <v>44.9</v>
      </c>
    </row>
    <row r="236" spans="1:16" x14ac:dyDescent="0.35">
      <c r="A236">
        <v>243</v>
      </c>
      <c r="B236" t="s">
        <v>58</v>
      </c>
      <c r="C236" t="s">
        <v>56</v>
      </c>
      <c r="D236">
        <v>47.5</v>
      </c>
      <c r="E236">
        <v>15</v>
      </c>
      <c r="F236">
        <v>218</v>
      </c>
      <c r="G236">
        <v>4950</v>
      </c>
      <c r="H236" t="s">
        <v>55</v>
      </c>
      <c r="I236">
        <v>2009</v>
      </c>
      <c r="L236" s="34">
        <v>238</v>
      </c>
      <c r="M236" s="35"/>
      <c r="N236" s="35"/>
      <c r="O236" s="35">
        <v>50.8</v>
      </c>
      <c r="P236" s="35">
        <v>50.8</v>
      </c>
    </row>
    <row r="237" spans="1:16" x14ac:dyDescent="0.35">
      <c r="A237">
        <v>244</v>
      </c>
      <c r="B237" t="s">
        <v>58</v>
      </c>
      <c r="C237" t="s">
        <v>56</v>
      </c>
      <c r="D237">
        <v>52.2</v>
      </c>
      <c r="E237">
        <v>17.100000000000001</v>
      </c>
      <c r="F237">
        <v>228</v>
      </c>
      <c r="G237">
        <v>5400</v>
      </c>
      <c r="H237" t="s">
        <v>54</v>
      </c>
      <c r="I237">
        <v>2009</v>
      </c>
      <c r="L237" s="34">
        <v>239</v>
      </c>
      <c r="M237" s="35"/>
      <c r="N237" s="35"/>
      <c r="O237" s="35">
        <v>43.4</v>
      </c>
      <c r="P237" s="35">
        <v>43.4</v>
      </c>
    </row>
    <row r="238" spans="1:16" x14ac:dyDescent="0.35">
      <c r="A238">
        <v>245</v>
      </c>
      <c r="B238" t="s">
        <v>58</v>
      </c>
      <c r="C238" t="s">
        <v>56</v>
      </c>
      <c r="D238">
        <v>45.5</v>
      </c>
      <c r="E238">
        <v>14.5</v>
      </c>
      <c r="F238">
        <v>212</v>
      </c>
      <c r="G238">
        <v>4750</v>
      </c>
      <c r="H238" t="s">
        <v>55</v>
      </c>
      <c r="I238">
        <v>2009</v>
      </c>
      <c r="L238" s="34">
        <v>240</v>
      </c>
      <c r="M238" s="35"/>
      <c r="N238" s="35"/>
      <c r="O238" s="35">
        <v>51.3</v>
      </c>
      <c r="P238" s="35">
        <v>51.3</v>
      </c>
    </row>
    <row r="239" spans="1:16" x14ac:dyDescent="0.35">
      <c r="A239">
        <v>246</v>
      </c>
      <c r="B239" t="s">
        <v>58</v>
      </c>
      <c r="C239" t="s">
        <v>56</v>
      </c>
      <c r="D239">
        <v>49.5</v>
      </c>
      <c r="E239">
        <v>16.100000000000001</v>
      </c>
      <c r="F239">
        <v>224</v>
      </c>
      <c r="G239">
        <v>5650</v>
      </c>
      <c r="H239" t="s">
        <v>54</v>
      </c>
      <c r="I239">
        <v>2009</v>
      </c>
      <c r="L239" s="34">
        <v>241</v>
      </c>
      <c r="M239" s="35"/>
      <c r="N239" s="35"/>
      <c r="O239" s="35">
        <v>47.5</v>
      </c>
      <c r="P239" s="35">
        <v>47.5</v>
      </c>
    </row>
    <row r="240" spans="1:16" x14ac:dyDescent="0.35">
      <c r="A240">
        <v>247</v>
      </c>
      <c r="B240" t="s">
        <v>58</v>
      </c>
      <c r="C240" t="s">
        <v>56</v>
      </c>
      <c r="D240">
        <v>44.5</v>
      </c>
      <c r="E240">
        <v>14.7</v>
      </c>
      <c r="F240">
        <v>214</v>
      </c>
      <c r="G240">
        <v>4850</v>
      </c>
      <c r="H240" t="s">
        <v>55</v>
      </c>
      <c r="I240">
        <v>2009</v>
      </c>
      <c r="L240" s="34">
        <v>242</v>
      </c>
      <c r="M240" s="35"/>
      <c r="N240" s="35"/>
      <c r="O240" s="35">
        <v>52.1</v>
      </c>
      <c r="P240" s="35">
        <v>52.1</v>
      </c>
    </row>
    <row r="241" spans="1:16" x14ac:dyDescent="0.35">
      <c r="A241">
        <v>248</v>
      </c>
      <c r="B241" t="s">
        <v>58</v>
      </c>
      <c r="C241" t="s">
        <v>56</v>
      </c>
      <c r="D241">
        <v>50.8</v>
      </c>
      <c r="E241">
        <v>15.7</v>
      </c>
      <c r="F241">
        <v>226</v>
      </c>
      <c r="G241">
        <v>5200</v>
      </c>
      <c r="H241" t="s">
        <v>54</v>
      </c>
      <c r="I241">
        <v>2009</v>
      </c>
      <c r="L241" s="34">
        <v>243</v>
      </c>
      <c r="M241" s="35"/>
      <c r="N241" s="35"/>
      <c r="O241" s="35">
        <v>47.5</v>
      </c>
      <c r="P241" s="35">
        <v>47.5</v>
      </c>
    </row>
    <row r="242" spans="1:16" x14ac:dyDescent="0.35">
      <c r="A242">
        <v>249</v>
      </c>
      <c r="B242" t="s">
        <v>58</v>
      </c>
      <c r="C242" t="s">
        <v>56</v>
      </c>
      <c r="D242">
        <v>49.4</v>
      </c>
      <c r="E242">
        <v>15.8</v>
      </c>
      <c r="F242">
        <v>216</v>
      </c>
      <c r="G242">
        <v>4925</v>
      </c>
      <c r="H242" t="s">
        <v>54</v>
      </c>
      <c r="I242">
        <v>2009</v>
      </c>
      <c r="L242" s="34">
        <v>244</v>
      </c>
      <c r="M242" s="35"/>
      <c r="N242" s="35"/>
      <c r="O242" s="35">
        <v>52.2</v>
      </c>
      <c r="P242" s="35">
        <v>52.2</v>
      </c>
    </row>
    <row r="243" spans="1:16" x14ac:dyDescent="0.35">
      <c r="A243">
        <v>250</v>
      </c>
      <c r="B243" t="s">
        <v>58</v>
      </c>
      <c r="C243" t="s">
        <v>56</v>
      </c>
      <c r="D243">
        <v>46.9</v>
      </c>
      <c r="E243">
        <v>14.6</v>
      </c>
      <c r="F243">
        <v>222</v>
      </c>
      <c r="G243">
        <v>4875</v>
      </c>
      <c r="H243" t="s">
        <v>55</v>
      </c>
      <c r="I243">
        <v>2009</v>
      </c>
      <c r="L243" s="34">
        <v>245</v>
      </c>
      <c r="M243" s="35"/>
      <c r="N243" s="35"/>
      <c r="O243" s="35">
        <v>45.5</v>
      </c>
      <c r="P243" s="35">
        <v>45.5</v>
      </c>
    </row>
    <row r="244" spans="1:16" x14ac:dyDescent="0.35">
      <c r="A244">
        <v>251</v>
      </c>
      <c r="B244" t="s">
        <v>58</v>
      </c>
      <c r="C244" t="s">
        <v>56</v>
      </c>
      <c r="D244">
        <v>48.4</v>
      </c>
      <c r="E244">
        <v>14.4</v>
      </c>
      <c r="F244">
        <v>203</v>
      </c>
      <c r="G244">
        <v>4625</v>
      </c>
      <c r="H244" t="s">
        <v>55</v>
      </c>
      <c r="I244">
        <v>2009</v>
      </c>
      <c r="L244" s="34">
        <v>246</v>
      </c>
      <c r="M244" s="35"/>
      <c r="N244" s="35"/>
      <c r="O244" s="35">
        <v>49.5</v>
      </c>
      <c r="P244" s="35">
        <v>49.5</v>
      </c>
    </row>
    <row r="245" spans="1:16" x14ac:dyDescent="0.35">
      <c r="A245">
        <v>252</v>
      </c>
      <c r="B245" t="s">
        <v>58</v>
      </c>
      <c r="C245" t="s">
        <v>56</v>
      </c>
      <c r="D245">
        <v>51.1</v>
      </c>
      <c r="E245">
        <v>16.5</v>
      </c>
      <c r="F245">
        <v>225</v>
      </c>
      <c r="G245">
        <v>5250</v>
      </c>
      <c r="H245" t="s">
        <v>54</v>
      </c>
      <c r="I245">
        <v>2009</v>
      </c>
      <c r="L245" s="34">
        <v>247</v>
      </c>
      <c r="M245" s="35"/>
      <c r="N245" s="35"/>
      <c r="O245" s="35">
        <v>44.5</v>
      </c>
      <c r="P245" s="35">
        <v>44.5</v>
      </c>
    </row>
    <row r="246" spans="1:16" x14ac:dyDescent="0.35">
      <c r="A246">
        <v>253</v>
      </c>
      <c r="B246" t="s">
        <v>58</v>
      </c>
      <c r="C246" t="s">
        <v>56</v>
      </c>
      <c r="D246">
        <v>48.5</v>
      </c>
      <c r="E246">
        <v>15</v>
      </c>
      <c r="F246">
        <v>219</v>
      </c>
      <c r="G246">
        <v>4850</v>
      </c>
      <c r="H246" t="s">
        <v>55</v>
      </c>
      <c r="I246">
        <v>2009</v>
      </c>
      <c r="L246" s="34">
        <v>248</v>
      </c>
      <c r="M246" s="35"/>
      <c r="N246" s="35"/>
      <c r="O246" s="35">
        <v>50.8</v>
      </c>
      <c r="P246" s="35">
        <v>50.8</v>
      </c>
    </row>
    <row r="247" spans="1:16" x14ac:dyDescent="0.35">
      <c r="A247">
        <v>254</v>
      </c>
      <c r="B247" t="s">
        <v>58</v>
      </c>
      <c r="C247" t="s">
        <v>56</v>
      </c>
      <c r="D247">
        <v>55.9</v>
      </c>
      <c r="E247">
        <v>17</v>
      </c>
      <c r="F247">
        <v>228</v>
      </c>
      <c r="G247">
        <v>5600</v>
      </c>
      <c r="H247" t="s">
        <v>54</v>
      </c>
      <c r="I247">
        <v>2009</v>
      </c>
      <c r="L247" s="34">
        <v>249</v>
      </c>
      <c r="M247" s="35"/>
      <c r="N247" s="35"/>
      <c r="O247" s="35">
        <v>49.4</v>
      </c>
      <c r="P247" s="35">
        <v>49.4</v>
      </c>
    </row>
    <row r="248" spans="1:16" x14ac:dyDescent="0.35">
      <c r="A248">
        <v>255</v>
      </c>
      <c r="B248" t="s">
        <v>58</v>
      </c>
      <c r="C248" t="s">
        <v>56</v>
      </c>
      <c r="D248">
        <v>47.2</v>
      </c>
      <c r="E248">
        <v>15.5</v>
      </c>
      <c r="F248">
        <v>215</v>
      </c>
      <c r="G248">
        <v>4975</v>
      </c>
      <c r="H248" t="s">
        <v>55</v>
      </c>
      <c r="I248">
        <v>2009</v>
      </c>
      <c r="L248" s="34">
        <v>250</v>
      </c>
      <c r="M248" s="35"/>
      <c r="N248" s="35"/>
      <c r="O248" s="35">
        <v>46.9</v>
      </c>
      <c r="P248" s="35">
        <v>46.9</v>
      </c>
    </row>
    <row r="249" spans="1:16" x14ac:dyDescent="0.35">
      <c r="A249">
        <v>256</v>
      </c>
      <c r="B249" t="s">
        <v>58</v>
      </c>
      <c r="C249" t="s">
        <v>56</v>
      </c>
      <c r="D249">
        <v>49.1</v>
      </c>
      <c r="E249">
        <v>15</v>
      </c>
      <c r="F249">
        <v>228</v>
      </c>
      <c r="G249">
        <v>5500</v>
      </c>
      <c r="H249" t="s">
        <v>54</v>
      </c>
      <c r="I249">
        <v>2009</v>
      </c>
      <c r="L249" s="34">
        <v>251</v>
      </c>
      <c r="M249" s="35"/>
      <c r="N249" s="35"/>
      <c r="O249" s="35">
        <v>48.4</v>
      </c>
      <c r="P249" s="35">
        <v>48.4</v>
      </c>
    </row>
    <row r="250" spans="1:16" x14ac:dyDescent="0.35">
      <c r="A250">
        <v>258</v>
      </c>
      <c r="B250" t="s">
        <v>58</v>
      </c>
      <c r="C250" t="s">
        <v>56</v>
      </c>
      <c r="D250">
        <v>46.8</v>
      </c>
      <c r="E250">
        <v>16.100000000000001</v>
      </c>
      <c r="F250">
        <v>215</v>
      </c>
      <c r="G250">
        <v>5500</v>
      </c>
      <c r="H250" t="s">
        <v>54</v>
      </c>
      <c r="I250">
        <v>2009</v>
      </c>
      <c r="L250" s="34">
        <v>252</v>
      </c>
      <c r="M250" s="35"/>
      <c r="N250" s="35"/>
      <c r="O250" s="35">
        <v>51.1</v>
      </c>
      <c r="P250" s="35">
        <v>51.1</v>
      </c>
    </row>
    <row r="251" spans="1:16" x14ac:dyDescent="0.35">
      <c r="A251">
        <v>259</v>
      </c>
      <c r="B251" t="s">
        <v>58</v>
      </c>
      <c r="C251" t="s">
        <v>56</v>
      </c>
      <c r="D251">
        <v>41.7</v>
      </c>
      <c r="E251">
        <v>14.7</v>
      </c>
      <c r="F251">
        <v>210</v>
      </c>
      <c r="G251">
        <v>4700</v>
      </c>
      <c r="H251" t="s">
        <v>55</v>
      </c>
      <c r="I251">
        <v>2009</v>
      </c>
      <c r="L251" s="34">
        <v>253</v>
      </c>
      <c r="M251" s="35"/>
      <c r="N251" s="35"/>
      <c r="O251" s="35">
        <v>48.5</v>
      </c>
      <c r="P251" s="35">
        <v>48.5</v>
      </c>
    </row>
    <row r="252" spans="1:16" x14ac:dyDescent="0.35">
      <c r="A252">
        <v>260</v>
      </c>
      <c r="B252" t="s">
        <v>58</v>
      </c>
      <c r="C252" t="s">
        <v>56</v>
      </c>
      <c r="D252">
        <v>53.4</v>
      </c>
      <c r="E252">
        <v>15.8</v>
      </c>
      <c r="F252">
        <v>219</v>
      </c>
      <c r="G252">
        <v>5500</v>
      </c>
      <c r="H252" t="s">
        <v>54</v>
      </c>
      <c r="I252">
        <v>2009</v>
      </c>
      <c r="L252" s="34">
        <v>254</v>
      </c>
      <c r="M252" s="35"/>
      <c r="N252" s="35"/>
      <c r="O252" s="35">
        <v>55.9</v>
      </c>
      <c r="P252" s="35">
        <v>55.9</v>
      </c>
    </row>
    <row r="253" spans="1:16" x14ac:dyDescent="0.35">
      <c r="A253">
        <v>261</v>
      </c>
      <c r="B253" t="s">
        <v>58</v>
      </c>
      <c r="C253" t="s">
        <v>56</v>
      </c>
      <c r="D253">
        <v>43.3</v>
      </c>
      <c r="E253">
        <v>14</v>
      </c>
      <c r="F253">
        <v>208</v>
      </c>
      <c r="G253">
        <v>4575</v>
      </c>
      <c r="H253" t="s">
        <v>55</v>
      </c>
      <c r="I253">
        <v>2009</v>
      </c>
      <c r="L253" s="34">
        <v>255</v>
      </c>
      <c r="M253" s="35"/>
      <c r="N253" s="35"/>
      <c r="O253" s="35">
        <v>47.2</v>
      </c>
      <c r="P253" s="35">
        <v>47.2</v>
      </c>
    </row>
    <row r="254" spans="1:16" x14ac:dyDescent="0.35">
      <c r="A254">
        <v>262</v>
      </c>
      <c r="B254" t="s">
        <v>58</v>
      </c>
      <c r="C254" t="s">
        <v>56</v>
      </c>
      <c r="D254">
        <v>48.1</v>
      </c>
      <c r="E254">
        <v>15.1</v>
      </c>
      <c r="F254">
        <v>209</v>
      </c>
      <c r="G254">
        <v>5500</v>
      </c>
      <c r="H254" t="s">
        <v>54</v>
      </c>
      <c r="I254">
        <v>2009</v>
      </c>
      <c r="L254" s="34">
        <v>256</v>
      </c>
      <c r="M254" s="35"/>
      <c r="N254" s="35"/>
      <c r="O254" s="35">
        <v>49.1</v>
      </c>
      <c r="P254" s="35">
        <v>49.1</v>
      </c>
    </row>
    <row r="255" spans="1:16" x14ac:dyDescent="0.35">
      <c r="A255">
        <v>263</v>
      </c>
      <c r="B255" t="s">
        <v>58</v>
      </c>
      <c r="C255" t="s">
        <v>56</v>
      </c>
      <c r="D255">
        <v>50.5</v>
      </c>
      <c r="E255">
        <v>15.2</v>
      </c>
      <c r="F255">
        <v>216</v>
      </c>
      <c r="G255">
        <v>5000</v>
      </c>
      <c r="H255" t="s">
        <v>55</v>
      </c>
      <c r="I255">
        <v>2009</v>
      </c>
      <c r="L255" s="34">
        <v>258</v>
      </c>
      <c r="M255" s="35"/>
      <c r="N255" s="35"/>
      <c r="O255" s="35">
        <v>46.8</v>
      </c>
      <c r="P255" s="35">
        <v>46.8</v>
      </c>
    </row>
    <row r="256" spans="1:16" x14ac:dyDescent="0.35">
      <c r="A256">
        <v>264</v>
      </c>
      <c r="B256" t="s">
        <v>58</v>
      </c>
      <c r="C256" t="s">
        <v>56</v>
      </c>
      <c r="D256">
        <v>49.8</v>
      </c>
      <c r="E256">
        <v>15.9</v>
      </c>
      <c r="F256">
        <v>229</v>
      </c>
      <c r="G256">
        <v>5950</v>
      </c>
      <c r="H256" t="s">
        <v>54</v>
      </c>
      <c r="I256">
        <v>2009</v>
      </c>
      <c r="L256" s="34">
        <v>259</v>
      </c>
      <c r="M256" s="35"/>
      <c r="N256" s="35"/>
      <c r="O256" s="35">
        <v>41.7</v>
      </c>
      <c r="P256" s="35">
        <v>41.7</v>
      </c>
    </row>
    <row r="257" spans="1:16" x14ac:dyDescent="0.35">
      <c r="A257">
        <v>265</v>
      </c>
      <c r="B257" t="s">
        <v>58</v>
      </c>
      <c r="C257" t="s">
        <v>56</v>
      </c>
      <c r="D257">
        <v>43.5</v>
      </c>
      <c r="E257">
        <v>15.2</v>
      </c>
      <c r="F257">
        <v>213</v>
      </c>
      <c r="G257">
        <v>4650</v>
      </c>
      <c r="H257" t="s">
        <v>55</v>
      </c>
      <c r="I257">
        <v>2009</v>
      </c>
      <c r="L257" s="34">
        <v>260</v>
      </c>
      <c r="M257" s="35"/>
      <c r="N257" s="35"/>
      <c r="O257" s="35">
        <v>53.4</v>
      </c>
      <c r="P257" s="35">
        <v>53.4</v>
      </c>
    </row>
    <row r="258" spans="1:16" x14ac:dyDescent="0.35">
      <c r="A258">
        <v>266</v>
      </c>
      <c r="B258" t="s">
        <v>58</v>
      </c>
      <c r="C258" t="s">
        <v>56</v>
      </c>
      <c r="D258">
        <v>51.5</v>
      </c>
      <c r="E258">
        <v>16.3</v>
      </c>
      <c r="F258">
        <v>230</v>
      </c>
      <c r="G258">
        <v>5500</v>
      </c>
      <c r="H258" t="s">
        <v>54</v>
      </c>
      <c r="I258">
        <v>2009</v>
      </c>
      <c r="L258" s="34">
        <v>261</v>
      </c>
      <c r="M258" s="35"/>
      <c r="N258" s="35"/>
      <c r="O258" s="35">
        <v>43.3</v>
      </c>
      <c r="P258" s="35">
        <v>43.3</v>
      </c>
    </row>
    <row r="259" spans="1:16" x14ac:dyDescent="0.35">
      <c r="A259">
        <v>267</v>
      </c>
      <c r="B259" t="s">
        <v>58</v>
      </c>
      <c r="C259" t="s">
        <v>56</v>
      </c>
      <c r="D259">
        <v>46.2</v>
      </c>
      <c r="E259">
        <v>14.1</v>
      </c>
      <c r="F259">
        <v>217</v>
      </c>
      <c r="G259">
        <v>4375</v>
      </c>
      <c r="H259" t="s">
        <v>55</v>
      </c>
      <c r="I259">
        <v>2009</v>
      </c>
      <c r="L259" s="34">
        <v>262</v>
      </c>
      <c r="M259" s="35"/>
      <c r="N259" s="35"/>
      <c r="O259" s="35">
        <v>48.1</v>
      </c>
      <c r="P259" s="35">
        <v>48.1</v>
      </c>
    </row>
    <row r="260" spans="1:16" x14ac:dyDescent="0.35">
      <c r="A260">
        <v>268</v>
      </c>
      <c r="B260" t="s">
        <v>58</v>
      </c>
      <c r="C260" t="s">
        <v>56</v>
      </c>
      <c r="D260">
        <v>55.1</v>
      </c>
      <c r="E260">
        <v>16</v>
      </c>
      <c r="F260">
        <v>230</v>
      </c>
      <c r="G260">
        <v>5850</v>
      </c>
      <c r="H260" t="s">
        <v>54</v>
      </c>
      <c r="I260">
        <v>2009</v>
      </c>
      <c r="L260" s="34">
        <v>263</v>
      </c>
      <c r="M260" s="35"/>
      <c r="N260" s="35"/>
      <c r="O260" s="35">
        <v>50.5</v>
      </c>
      <c r="P260" s="35">
        <v>50.5</v>
      </c>
    </row>
    <row r="261" spans="1:16" x14ac:dyDescent="0.35">
      <c r="A261">
        <v>270</v>
      </c>
      <c r="B261" t="s">
        <v>58</v>
      </c>
      <c r="C261" t="s">
        <v>56</v>
      </c>
      <c r="D261">
        <v>48.8</v>
      </c>
      <c r="E261">
        <v>16.2</v>
      </c>
      <c r="F261">
        <v>222</v>
      </c>
      <c r="G261">
        <v>6000</v>
      </c>
      <c r="H261" t="s">
        <v>54</v>
      </c>
      <c r="I261">
        <v>2009</v>
      </c>
      <c r="L261" s="34">
        <v>264</v>
      </c>
      <c r="M261" s="35"/>
      <c r="N261" s="35"/>
      <c r="O261" s="35">
        <v>49.8</v>
      </c>
      <c r="P261" s="35">
        <v>49.8</v>
      </c>
    </row>
    <row r="262" spans="1:16" x14ac:dyDescent="0.35">
      <c r="A262">
        <v>271</v>
      </c>
      <c r="B262" t="s">
        <v>58</v>
      </c>
      <c r="C262" t="s">
        <v>56</v>
      </c>
      <c r="D262">
        <v>47.2</v>
      </c>
      <c r="E262">
        <v>13.7</v>
      </c>
      <c r="F262">
        <v>214</v>
      </c>
      <c r="G262">
        <v>4925</v>
      </c>
      <c r="H262" t="s">
        <v>55</v>
      </c>
      <c r="I262">
        <v>2009</v>
      </c>
      <c r="L262" s="34">
        <v>265</v>
      </c>
      <c r="M262" s="35"/>
      <c r="N262" s="35"/>
      <c r="O262" s="35">
        <v>43.5</v>
      </c>
      <c r="P262" s="35">
        <v>43.5</v>
      </c>
    </row>
    <row r="263" spans="1:16" x14ac:dyDescent="0.35">
      <c r="A263">
        <v>273</v>
      </c>
      <c r="B263" t="s">
        <v>58</v>
      </c>
      <c r="C263" t="s">
        <v>56</v>
      </c>
      <c r="D263">
        <v>46.8</v>
      </c>
      <c r="E263">
        <v>14.3</v>
      </c>
      <c r="F263">
        <v>215</v>
      </c>
      <c r="G263">
        <v>4850</v>
      </c>
      <c r="H263" t="s">
        <v>55</v>
      </c>
      <c r="I263">
        <v>2009</v>
      </c>
      <c r="L263" s="34">
        <v>266</v>
      </c>
      <c r="M263" s="35"/>
      <c r="N263" s="35"/>
      <c r="O263" s="35">
        <v>51.5</v>
      </c>
      <c r="P263" s="35">
        <v>51.5</v>
      </c>
    </row>
    <row r="264" spans="1:16" x14ac:dyDescent="0.35">
      <c r="A264">
        <v>274</v>
      </c>
      <c r="B264" t="s">
        <v>58</v>
      </c>
      <c r="C264" t="s">
        <v>56</v>
      </c>
      <c r="D264">
        <v>50.4</v>
      </c>
      <c r="E264">
        <v>15.7</v>
      </c>
      <c r="F264">
        <v>222</v>
      </c>
      <c r="G264">
        <v>5750</v>
      </c>
      <c r="H264" t="s">
        <v>54</v>
      </c>
      <c r="I264">
        <v>2009</v>
      </c>
      <c r="L264" s="34">
        <v>267</v>
      </c>
      <c r="M264" s="35"/>
      <c r="N264" s="35"/>
      <c r="O264" s="35">
        <v>46.2</v>
      </c>
      <c r="P264" s="35">
        <v>46.2</v>
      </c>
    </row>
    <row r="265" spans="1:16" x14ac:dyDescent="0.35">
      <c r="A265">
        <v>275</v>
      </c>
      <c r="B265" t="s">
        <v>58</v>
      </c>
      <c r="C265" t="s">
        <v>56</v>
      </c>
      <c r="D265">
        <v>45.2</v>
      </c>
      <c r="E265">
        <v>14.8</v>
      </c>
      <c r="F265">
        <v>212</v>
      </c>
      <c r="G265">
        <v>5200</v>
      </c>
      <c r="H265" t="s">
        <v>55</v>
      </c>
      <c r="I265">
        <v>2009</v>
      </c>
      <c r="L265" s="34">
        <v>268</v>
      </c>
      <c r="M265" s="35"/>
      <c r="N265" s="35"/>
      <c r="O265" s="35">
        <v>55.1</v>
      </c>
      <c r="P265" s="35">
        <v>55.1</v>
      </c>
    </row>
    <row r="266" spans="1:16" x14ac:dyDescent="0.35">
      <c r="A266">
        <v>276</v>
      </c>
      <c r="B266" t="s">
        <v>58</v>
      </c>
      <c r="C266" t="s">
        <v>56</v>
      </c>
      <c r="D266">
        <v>49.9</v>
      </c>
      <c r="E266">
        <v>16.100000000000001</v>
      </c>
      <c r="F266">
        <v>213</v>
      </c>
      <c r="G266">
        <v>5400</v>
      </c>
      <c r="H266" t="s">
        <v>54</v>
      </c>
      <c r="I266">
        <v>2009</v>
      </c>
      <c r="L266" s="34">
        <v>270</v>
      </c>
      <c r="M266" s="35"/>
      <c r="N266" s="35"/>
      <c r="O266" s="35">
        <v>48.8</v>
      </c>
      <c r="P266" s="35">
        <v>48.8</v>
      </c>
    </row>
    <row r="267" spans="1:16" x14ac:dyDescent="0.35">
      <c r="A267">
        <v>277</v>
      </c>
      <c r="B267" t="s">
        <v>59</v>
      </c>
      <c r="C267" t="s">
        <v>57</v>
      </c>
      <c r="D267">
        <v>46.5</v>
      </c>
      <c r="E267">
        <v>17.899999999999999</v>
      </c>
      <c r="F267">
        <v>192</v>
      </c>
      <c r="G267">
        <v>3500</v>
      </c>
      <c r="H267" t="s">
        <v>55</v>
      </c>
      <c r="I267">
        <v>2007</v>
      </c>
      <c r="L267" s="34">
        <v>271</v>
      </c>
      <c r="M267" s="35"/>
      <c r="N267" s="35"/>
      <c r="O267" s="35">
        <v>47.2</v>
      </c>
      <c r="P267" s="35">
        <v>47.2</v>
      </c>
    </row>
    <row r="268" spans="1:16" x14ac:dyDescent="0.35">
      <c r="A268">
        <v>278</v>
      </c>
      <c r="B268" t="s">
        <v>59</v>
      </c>
      <c r="C268" t="s">
        <v>57</v>
      </c>
      <c r="D268">
        <v>50</v>
      </c>
      <c r="E268">
        <v>19.5</v>
      </c>
      <c r="F268">
        <v>196</v>
      </c>
      <c r="G268">
        <v>3900</v>
      </c>
      <c r="H268" t="s">
        <v>54</v>
      </c>
      <c r="I268">
        <v>2007</v>
      </c>
      <c r="L268" s="34">
        <v>273</v>
      </c>
      <c r="M268" s="35"/>
      <c r="N268" s="35"/>
      <c r="O268" s="35">
        <v>46.8</v>
      </c>
      <c r="P268" s="35">
        <v>46.8</v>
      </c>
    </row>
    <row r="269" spans="1:16" x14ac:dyDescent="0.35">
      <c r="A269">
        <v>279</v>
      </c>
      <c r="B269" t="s">
        <v>59</v>
      </c>
      <c r="C269" t="s">
        <v>57</v>
      </c>
      <c r="D269">
        <v>51.3</v>
      </c>
      <c r="E269">
        <v>19.2</v>
      </c>
      <c r="F269">
        <v>193</v>
      </c>
      <c r="G269">
        <v>3650</v>
      </c>
      <c r="H269" t="s">
        <v>54</v>
      </c>
      <c r="I269">
        <v>2007</v>
      </c>
      <c r="L269" s="34">
        <v>274</v>
      </c>
      <c r="M269" s="35"/>
      <c r="N269" s="35"/>
      <c r="O269" s="35">
        <v>50.4</v>
      </c>
      <c r="P269" s="35">
        <v>50.4</v>
      </c>
    </row>
    <row r="270" spans="1:16" x14ac:dyDescent="0.35">
      <c r="A270">
        <v>280</v>
      </c>
      <c r="B270" t="s">
        <v>59</v>
      </c>
      <c r="C270" t="s">
        <v>57</v>
      </c>
      <c r="D270">
        <v>45.4</v>
      </c>
      <c r="E270">
        <v>18.7</v>
      </c>
      <c r="F270">
        <v>188</v>
      </c>
      <c r="G270">
        <v>3525</v>
      </c>
      <c r="H270" t="s">
        <v>55</v>
      </c>
      <c r="I270">
        <v>2007</v>
      </c>
      <c r="L270" s="34">
        <v>275</v>
      </c>
      <c r="M270" s="35"/>
      <c r="N270" s="35"/>
      <c r="O270" s="35">
        <v>45.2</v>
      </c>
      <c r="P270" s="35">
        <v>45.2</v>
      </c>
    </row>
    <row r="271" spans="1:16" x14ac:dyDescent="0.35">
      <c r="A271">
        <v>281</v>
      </c>
      <c r="B271" t="s">
        <v>59</v>
      </c>
      <c r="C271" t="s">
        <v>57</v>
      </c>
      <c r="D271">
        <v>52.7</v>
      </c>
      <c r="E271">
        <v>19.8</v>
      </c>
      <c r="F271">
        <v>197</v>
      </c>
      <c r="G271">
        <v>3725</v>
      </c>
      <c r="H271" t="s">
        <v>54</v>
      </c>
      <c r="I271">
        <v>2007</v>
      </c>
      <c r="L271" s="34">
        <v>276</v>
      </c>
      <c r="M271" s="35"/>
      <c r="N271" s="35"/>
      <c r="O271" s="35">
        <v>49.9</v>
      </c>
      <c r="P271" s="35">
        <v>49.9</v>
      </c>
    </row>
    <row r="272" spans="1:16" x14ac:dyDescent="0.35">
      <c r="A272">
        <v>282</v>
      </c>
      <c r="B272" t="s">
        <v>59</v>
      </c>
      <c r="C272" t="s">
        <v>57</v>
      </c>
      <c r="D272">
        <v>45.2</v>
      </c>
      <c r="E272">
        <v>17.8</v>
      </c>
      <c r="F272">
        <v>198</v>
      </c>
      <c r="G272">
        <v>3950</v>
      </c>
      <c r="H272" t="s">
        <v>55</v>
      </c>
      <c r="I272">
        <v>2007</v>
      </c>
      <c r="L272" s="34">
        <v>277</v>
      </c>
      <c r="M272" s="35"/>
      <c r="N272" s="35">
        <v>46.5</v>
      </c>
      <c r="O272" s="35"/>
      <c r="P272" s="35">
        <v>46.5</v>
      </c>
    </row>
    <row r="273" spans="1:16" x14ac:dyDescent="0.35">
      <c r="A273">
        <v>283</v>
      </c>
      <c r="B273" t="s">
        <v>59</v>
      </c>
      <c r="C273" t="s">
        <v>57</v>
      </c>
      <c r="D273">
        <v>46.1</v>
      </c>
      <c r="E273">
        <v>18.2</v>
      </c>
      <c r="F273">
        <v>178</v>
      </c>
      <c r="G273">
        <v>3250</v>
      </c>
      <c r="H273" t="s">
        <v>55</v>
      </c>
      <c r="I273">
        <v>2007</v>
      </c>
      <c r="L273" s="34">
        <v>278</v>
      </c>
      <c r="M273" s="35"/>
      <c r="N273" s="35">
        <v>50</v>
      </c>
      <c r="O273" s="35"/>
      <c r="P273" s="35">
        <v>50</v>
      </c>
    </row>
    <row r="274" spans="1:16" x14ac:dyDescent="0.35">
      <c r="A274">
        <v>284</v>
      </c>
      <c r="B274" t="s">
        <v>59</v>
      </c>
      <c r="C274" t="s">
        <v>57</v>
      </c>
      <c r="D274">
        <v>51.3</v>
      </c>
      <c r="E274">
        <v>18.2</v>
      </c>
      <c r="F274">
        <v>197</v>
      </c>
      <c r="G274">
        <v>3750</v>
      </c>
      <c r="H274" t="s">
        <v>54</v>
      </c>
      <c r="I274">
        <v>2007</v>
      </c>
      <c r="L274" s="34">
        <v>279</v>
      </c>
      <c r="M274" s="35"/>
      <c r="N274" s="35">
        <v>51.3</v>
      </c>
      <c r="O274" s="35"/>
      <c r="P274" s="35">
        <v>51.3</v>
      </c>
    </row>
    <row r="275" spans="1:16" x14ac:dyDescent="0.35">
      <c r="A275">
        <v>285</v>
      </c>
      <c r="B275" t="s">
        <v>59</v>
      </c>
      <c r="C275" t="s">
        <v>57</v>
      </c>
      <c r="D275">
        <v>46</v>
      </c>
      <c r="E275">
        <v>18.899999999999999</v>
      </c>
      <c r="F275">
        <v>195</v>
      </c>
      <c r="G275">
        <v>4150</v>
      </c>
      <c r="H275" t="s">
        <v>55</v>
      </c>
      <c r="I275">
        <v>2007</v>
      </c>
      <c r="L275" s="34">
        <v>280</v>
      </c>
      <c r="M275" s="35"/>
      <c r="N275" s="35">
        <v>45.4</v>
      </c>
      <c r="O275" s="35"/>
      <c r="P275" s="35">
        <v>45.4</v>
      </c>
    </row>
    <row r="276" spans="1:16" x14ac:dyDescent="0.35">
      <c r="A276">
        <v>286</v>
      </c>
      <c r="B276" t="s">
        <v>59</v>
      </c>
      <c r="C276" t="s">
        <v>57</v>
      </c>
      <c r="D276">
        <v>51.3</v>
      </c>
      <c r="E276">
        <v>19.899999999999999</v>
      </c>
      <c r="F276">
        <v>198</v>
      </c>
      <c r="G276">
        <v>3700</v>
      </c>
      <c r="H276" t="s">
        <v>54</v>
      </c>
      <c r="I276">
        <v>2007</v>
      </c>
      <c r="L276" s="34">
        <v>281</v>
      </c>
      <c r="M276" s="35"/>
      <c r="N276" s="35">
        <v>52.7</v>
      </c>
      <c r="O276" s="35"/>
      <c r="P276" s="35">
        <v>52.7</v>
      </c>
    </row>
    <row r="277" spans="1:16" x14ac:dyDescent="0.35">
      <c r="A277">
        <v>287</v>
      </c>
      <c r="B277" t="s">
        <v>59</v>
      </c>
      <c r="C277" t="s">
        <v>57</v>
      </c>
      <c r="D277">
        <v>46.6</v>
      </c>
      <c r="E277">
        <v>17.8</v>
      </c>
      <c r="F277">
        <v>193</v>
      </c>
      <c r="G277">
        <v>3800</v>
      </c>
      <c r="H277" t="s">
        <v>55</v>
      </c>
      <c r="I277">
        <v>2007</v>
      </c>
      <c r="L277" s="34">
        <v>282</v>
      </c>
      <c r="M277" s="35"/>
      <c r="N277" s="35">
        <v>45.2</v>
      </c>
      <c r="O277" s="35"/>
      <c r="P277" s="35">
        <v>45.2</v>
      </c>
    </row>
    <row r="278" spans="1:16" x14ac:dyDescent="0.35">
      <c r="A278">
        <v>288</v>
      </c>
      <c r="B278" t="s">
        <v>59</v>
      </c>
      <c r="C278" t="s">
        <v>57</v>
      </c>
      <c r="D278">
        <v>51.7</v>
      </c>
      <c r="E278">
        <v>20.3</v>
      </c>
      <c r="F278">
        <v>194</v>
      </c>
      <c r="G278">
        <v>3775</v>
      </c>
      <c r="H278" t="s">
        <v>54</v>
      </c>
      <c r="I278">
        <v>2007</v>
      </c>
      <c r="L278" s="34">
        <v>283</v>
      </c>
      <c r="M278" s="35"/>
      <c r="N278" s="35">
        <v>46.1</v>
      </c>
      <c r="O278" s="35"/>
      <c r="P278" s="35">
        <v>46.1</v>
      </c>
    </row>
    <row r="279" spans="1:16" x14ac:dyDescent="0.35">
      <c r="A279">
        <v>289</v>
      </c>
      <c r="B279" t="s">
        <v>59</v>
      </c>
      <c r="C279" t="s">
        <v>57</v>
      </c>
      <c r="D279">
        <v>47</v>
      </c>
      <c r="E279">
        <v>17.3</v>
      </c>
      <c r="F279">
        <v>185</v>
      </c>
      <c r="G279">
        <v>3700</v>
      </c>
      <c r="H279" t="s">
        <v>55</v>
      </c>
      <c r="I279">
        <v>2007</v>
      </c>
      <c r="L279" s="34">
        <v>284</v>
      </c>
      <c r="M279" s="35"/>
      <c r="N279" s="35">
        <v>51.3</v>
      </c>
      <c r="O279" s="35"/>
      <c r="P279" s="35">
        <v>51.3</v>
      </c>
    </row>
    <row r="280" spans="1:16" x14ac:dyDescent="0.35">
      <c r="A280">
        <v>290</v>
      </c>
      <c r="B280" t="s">
        <v>59</v>
      </c>
      <c r="C280" t="s">
        <v>57</v>
      </c>
      <c r="D280">
        <v>52</v>
      </c>
      <c r="E280">
        <v>18.100000000000001</v>
      </c>
      <c r="F280">
        <v>201</v>
      </c>
      <c r="G280">
        <v>4050</v>
      </c>
      <c r="H280" t="s">
        <v>54</v>
      </c>
      <c r="I280">
        <v>2007</v>
      </c>
      <c r="L280" s="34">
        <v>285</v>
      </c>
      <c r="M280" s="35"/>
      <c r="N280" s="35">
        <v>46</v>
      </c>
      <c r="O280" s="35"/>
      <c r="P280" s="35">
        <v>46</v>
      </c>
    </row>
    <row r="281" spans="1:16" x14ac:dyDescent="0.35">
      <c r="A281">
        <v>291</v>
      </c>
      <c r="B281" t="s">
        <v>59</v>
      </c>
      <c r="C281" t="s">
        <v>57</v>
      </c>
      <c r="D281">
        <v>45.9</v>
      </c>
      <c r="E281">
        <v>17.100000000000001</v>
      </c>
      <c r="F281">
        <v>190</v>
      </c>
      <c r="G281">
        <v>3575</v>
      </c>
      <c r="H281" t="s">
        <v>55</v>
      </c>
      <c r="I281">
        <v>2007</v>
      </c>
      <c r="L281" s="34">
        <v>286</v>
      </c>
      <c r="M281" s="35"/>
      <c r="N281" s="35">
        <v>51.3</v>
      </c>
      <c r="O281" s="35"/>
      <c r="P281" s="35">
        <v>51.3</v>
      </c>
    </row>
    <row r="282" spans="1:16" x14ac:dyDescent="0.35">
      <c r="A282">
        <v>292</v>
      </c>
      <c r="B282" t="s">
        <v>59</v>
      </c>
      <c r="C282" t="s">
        <v>57</v>
      </c>
      <c r="D282">
        <v>50.5</v>
      </c>
      <c r="E282">
        <v>19.600000000000001</v>
      </c>
      <c r="F282">
        <v>201</v>
      </c>
      <c r="G282">
        <v>4050</v>
      </c>
      <c r="H282" t="s">
        <v>54</v>
      </c>
      <c r="I282">
        <v>2007</v>
      </c>
      <c r="L282" s="34">
        <v>287</v>
      </c>
      <c r="M282" s="35"/>
      <c r="N282" s="35">
        <v>46.6</v>
      </c>
      <c r="O282" s="35"/>
      <c r="P282" s="35">
        <v>46.6</v>
      </c>
    </row>
    <row r="283" spans="1:16" x14ac:dyDescent="0.35">
      <c r="A283">
        <v>293</v>
      </c>
      <c r="B283" t="s">
        <v>59</v>
      </c>
      <c r="C283" t="s">
        <v>57</v>
      </c>
      <c r="D283">
        <v>50.3</v>
      </c>
      <c r="E283">
        <v>20</v>
      </c>
      <c r="F283">
        <v>197</v>
      </c>
      <c r="G283">
        <v>3300</v>
      </c>
      <c r="H283" t="s">
        <v>54</v>
      </c>
      <c r="I283">
        <v>2007</v>
      </c>
      <c r="L283" s="34">
        <v>288</v>
      </c>
      <c r="M283" s="35"/>
      <c r="N283" s="35">
        <v>51.7</v>
      </c>
      <c r="O283" s="35"/>
      <c r="P283" s="35">
        <v>51.7</v>
      </c>
    </row>
    <row r="284" spans="1:16" x14ac:dyDescent="0.35">
      <c r="A284">
        <v>294</v>
      </c>
      <c r="B284" t="s">
        <v>59</v>
      </c>
      <c r="C284" t="s">
        <v>57</v>
      </c>
      <c r="D284">
        <v>58</v>
      </c>
      <c r="E284">
        <v>17.8</v>
      </c>
      <c r="F284">
        <v>181</v>
      </c>
      <c r="G284">
        <v>3700</v>
      </c>
      <c r="H284" t="s">
        <v>55</v>
      </c>
      <c r="I284">
        <v>2007</v>
      </c>
      <c r="L284" s="34">
        <v>289</v>
      </c>
      <c r="M284" s="35"/>
      <c r="N284" s="35">
        <v>47</v>
      </c>
      <c r="O284" s="35"/>
      <c r="P284" s="35">
        <v>47</v>
      </c>
    </row>
    <row r="285" spans="1:16" x14ac:dyDescent="0.35">
      <c r="A285">
        <v>295</v>
      </c>
      <c r="B285" t="s">
        <v>59</v>
      </c>
      <c r="C285" t="s">
        <v>57</v>
      </c>
      <c r="D285">
        <v>46.4</v>
      </c>
      <c r="E285">
        <v>18.600000000000001</v>
      </c>
      <c r="F285">
        <v>190</v>
      </c>
      <c r="G285">
        <v>3450</v>
      </c>
      <c r="H285" t="s">
        <v>55</v>
      </c>
      <c r="I285">
        <v>2007</v>
      </c>
      <c r="L285" s="34">
        <v>290</v>
      </c>
      <c r="M285" s="35"/>
      <c r="N285" s="35">
        <v>52</v>
      </c>
      <c r="O285" s="35"/>
      <c r="P285" s="35">
        <v>52</v>
      </c>
    </row>
    <row r="286" spans="1:16" x14ac:dyDescent="0.35">
      <c r="A286">
        <v>296</v>
      </c>
      <c r="B286" t="s">
        <v>59</v>
      </c>
      <c r="C286" t="s">
        <v>57</v>
      </c>
      <c r="D286">
        <v>49.2</v>
      </c>
      <c r="E286">
        <v>18.2</v>
      </c>
      <c r="F286">
        <v>195</v>
      </c>
      <c r="G286">
        <v>4400</v>
      </c>
      <c r="H286" t="s">
        <v>54</v>
      </c>
      <c r="I286">
        <v>2007</v>
      </c>
      <c r="L286" s="34">
        <v>291</v>
      </c>
      <c r="M286" s="35"/>
      <c r="N286" s="35">
        <v>45.9</v>
      </c>
      <c r="O286" s="35"/>
      <c r="P286" s="35">
        <v>45.9</v>
      </c>
    </row>
    <row r="287" spans="1:16" x14ac:dyDescent="0.35">
      <c r="A287">
        <v>297</v>
      </c>
      <c r="B287" t="s">
        <v>59</v>
      </c>
      <c r="C287" t="s">
        <v>57</v>
      </c>
      <c r="D287">
        <v>42.4</v>
      </c>
      <c r="E287">
        <v>17.3</v>
      </c>
      <c r="F287">
        <v>181</v>
      </c>
      <c r="G287">
        <v>3600</v>
      </c>
      <c r="H287" t="s">
        <v>55</v>
      </c>
      <c r="I287">
        <v>2007</v>
      </c>
      <c r="L287" s="34">
        <v>292</v>
      </c>
      <c r="M287" s="35"/>
      <c r="N287" s="35">
        <v>50.5</v>
      </c>
      <c r="O287" s="35"/>
      <c r="P287" s="35">
        <v>50.5</v>
      </c>
    </row>
    <row r="288" spans="1:16" x14ac:dyDescent="0.35">
      <c r="A288">
        <v>298</v>
      </c>
      <c r="B288" t="s">
        <v>59</v>
      </c>
      <c r="C288" t="s">
        <v>57</v>
      </c>
      <c r="D288">
        <v>48.5</v>
      </c>
      <c r="E288">
        <v>17.5</v>
      </c>
      <c r="F288">
        <v>191</v>
      </c>
      <c r="G288">
        <v>3400</v>
      </c>
      <c r="H288" t="s">
        <v>54</v>
      </c>
      <c r="I288">
        <v>2007</v>
      </c>
      <c r="L288" s="34">
        <v>293</v>
      </c>
      <c r="M288" s="35"/>
      <c r="N288" s="35">
        <v>50.3</v>
      </c>
      <c r="O288" s="35"/>
      <c r="P288" s="35">
        <v>50.3</v>
      </c>
    </row>
    <row r="289" spans="1:16" x14ac:dyDescent="0.35">
      <c r="A289">
        <v>299</v>
      </c>
      <c r="B289" t="s">
        <v>59</v>
      </c>
      <c r="C289" t="s">
        <v>57</v>
      </c>
      <c r="D289">
        <v>43.2</v>
      </c>
      <c r="E289">
        <v>16.600000000000001</v>
      </c>
      <c r="F289">
        <v>187</v>
      </c>
      <c r="G289">
        <v>2900</v>
      </c>
      <c r="H289" t="s">
        <v>55</v>
      </c>
      <c r="I289">
        <v>2007</v>
      </c>
      <c r="L289" s="34">
        <v>294</v>
      </c>
      <c r="M289" s="35"/>
      <c r="N289" s="35">
        <v>58</v>
      </c>
      <c r="O289" s="35"/>
      <c r="P289" s="35">
        <v>58</v>
      </c>
    </row>
    <row r="290" spans="1:16" x14ac:dyDescent="0.35">
      <c r="A290">
        <v>300</v>
      </c>
      <c r="B290" t="s">
        <v>59</v>
      </c>
      <c r="C290" t="s">
        <v>57</v>
      </c>
      <c r="D290">
        <v>50.6</v>
      </c>
      <c r="E290">
        <v>19.399999999999999</v>
      </c>
      <c r="F290">
        <v>193</v>
      </c>
      <c r="G290">
        <v>3800</v>
      </c>
      <c r="H290" t="s">
        <v>54</v>
      </c>
      <c r="I290">
        <v>2007</v>
      </c>
      <c r="L290" s="34">
        <v>295</v>
      </c>
      <c r="M290" s="35"/>
      <c r="N290" s="35">
        <v>46.4</v>
      </c>
      <c r="O290" s="35"/>
      <c r="P290" s="35">
        <v>46.4</v>
      </c>
    </row>
    <row r="291" spans="1:16" x14ac:dyDescent="0.35">
      <c r="A291">
        <v>301</v>
      </c>
      <c r="B291" t="s">
        <v>59</v>
      </c>
      <c r="C291" t="s">
        <v>57</v>
      </c>
      <c r="D291">
        <v>46.7</v>
      </c>
      <c r="E291">
        <v>17.899999999999999</v>
      </c>
      <c r="F291">
        <v>195</v>
      </c>
      <c r="G291">
        <v>3300</v>
      </c>
      <c r="H291" t="s">
        <v>55</v>
      </c>
      <c r="I291">
        <v>2007</v>
      </c>
      <c r="L291" s="34">
        <v>296</v>
      </c>
      <c r="M291" s="35"/>
      <c r="N291" s="35">
        <v>49.2</v>
      </c>
      <c r="O291" s="35"/>
      <c r="P291" s="35">
        <v>49.2</v>
      </c>
    </row>
    <row r="292" spans="1:16" x14ac:dyDescent="0.35">
      <c r="A292">
        <v>302</v>
      </c>
      <c r="B292" t="s">
        <v>59</v>
      </c>
      <c r="C292" t="s">
        <v>57</v>
      </c>
      <c r="D292">
        <v>52</v>
      </c>
      <c r="E292">
        <v>19</v>
      </c>
      <c r="F292">
        <v>197</v>
      </c>
      <c r="G292">
        <v>4150</v>
      </c>
      <c r="H292" t="s">
        <v>54</v>
      </c>
      <c r="I292">
        <v>2007</v>
      </c>
      <c r="L292" s="34">
        <v>297</v>
      </c>
      <c r="M292" s="35"/>
      <c r="N292" s="35">
        <v>42.4</v>
      </c>
      <c r="O292" s="35"/>
      <c r="P292" s="35">
        <v>42.4</v>
      </c>
    </row>
    <row r="293" spans="1:16" x14ac:dyDescent="0.35">
      <c r="A293">
        <v>303</v>
      </c>
      <c r="B293" t="s">
        <v>59</v>
      </c>
      <c r="C293" t="s">
        <v>57</v>
      </c>
      <c r="D293">
        <v>50.5</v>
      </c>
      <c r="E293">
        <v>18.399999999999999</v>
      </c>
      <c r="F293">
        <v>200</v>
      </c>
      <c r="G293">
        <v>3400</v>
      </c>
      <c r="H293" t="s">
        <v>55</v>
      </c>
      <c r="I293">
        <v>2008</v>
      </c>
      <c r="L293" s="34">
        <v>298</v>
      </c>
      <c r="M293" s="35"/>
      <c r="N293" s="35">
        <v>48.5</v>
      </c>
      <c r="O293" s="35"/>
      <c r="P293" s="35">
        <v>48.5</v>
      </c>
    </row>
    <row r="294" spans="1:16" x14ac:dyDescent="0.35">
      <c r="A294">
        <v>304</v>
      </c>
      <c r="B294" t="s">
        <v>59</v>
      </c>
      <c r="C294" t="s">
        <v>57</v>
      </c>
      <c r="D294">
        <v>49.5</v>
      </c>
      <c r="E294">
        <v>19</v>
      </c>
      <c r="F294">
        <v>200</v>
      </c>
      <c r="G294">
        <v>3800</v>
      </c>
      <c r="H294" t="s">
        <v>54</v>
      </c>
      <c r="I294">
        <v>2008</v>
      </c>
      <c r="L294" s="34">
        <v>299</v>
      </c>
      <c r="M294" s="35"/>
      <c r="N294" s="35">
        <v>43.2</v>
      </c>
      <c r="O294" s="35"/>
      <c r="P294" s="35">
        <v>43.2</v>
      </c>
    </row>
    <row r="295" spans="1:16" x14ac:dyDescent="0.35">
      <c r="A295">
        <v>305</v>
      </c>
      <c r="B295" t="s">
        <v>59</v>
      </c>
      <c r="C295" t="s">
        <v>57</v>
      </c>
      <c r="D295">
        <v>46.4</v>
      </c>
      <c r="E295">
        <v>17.8</v>
      </c>
      <c r="F295">
        <v>191</v>
      </c>
      <c r="G295">
        <v>3700</v>
      </c>
      <c r="H295" t="s">
        <v>55</v>
      </c>
      <c r="I295">
        <v>2008</v>
      </c>
      <c r="L295" s="34">
        <v>300</v>
      </c>
      <c r="M295" s="35"/>
      <c r="N295" s="35">
        <v>50.6</v>
      </c>
      <c r="O295" s="35"/>
      <c r="P295" s="35">
        <v>50.6</v>
      </c>
    </row>
    <row r="296" spans="1:16" x14ac:dyDescent="0.35">
      <c r="A296">
        <v>306</v>
      </c>
      <c r="B296" t="s">
        <v>59</v>
      </c>
      <c r="C296" t="s">
        <v>57</v>
      </c>
      <c r="D296">
        <v>52.8</v>
      </c>
      <c r="E296">
        <v>20</v>
      </c>
      <c r="F296">
        <v>205</v>
      </c>
      <c r="G296">
        <v>4550</v>
      </c>
      <c r="H296" t="s">
        <v>54</v>
      </c>
      <c r="I296">
        <v>2008</v>
      </c>
      <c r="L296" s="34">
        <v>301</v>
      </c>
      <c r="M296" s="35"/>
      <c r="N296" s="35">
        <v>46.7</v>
      </c>
      <c r="O296" s="35"/>
      <c r="P296" s="35">
        <v>46.7</v>
      </c>
    </row>
    <row r="297" spans="1:16" x14ac:dyDescent="0.35">
      <c r="A297">
        <v>307</v>
      </c>
      <c r="B297" t="s">
        <v>59</v>
      </c>
      <c r="C297" t="s">
        <v>57</v>
      </c>
      <c r="D297">
        <v>40.9</v>
      </c>
      <c r="E297">
        <v>16.600000000000001</v>
      </c>
      <c r="F297">
        <v>187</v>
      </c>
      <c r="G297">
        <v>3200</v>
      </c>
      <c r="H297" t="s">
        <v>55</v>
      </c>
      <c r="I297">
        <v>2008</v>
      </c>
      <c r="L297" s="34">
        <v>302</v>
      </c>
      <c r="M297" s="35"/>
      <c r="N297" s="35">
        <v>52</v>
      </c>
      <c r="O297" s="35"/>
      <c r="P297" s="35">
        <v>52</v>
      </c>
    </row>
    <row r="298" spans="1:16" x14ac:dyDescent="0.35">
      <c r="A298">
        <v>308</v>
      </c>
      <c r="B298" t="s">
        <v>59</v>
      </c>
      <c r="C298" t="s">
        <v>57</v>
      </c>
      <c r="D298">
        <v>54.2</v>
      </c>
      <c r="E298">
        <v>20.8</v>
      </c>
      <c r="F298">
        <v>201</v>
      </c>
      <c r="G298">
        <v>4300</v>
      </c>
      <c r="H298" t="s">
        <v>54</v>
      </c>
      <c r="I298">
        <v>2008</v>
      </c>
      <c r="L298" s="34">
        <v>303</v>
      </c>
      <c r="M298" s="35"/>
      <c r="N298" s="35">
        <v>50.5</v>
      </c>
      <c r="O298" s="35"/>
      <c r="P298" s="35">
        <v>50.5</v>
      </c>
    </row>
    <row r="299" spans="1:16" x14ac:dyDescent="0.35">
      <c r="A299">
        <v>309</v>
      </c>
      <c r="B299" t="s">
        <v>59</v>
      </c>
      <c r="C299" t="s">
        <v>57</v>
      </c>
      <c r="D299">
        <v>42.5</v>
      </c>
      <c r="E299">
        <v>16.7</v>
      </c>
      <c r="F299">
        <v>187</v>
      </c>
      <c r="G299">
        <v>3350</v>
      </c>
      <c r="H299" t="s">
        <v>55</v>
      </c>
      <c r="I299">
        <v>2008</v>
      </c>
      <c r="L299" s="34">
        <v>304</v>
      </c>
      <c r="M299" s="35"/>
      <c r="N299" s="35">
        <v>49.5</v>
      </c>
      <c r="O299" s="35"/>
      <c r="P299" s="35">
        <v>49.5</v>
      </c>
    </row>
    <row r="300" spans="1:16" x14ac:dyDescent="0.35">
      <c r="A300">
        <v>310</v>
      </c>
      <c r="B300" t="s">
        <v>59</v>
      </c>
      <c r="C300" t="s">
        <v>57</v>
      </c>
      <c r="D300">
        <v>51</v>
      </c>
      <c r="E300">
        <v>18.8</v>
      </c>
      <c r="F300">
        <v>203</v>
      </c>
      <c r="G300">
        <v>4100</v>
      </c>
      <c r="H300" t="s">
        <v>54</v>
      </c>
      <c r="I300">
        <v>2008</v>
      </c>
      <c r="L300" s="34">
        <v>305</v>
      </c>
      <c r="M300" s="35"/>
      <c r="N300" s="35">
        <v>46.4</v>
      </c>
      <c r="O300" s="35"/>
      <c r="P300" s="35">
        <v>46.4</v>
      </c>
    </row>
    <row r="301" spans="1:16" x14ac:dyDescent="0.35">
      <c r="A301">
        <v>311</v>
      </c>
      <c r="B301" t="s">
        <v>59</v>
      </c>
      <c r="C301" t="s">
        <v>57</v>
      </c>
      <c r="D301">
        <v>49.7</v>
      </c>
      <c r="E301">
        <v>18.600000000000001</v>
      </c>
      <c r="F301">
        <v>195</v>
      </c>
      <c r="G301">
        <v>3600</v>
      </c>
      <c r="H301" t="s">
        <v>54</v>
      </c>
      <c r="I301">
        <v>2008</v>
      </c>
      <c r="L301" s="34">
        <v>306</v>
      </c>
      <c r="M301" s="35"/>
      <c r="N301" s="35">
        <v>52.8</v>
      </c>
      <c r="O301" s="35"/>
      <c r="P301" s="35">
        <v>52.8</v>
      </c>
    </row>
    <row r="302" spans="1:16" x14ac:dyDescent="0.35">
      <c r="A302">
        <v>312</v>
      </c>
      <c r="B302" t="s">
        <v>59</v>
      </c>
      <c r="C302" t="s">
        <v>57</v>
      </c>
      <c r="D302">
        <v>47.5</v>
      </c>
      <c r="E302">
        <v>16.8</v>
      </c>
      <c r="F302">
        <v>199</v>
      </c>
      <c r="G302">
        <v>3900</v>
      </c>
      <c r="H302" t="s">
        <v>55</v>
      </c>
      <c r="I302">
        <v>2008</v>
      </c>
      <c r="L302" s="34">
        <v>307</v>
      </c>
      <c r="M302" s="35"/>
      <c r="N302" s="35">
        <v>40.9</v>
      </c>
      <c r="O302" s="35"/>
      <c r="P302" s="35">
        <v>40.9</v>
      </c>
    </row>
    <row r="303" spans="1:16" x14ac:dyDescent="0.35">
      <c r="A303">
        <v>313</v>
      </c>
      <c r="B303" t="s">
        <v>59</v>
      </c>
      <c r="C303" t="s">
        <v>57</v>
      </c>
      <c r="D303">
        <v>47.6</v>
      </c>
      <c r="E303">
        <v>18.3</v>
      </c>
      <c r="F303">
        <v>195</v>
      </c>
      <c r="G303">
        <v>3850</v>
      </c>
      <c r="H303" t="s">
        <v>55</v>
      </c>
      <c r="I303">
        <v>2008</v>
      </c>
      <c r="L303" s="34">
        <v>308</v>
      </c>
      <c r="M303" s="35"/>
      <c r="N303" s="35">
        <v>54.2</v>
      </c>
      <c r="O303" s="35"/>
      <c r="P303" s="35">
        <v>54.2</v>
      </c>
    </row>
    <row r="304" spans="1:16" x14ac:dyDescent="0.35">
      <c r="A304">
        <v>314</v>
      </c>
      <c r="B304" t="s">
        <v>59</v>
      </c>
      <c r="C304" t="s">
        <v>57</v>
      </c>
      <c r="D304">
        <v>52</v>
      </c>
      <c r="E304">
        <v>20.7</v>
      </c>
      <c r="F304">
        <v>210</v>
      </c>
      <c r="G304">
        <v>4800</v>
      </c>
      <c r="H304" t="s">
        <v>54</v>
      </c>
      <c r="I304">
        <v>2008</v>
      </c>
      <c r="L304" s="34">
        <v>309</v>
      </c>
      <c r="M304" s="35"/>
      <c r="N304" s="35">
        <v>42.5</v>
      </c>
      <c r="O304" s="35"/>
      <c r="P304" s="35">
        <v>42.5</v>
      </c>
    </row>
    <row r="305" spans="1:16" x14ac:dyDescent="0.35">
      <c r="A305">
        <v>315</v>
      </c>
      <c r="B305" t="s">
        <v>59</v>
      </c>
      <c r="C305" t="s">
        <v>57</v>
      </c>
      <c r="D305">
        <v>46.9</v>
      </c>
      <c r="E305">
        <v>16.600000000000001</v>
      </c>
      <c r="F305">
        <v>192</v>
      </c>
      <c r="G305">
        <v>2700</v>
      </c>
      <c r="H305" t="s">
        <v>55</v>
      </c>
      <c r="I305">
        <v>2008</v>
      </c>
      <c r="L305" s="34">
        <v>310</v>
      </c>
      <c r="M305" s="35"/>
      <c r="N305" s="35">
        <v>51</v>
      </c>
      <c r="O305" s="35"/>
      <c r="P305" s="35">
        <v>51</v>
      </c>
    </row>
    <row r="306" spans="1:16" x14ac:dyDescent="0.35">
      <c r="A306">
        <v>316</v>
      </c>
      <c r="B306" t="s">
        <v>59</v>
      </c>
      <c r="C306" t="s">
        <v>57</v>
      </c>
      <c r="D306">
        <v>53.5</v>
      </c>
      <c r="E306">
        <v>19.899999999999999</v>
      </c>
      <c r="F306">
        <v>205</v>
      </c>
      <c r="G306">
        <v>4500</v>
      </c>
      <c r="H306" t="s">
        <v>54</v>
      </c>
      <c r="I306">
        <v>2008</v>
      </c>
      <c r="L306" s="34">
        <v>311</v>
      </c>
      <c r="M306" s="35"/>
      <c r="N306" s="35">
        <v>49.7</v>
      </c>
      <c r="O306" s="35"/>
      <c r="P306" s="35">
        <v>49.7</v>
      </c>
    </row>
    <row r="307" spans="1:16" x14ac:dyDescent="0.35">
      <c r="A307">
        <v>317</v>
      </c>
      <c r="B307" t="s">
        <v>59</v>
      </c>
      <c r="C307" t="s">
        <v>57</v>
      </c>
      <c r="D307">
        <v>49</v>
      </c>
      <c r="E307">
        <v>19.5</v>
      </c>
      <c r="F307">
        <v>210</v>
      </c>
      <c r="G307">
        <v>3950</v>
      </c>
      <c r="H307" t="s">
        <v>54</v>
      </c>
      <c r="I307">
        <v>2008</v>
      </c>
      <c r="L307" s="34">
        <v>312</v>
      </c>
      <c r="M307" s="35"/>
      <c r="N307" s="35">
        <v>47.5</v>
      </c>
      <c r="O307" s="35"/>
      <c r="P307" s="35">
        <v>47.5</v>
      </c>
    </row>
    <row r="308" spans="1:16" x14ac:dyDescent="0.35">
      <c r="A308">
        <v>318</v>
      </c>
      <c r="B308" t="s">
        <v>59</v>
      </c>
      <c r="C308" t="s">
        <v>57</v>
      </c>
      <c r="D308">
        <v>46.2</v>
      </c>
      <c r="E308">
        <v>17.5</v>
      </c>
      <c r="F308">
        <v>187</v>
      </c>
      <c r="G308">
        <v>3650</v>
      </c>
      <c r="H308" t="s">
        <v>55</v>
      </c>
      <c r="I308">
        <v>2008</v>
      </c>
      <c r="L308" s="34">
        <v>313</v>
      </c>
      <c r="M308" s="35"/>
      <c r="N308" s="35">
        <v>47.6</v>
      </c>
      <c r="O308" s="35"/>
      <c r="P308" s="35">
        <v>47.6</v>
      </c>
    </row>
    <row r="309" spans="1:16" x14ac:dyDescent="0.35">
      <c r="A309">
        <v>319</v>
      </c>
      <c r="B309" t="s">
        <v>59</v>
      </c>
      <c r="C309" t="s">
        <v>57</v>
      </c>
      <c r="D309">
        <v>50.9</v>
      </c>
      <c r="E309">
        <v>19.100000000000001</v>
      </c>
      <c r="F309">
        <v>196</v>
      </c>
      <c r="G309">
        <v>3550</v>
      </c>
      <c r="H309" t="s">
        <v>54</v>
      </c>
      <c r="I309">
        <v>2008</v>
      </c>
      <c r="L309" s="34">
        <v>314</v>
      </c>
      <c r="M309" s="35"/>
      <c r="N309" s="35">
        <v>52</v>
      </c>
      <c r="O309" s="35"/>
      <c r="P309" s="35">
        <v>52</v>
      </c>
    </row>
    <row r="310" spans="1:16" x14ac:dyDescent="0.35">
      <c r="A310">
        <v>320</v>
      </c>
      <c r="B310" t="s">
        <v>59</v>
      </c>
      <c r="C310" t="s">
        <v>57</v>
      </c>
      <c r="D310">
        <v>45.5</v>
      </c>
      <c r="E310">
        <v>17</v>
      </c>
      <c r="F310">
        <v>196</v>
      </c>
      <c r="G310">
        <v>3500</v>
      </c>
      <c r="H310" t="s">
        <v>55</v>
      </c>
      <c r="I310">
        <v>2008</v>
      </c>
      <c r="L310" s="34">
        <v>315</v>
      </c>
      <c r="M310" s="35"/>
      <c r="N310" s="35">
        <v>46.9</v>
      </c>
      <c r="O310" s="35"/>
      <c r="P310" s="35">
        <v>46.9</v>
      </c>
    </row>
    <row r="311" spans="1:16" x14ac:dyDescent="0.35">
      <c r="A311">
        <v>321</v>
      </c>
      <c r="B311" t="s">
        <v>59</v>
      </c>
      <c r="C311" t="s">
        <v>57</v>
      </c>
      <c r="D311">
        <v>50.9</v>
      </c>
      <c r="E311">
        <v>17.899999999999999</v>
      </c>
      <c r="F311">
        <v>196</v>
      </c>
      <c r="G311">
        <v>3675</v>
      </c>
      <c r="H311" t="s">
        <v>55</v>
      </c>
      <c r="I311">
        <v>2009</v>
      </c>
      <c r="L311" s="34">
        <v>316</v>
      </c>
      <c r="M311" s="35"/>
      <c r="N311" s="35">
        <v>53.5</v>
      </c>
      <c r="O311" s="35"/>
      <c r="P311" s="35">
        <v>53.5</v>
      </c>
    </row>
    <row r="312" spans="1:16" x14ac:dyDescent="0.35">
      <c r="A312">
        <v>322</v>
      </c>
      <c r="B312" t="s">
        <v>59</v>
      </c>
      <c r="C312" t="s">
        <v>57</v>
      </c>
      <c r="D312">
        <v>50.8</v>
      </c>
      <c r="E312">
        <v>18.5</v>
      </c>
      <c r="F312">
        <v>201</v>
      </c>
      <c r="G312">
        <v>4450</v>
      </c>
      <c r="H312" t="s">
        <v>54</v>
      </c>
      <c r="I312">
        <v>2009</v>
      </c>
      <c r="L312" s="34">
        <v>317</v>
      </c>
      <c r="M312" s="35"/>
      <c r="N312" s="35">
        <v>49</v>
      </c>
      <c r="O312" s="35"/>
      <c r="P312" s="35">
        <v>49</v>
      </c>
    </row>
    <row r="313" spans="1:16" x14ac:dyDescent="0.35">
      <c r="A313">
        <v>323</v>
      </c>
      <c r="B313" t="s">
        <v>59</v>
      </c>
      <c r="C313" t="s">
        <v>57</v>
      </c>
      <c r="D313">
        <v>50.1</v>
      </c>
      <c r="E313">
        <v>17.899999999999999</v>
      </c>
      <c r="F313">
        <v>190</v>
      </c>
      <c r="G313">
        <v>3400</v>
      </c>
      <c r="H313" t="s">
        <v>55</v>
      </c>
      <c r="I313">
        <v>2009</v>
      </c>
      <c r="L313" s="34">
        <v>318</v>
      </c>
      <c r="M313" s="35"/>
      <c r="N313" s="35">
        <v>46.2</v>
      </c>
      <c r="O313" s="35"/>
      <c r="P313" s="35">
        <v>46.2</v>
      </c>
    </row>
    <row r="314" spans="1:16" x14ac:dyDescent="0.35">
      <c r="A314">
        <v>324</v>
      </c>
      <c r="B314" t="s">
        <v>59</v>
      </c>
      <c r="C314" t="s">
        <v>57</v>
      </c>
      <c r="D314">
        <v>49</v>
      </c>
      <c r="E314">
        <v>19.600000000000001</v>
      </c>
      <c r="F314">
        <v>212</v>
      </c>
      <c r="G314">
        <v>4300</v>
      </c>
      <c r="H314" t="s">
        <v>54</v>
      </c>
      <c r="I314">
        <v>2009</v>
      </c>
      <c r="L314" s="34">
        <v>319</v>
      </c>
      <c r="M314" s="35"/>
      <c r="N314" s="35">
        <v>50.9</v>
      </c>
      <c r="O314" s="35"/>
      <c r="P314" s="35">
        <v>50.9</v>
      </c>
    </row>
    <row r="315" spans="1:16" x14ac:dyDescent="0.35">
      <c r="A315">
        <v>325</v>
      </c>
      <c r="B315" t="s">
        <v>59</v>
      </c>
      <c r="C315" t="s">
        <v>57</v>
      </c>
      <c r="D315">
        <v>51.5</v>
      </c>
      <c r="E315">
        <v>18.7</v>
      </c>
      <c r="F315">
        <v>187</v>
      </c>
      <c r="G315">
        <v>3250</v>
      </c>
      <c r="H315" t="s">
        <v>54</v>
      </c>
      <c r="I315">
        <v>2009</v>
      </c>
      <c r="L315" s="34">
        <v>320</v>
      </c>
      <c r="M315" s="35"/>
      <c r="N315" s="35">
        <v>45.5</v>
      </c>
      <c r="O315" s="35"/>
      <c r="P315" s="35">
        <v>45.5</v>
      </c>
    </row>
    <row r="316" spans="1:16" x14ac:dyDescent="0.35">
      <c r="A316">
        <v>326</v>
      </c>
      <c r="B316" t="s">
        <v>59</v>
      </c>
      <c r="C316" t="s">
        <v>57</v>
      </c>
      <c r="D316">
        <v>49.8</v>
      </c>
      <c r="E316">
        <v>17.3</v>
      </c>
      <c r="F316">
        <v>198</v>
      </c>
      <c r="G316">
        <v>3675</v>
      </c>
      <c r="H316" t="s">
        <v>55</v>
      </c>
      <c r="I316">
        <v>2009</v>
      </c>
      <c r="L316" s="34">
        <v>321</v>
      </c>
      <c r="M316" s="35"/>
      <c r="N316" s="35">
        <v>50.9</v>
      </c>
      <c r="O316" s="35"/>
      <c r="P316" s="35">
        <v>50.9</v>
      </c>
    </row>
    <row r="317" spans="1:16" x14ac:dyDescent="0.35">
      <c r="A317">
        <v>327</v>
      </c>
      <c r="B317" t="s">
        <v>59</v>
      </c>
      <c r="C317" t="s">
        <v>57</v>
      </c>
      <c r="D317">
        <v>48.1</v>
      </c>
      <c r="E317">
        <v>16.399999999999999</v>
      </c>
      <c r="F317">
        <v>199</v>
      </c>
      <c r="G317">
        <v>3325</v>
      </c>
      <c r="H317" t="s">
        <v>55</v>
      </c>
      <c r="I317">
        <v>2009</v>
      </c>
      <c r="L317" s="34">
        <v>322</v>
      </c>
      <c r="M317" s="35"/>
      <c r="N317" s="35">
        <v>50.8</v>
      </c>
      <c r="O317" s="35"/>
      <c r="P317" s="35">
        <v>50.8</v>
      </c>
    </row>
    <row r="318" spans="1:16" x14ac:dyDescent="0.35">
      <c r="A318">
        <v>328</v>
      </c>
      <c r="B318" t="s">
        <v>59</v>
      </c>
      <c r="C318" t="s">
        <v>57</v>
      </c>
      <c r="D318">
        <v>51.4</v>
      </c>
      <c r="E318">
        <v>19</v>
      </c>
      <c r="F318">
        <v>201</v>
      </c>
      <c r="G318">
        <v>3950</v>
      </c>
      <c r="H318" t="s">
        <v>54</v>
      </c>
      <c r="I318">
        <v>2009</v>
      </c>
      <c r="L318" s="34">
        <v>323</v>
      </c>
      <c r="M318" s="35"/>
      <c r="N318" s="35">
        <v>50.1</v>
      </c>
      <c r="O318" s="35"/>
      <c r="P318" s="35">
        <v>50.1</v>
      </c>
    </row>
    <row r="319" spans="1:16" x14ac:dyDescent="0.35">
      <c r="A319">
        <v>329</v>
      </c>
      <c r="B319" t="s">
        <v>59</v>
      </c>
      <c r="C319" t="s">
        <v>57</v>
      </c>
      <c r="D319">
        <v>45.7</v>
      </c>
      <c r="E319">
        <v>17.3</v>
      </c>
      <c r="F319">
        <v>193</v>
      </c>
      <c r="G319">
        <v>3600</v>
      </c>
      <c r="H319" t="s">
        <v>55</v>
      </c>
      <c r="I319">
        <v>2009</v>
      </c>
      <c r="L319" s="34">
        <v>324</v>
      </c>
      <c r="M319" s="35"/>
      <c r="N319" s="35">
        <v>49</v>
      </c>
      <c r="O319" s="35"/>
      <c r="P319" s="35">
        <v>49</v>
      </c>
    </row>
    <row r="320" spans="1:16" x14ac:dyDescent="0.35">
      <c r="A320">
        <v>330</v>
      </c>
      <c r="B320" t="s">
        <v>59</v>
      </c>
      <c r="C320" t="s">
        <v>57</v>
      </c>
      <c r="D320">
        <v>50.7</v>
      </c>
      <c r="E320">
        <v>19.7</v>
      </c>
      <c r="F320">
        <v>203</v>
      </c>
      <c r="G320">
        <v>4050</v>
      </c>
      <c r="H320" t="s">
        <v>54</v>
      </c>
      <c r="I320">
        <v>2009</v>
      </c>
      <c r="L320" s="34">
        <v>325</v>
      </c>
      <c r="M320" s="35"/>
      <c r="N320" s="35">
        <v>51.5</v>
      </c>
      <c r="O320" s="35"/>
      <c r="P320" s="35">
        <v>51.5</v>
      </c>
    </row>
    <row r="321" spans="1:16" x14ac:dyDescent="0.35">
      <c r="A321">
        <v>331</v>
      </c>
      <c r="B321" t="s">
        <v>59</v>
      </c>
      <c r="C321" t="s">
        <v>57</v>
      </c>
      <c r="D321">
        <v>42.5</v>
      </c>
      <c r="E321">
        <v>17.3</v>
      </c>
      <c r="F321">
        <v>187</v>
      </c>
      <c r="G321">
        <v>3350</v>
      </c>
      <c r="H321" t="s">
        <v>55</v>
      </c>
      <c r="I321">
        <v>2009</v>
      </c>
      <c r="L321" s="34">
        <v>326</v>
      </c>
      <c r="M321" s="35"/>
      <c r="N321" s="35">
        <v>49.8</v>
      </c>
      <c r="O321" s="35"/>
      <c r="P321" s="35">
        <v>49.8</v>
      </c>
    </row>
    <row r="322" spans="1:16" x14ac:dyDescent="0.35">
      <c r="A322">
        <v>332</v>
      </c>
      <c r="B322" t="s">
        <v>59</v>
      </c>
      <c r="C322" t="s">
        <v>57</v>
      </c>
      <c r="D322">
        <v>52.2</v>
      </c>
      <c r="E322">
        <v>18.8</v>
      </c>
      <c r="F322">
        <v>197</v>
      </c>
      <c r="G322">
        <v>3450</v>
      </c>
      <c r="H322" t="s">
        <v>54</v>
      </c>
      <c r="I322">
        <v>2009</v>
      </c>
      <c r="L322" s="34">
        <v>327</v>
      </c>
      <c r="M322" s="35"/>
      <c r="N322" s="35">
        <v>48.1</v>
      </c>
      <c r="O322" s="35"/>
      <c r="P322" s="35">
        <v>48.1</v>
      </c>
    </row>
    <row r="323" spans="1:16" x14ac:dyDescent="0.35">
      <c r="A323">
        <v>333</v>
      </c>
      <c r="B323" t="s">
        <v>59</v>
      </c>
      <c r="C323" t="s">
        <v>57</v>
      </c>
      <c r="D323">
        <v>45.2</v>
      </c>
      <c r="E323">
        <v>16.600000000000001</v>
      </c>
      <c r="F323">
        <v>191</v>
      </c>
      <c r="G323">
        <v>3250</v>
      </c>
      <c r="H323" t="s">
        <v>55</v>
      </c>
      <c r="I323">
        <v>2009</v>
      </c>
      <c r="L323" s="34">
        <v>328</v>
      </c>
      <c r="M323" s="35"/>
      <c r="N323" s="35">
        <v>51.4</v>
      </c>
      <c r="O323" s="35"/>
      <c r="P323" s="35">
        <v>51.4</v>
      </c>
    </row>
    <row r="324" spans="1:16" x14ac:dyDescent="0.35">
      <c r="A324">
        <v>334</v>
      </c>
      <c r="B324" t="s">
        <v>59</v>
      </c>
      <c r="C324" t="s">
        <v>57</v>
      </c>
      <c r="D324">
        <v>49.3</v>
      </c>
      <c r="E324">
        <v>19.899999999999999</v>
      </c>
      <c r="F324">
        <v>203</v>
      </c>
      <c r="G324">
        <v>4050</v>
      </c>
      <c r="H324" t="s">
        <v>54</v>
      </c>
      <c r="I324">
        <v>2009</v>
      </c>
      <c r="L324" s="34">
        <v>329</v>
      </c>
      <c r="M324" s="35"/>
      <c r="N324" s="35">
        <v>45.7</v>
      </c>
      <c r="O324" s="35"/>
      <c r="P324" s="35">
        <v>45.7</v>
      </c>
    </row>
    <row r="325" spans="1:16" x14ac:dyDescent="0.35">
      <c r="A325">
        <v>335</v>
      </c>
      <c r="B325" t="s">
        <v>59</v>
      </c>
      <c r="C325" t="s">
        <v>57</v>
      </c>
      <c r="D325">
        <v>50.2</v>
      </c>
      <c r="E325">
        <v>18.8</v>
      </c>
      <c r="F325">
        <v>202</v>
      </c>
      <c r="G325">
        <v>3800</v>
      </c>
      <c r="H325" t="s">
        <v>54</v>
      </c>
      <c r="I325">
        <v>2009</v>
      </c>
      <c r="L325" s="34">
        <v>330</v>
      </c>
      <c r="M325" s="35"/>
      <c r="N325" s="35">
        <v>50.7</v>
      </c>
      <c r="O325" s="35"/>
      <c r="P325" s="35">
        <v>50.7</v>
      </c>
    </row>
    <row r="326" spans="1:16" x14ac:dyDescent="0.35">
      <c r="A326">
        <v>336</v>
      </c>
      <c r="B326" t="s">
        <v>59</v>
      </c>
      <c r="C326" t="s">
        <v>57</v>
      </c>
      <c r="D326">
        <v>45.6</v>
      </c>
      <c r="E326">
        <v>19.399999999999999</v>
      </c>
      <c r="F326">
        <v>194</v>
      </c>
      <c r="G326">
        <v>3525</v>
      </c>
      <c r="H326" t="s">
        <v>55</v>
      </c>
      <c r="I326">
        <v>2009</v>
      </c>
      <c r="L326" s="34">
        <v>331</v>
      </c>
      <c r="M326" s="35"/>
      <c r="N326" s="35">
        <v>42.5</v>
      </c>
      <c r="O326" s="35"/>
      <c r="P326" s="35">
        <v>42.5</v>
      </c>
    </row>
    <row r="327" spans="1:16" x14ac:dyDescent="0.35">
      <c r="A327">
        <v>337</v>
      </c>
      <c r="B327" t="s">
        <v>59</v>
      </c>
      <c r="C327" t="s">
        <v>57</v>
      </c>
      <c r="D327">
        <v>51.9</v>
      </c>
      <c r="E327">
        <v>19.5</v>
      </c>
      <c r="F327">
        <v>206</v>
      </c>
      <c r="G327">
        <v>3950</v>
      </c>
      <c r="H327" t="s">
        <v>54</v>
      </c>
      <c r="I327">
        <v>2009</v>
      </c>
      <c r="L327" s="34">
        <v>332</v>
      </c>
      <c r="M327" s="35"/>
      <c r="N327" s="35">
        <v>52.2</v>
      </c>
      <c r="O327" s="35"/>
      <c r="P327" s="35">
        <v>52.2</v>
      </c>
    </row>
    <row r="328" spans="1:16" x14ac:dyDescent="0.35">
      <c r="A328">
        <v>338</v>
      </c>
      <c r="B328" t="s">
        <v>59</v>
      </c>
      <c r="C328" t="s">
        <v>57</v>
      </c>
      <c r="D328">
        <v>46.8</v>
      </c>
      <c r="E328">
        <v>16.5</v>
      </c>
      <c r="F328">
        <v>189</v>
      </c>
      <c r="G328">
        <v>3650</v>
      </c>
      <c r="H328" t="s">
        <v>55</v>
      </c>
      <c r="I328">
        <v>2009</v>
      </c>
      <c r="L328" s="34">
        <v>333</v>
      </c>
      <c r="M328" s="35"/>
      <c r="N328" s="35">
        <v>45.2</v>
      </c>
      <c r="O328" s="35"/>
      <c r="P328" s="35">
        <v>45.2</v>
      </c>
    </row>
    <row r="329" spans="1:16" x14ac:dyDescent="0.35">
      <c r="A329">
        <v>339</v>
      </c>
      <c r="B329" t="s">
        <v>59</v>
      </c>
      <c r="C329" t="s">
        <v>57</v>
      </c>
      <c r="D329">
        <v>45.7</v>
      </c>
      <c r="E329">
        <v>17</v>
      </c>
      <c r="F329">
        <v>195</v>
      </c>
      <c r="G329">
        <v>3650</v>
      </c>
      <c r="H329" t="s">
        <v>55</v>
      </c>
      <c r="I329">
        <v>2009</v>
      </c>
      <c r="L329" s="34">
        <v>334</v>
      </c>
      <c r="M329" s="35"/>
      <c r="N329" s="35">
        <v>49.3</v>
      </c>
      <c r="O329" s="35"/>
      <c r="P329" s="35">
        <v>49.3</v>
      </c>
    </row>
    <row r="330" spans="1:16" x14ac:dyDescent="0.35">
      <c r="A330">
        <v>340</v>
      </c>
      <c r="B330" t="s">
        <v>59</v>
      </c>
      <c r="C330" t="s">
        <v>57</v>
      </c>
      <c r="D330">
        <v>55.8</v>
      </c>
      <c r="E330">
        <v>19.8</v>
      </c>
      <c r="F330">
        <v>207</v>
      </c>
      <c r="G330">
        <v>4000</v>
      </c>
      <c r="H330" t="s">
        <v>54</v>
      </c>
      <c r="I330">
        <v>2009</v>
      </c>
      <c r="L330" s="34">
        <v>335</v>
      </c>
      <c r="M330" s="35"/>
      <c r="N330" s="35">
        <v>50.2</v>
      </c>
      <c r="O330" s="35"/>
      <c r="P330" s="35">
        <v>50.2</v>
      </c>
    </row>
    <row r="331" spans="1:16" x14ac:dyDescent="0.35">
      <c r="A331">
        <v>341</v>
      </c>
      <c r="B331" t="s">
        <v>59</v>
      </c>
      <c r="C331" t="s">
        <v>57</v>
      </c>
      <c r="D331">
        <v>43.5</v>
      </c>
      <c r="E331">
        <v>18.100000000000001</v>
      </c>
      <c r="F331">
        <v>202</v>
      </c>
      <c r="G331">
        <v>3400</v>
      </c>
      <c r="H331" t="s">
        <v>55</v>
      </c>
      <c r="I331">
        <v>2009</v>
      </c>
      <c r="L331" s="34">
        <v>336</v>
      </c>
      <c r="M331" s="35"/>
      <c r="N331" s="35">
        <v>45.6</v>
      </c>
      <c r="O331" s="35"/>
      <c r="P331" s="35">
        <v>45.6</v>
      </c>
    </row>
    <row r="332" spans="1:16" x14ac:dyDescent="0.35">
      <c r="A332">
        <v>342</v>
      </c>
      <c r="B332" t="s">
        <v>59</v>
      </c>
      <c r="C332" t="s">
        <v>57</v>
      </c>
      <c r="D332">
        <v>49.6</v>
      </c>
      <c r="E332">
        <v>18.2</v>
      </c>
      <c r="F332">
        <v>193</v>
      </c>
      <c r="G332">
        <v>3775</v>
      </c>
      <c r="H332" t="s">
        <v>54</v>
      </c>
      <c r="I332">
        <v>2009</v>
      </c>
      <c r="L332" s="34">
        <v>337</v>
      </c>
      <c r="M332" s="35"/>
      <c r="N332" s="35">
        <v>51.9</v>
      </c>
      <c r="O332" s="35"/>
      <c r="P332" s="35">
        <v>51.9</v>
      </c>
    </row>
    <row r="333" spans="1:16" x14ac:dyDescent="0.35">
      <c r="A333">
        <v>343</v>
      </c>
      <c r="B333" t="s">
        <v>59</v>
      </c>
      <c r="C333" t="s">
        <v>57</v>
      </c>
      <c r="D333">
        <v>50.8</v>
      </c>
      <c r="E333">
        <v>19</v>
      </c>
      <c r="F333">
        <v>210</v>
      </c>
      <c r="G333">
        <v>4100</v>
      </c>
      <c r="H333" t="s">
        <v>54</v>
      </c>
      <c r="I333">
        <v>2009</v>
      </c>
      <c r="L333" s="34">
        <v>338</v>
      </c>
      <c r="M333" s="35"/>
      <c r="N333" s="35">
        <v>46.8</v>
      </c>
      <c r="O333" s="35"/>
      <c r="P333" s="35">
        <v>46.8</v>
      </c>
    </row>
    <row r="334" spans="1:16" x14ac:dyDescent="0.35">
      <c r="A334">
        <v>344</v>
      </c>
      <c r="B334" t="s">
        <v>59</v>
      </c>
      <c r="C334" t="s">
        <v>57</v>
      </c>
      <c r="D334">
        <v>50.2</v>
      </c>
      <c r="E334">
        <v>18.7</v>
      </c>
      <c r="F334">
        <v>198</v>
      </c>
      <c r="G334">
        <v>3775</v>
      </c>
      <c r="H334" t="s">
        <v>55</v>
      </c>
      <c r="I334">
        <v>2009</v>
      </c>
      <c r="L334" s="34">
        <v>339</v>
      </c>
      <c r="M334" s="35"/>
      <c r="N334" s="35">
        <v>45.7</v>
      </c>
      <c r="O334" s="35"/>
      <c r="P334" s="35">
        <v>45.7</v>
      </c>
    </row>
    <row r="335" spans="1:16" x14ac:dyDescent="0.35">
      <c r="L335" s="34">
        <v>340</v>
      </c>
      <c r="M335" s="35"/>
      <c r="N335" s="35">
        <v>55.8</v>
      </c>
      <c r="O335" s="35"/>
      <c r="P335" s="35">
        <v>55.8</v>
      </c>
    </row>
    <row r="336" spans="1:16" x14ac:dyDescent="0.35">
      <c r="L336" s="34">
        <v>341</v>
      </c>
      <c r="M336" s="35"/>
      <c r="N336" s="35">
        <v>43.5</v>
      </c>
      <c r="O336" s="35"/>
      <c r="P336" s="35">
        <v>43.5</v>
      </c>
    </row>
    <row r="337" spans="12:16" x14ac:dyDescent="0.35">
      <c r="L337" s="34">
        <v>342</v>
      </c>
      <c r="M337" s="35"/>
      <c r="N337" s="35">
        <v>49.6</v>
      </c>
      <c r="O337" s="35"/>
      <c r="P337" s="35">
        <v>49.6</v>
      </c>
    </row>
    <row r="338" spans="12:16" x14ac:dyDescent="0.35">
      <c r="L338" s="34">
        <v>343</v>
      </c>
      <c r="M338" s="35"/>
      <c r="N338" s="35">
        <v>50.8</v>
      </c>
      <c r="O338" s="35"/>
      <c r="P338" s="35">
        <v>50.8</v>
      </c>
    </row>
    <row r="339" spans="12:16" x14ac:dyDescent="0.35">
      <c r="L339" s="34">
        <v>344</v>
      </c>
      <c r="M339" s="35"/>
      <c r="N339" s="35">
        <v>50.2</v>
      </c>
      <c r="O339" s="35"/>
      <c r="P339" s="35">
        <v>50.2</v>
      </c>
    </row>
    <row r="340" spans="12:16" x14ac:dyDescent="0.35">
      <c r="L340" s="34" t="s">
        <v>110</v>
      </c>
      <c r="M340" s="35">
        <v>5668.3000000000011</v>
      </c>
      <c r="N340" s="35">
        <v>3320.7000000000003</v>
      </c>
      <c r="O340" s="35">
        <v>5660.5999999999985</v>
      </c>
      <c r="P340" s="35">
        <v>14649.600000000006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zoomScaleNormal="100" workbookViewId="0">
      <selection activeCell="G1" sqref="G1"/>
    </sheetView>
  </sheetViews>
  <sheetFormatPr defaultRowHeight="14.5" x14ac:dyDescent="0.35"/>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croMushrooms">
                <anchor moveWithCells="1" sizeWithCells="1">
                  <from>
                    <xdr:col>7</xdr:col>
                    <xdr:colOff>177800</xdr:colOff>
                    <xdr:row>4</xdr:row>
                    <xdr:rowOff>133350</xdr:rowOff>
                  </from>
                  <to>
                    <xdr:col>10</xdr:col>
                    <xdr:colOff>215900</xdr:colOff>
                    <xdr:row>7</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Exercises</vt:lpstr>
      <vt:lpstr>Solver data</vt:lpstr>
      <vt:lpstr>Scenario Summary</vt:lpstr>
      <vt:lpstr>Scenario Manager</vt:lpstr>
      <vt:lpstr>penguins</vt:lpstr>
      <vt:lpstr>Mushrooms</vt:lpstr>
      <vt:lpstr>DataMushrooms</vt:lpstr>
      <vt:lpstr>Demand</vt:lpstr>
      <vt:lpstr>Shipments</vt:lpstr>
      <vt:lpstr>Supply</vt:lpstr>
      <vt:lpstr>TotalIn</vt:lpstr>
      <vt:lpstr>TotalOut</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Laia Estopañan Moreno</cp:lastModifiedBy>
  <dcterms:created xsi:type="dcterms:W3CDTF">2015-06-05T18:17:20Z</dcterms:created>
  <dcterms:modified xsi:type="dcterms:W3CDTF">2026-09-16T16:27:34Z</dcterms:modified>
</cp:coreProperties>
</file>